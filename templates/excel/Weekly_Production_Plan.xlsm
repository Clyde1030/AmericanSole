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-shenglee/Desktop/dev/AmericanSole/Excel/"/>
    </mc:Choice>
  </mc:AlternateContent>
  <xr:revisionPtr revIDLastSave="0" documentId="13_ncr:1_{4460AC63-BF58-2948-942D-4589866FCD90}" xr6:coauthVersionLast="47" xr6:coauthVersionMax="47" xr10:uidLastSave="{00000000-0000-0000-0000-000000000000}"/>
  <bookViews>
    <workbookView xWindow="900" yWindow="500" windowWidth="27900" windowHeight="17500" tabRatio="849" activeTab="4" xr2:uid="{0362F2E9-42A0-1949-A47A-C485CCF32FA5}"/>
  </bookViews>
  <sheets>
    <sheet name="Log" sheetId="5" r:id="rId1"/>
    <sheet name="StyleName&amp;Last" sheetId="1" r:id="rId2"/>
    <sheet name="DataValidation" sheetId="3" r:id="rId3"/>
    <sheet name="LastCount" sheetId="2" r:id="rId4"/>
    <sheet name="Template" sheetId="6" r:id="rId5"/>
    <sheet name="Driftlock 522 prs" sheetId="7" r:id="rId6"/>
    <sheet name="Condor 432 prs" sheetId="9" r:id="rId7"/>
  </sheets>
  <functionGroups builtInGroupCount="19"/>
  <definedNames>
    <definedName name="Brand" localSheetId="6">'Condor 432 prs'!$C$6</definedName>
    <definedName name="Brand" localSheetId="5">'Driftlock 522 prs'!$C$6</definedName>
    <definedName name="Brand">Template!$C$6</definedName>
    <definedName name="CtnLayer" localSheetId="6">'Condor 432 prs'!$M$44</definedName>
    <definedName name="CtnLayer" localSheetId="5">'Driftlock 522 prs'!$M$44</definedName>
    <definedName name="CtnLayer">Template!$M$44</definedName>
    <definedName name="DailyTarget">Template!$C$12</definedName>
    <definedName name="MaxLayer" localSheetId="6">'Condor 432 prs'!$M$45</definedName>
    <definedName name="MaxLayer" localSheetId="5">'Driftlock 522 prs'!$M$45</definedName>
    <definedName name="MaxLayer">Template!$M$45</definedName>
    <definedName name="MaxPal" localSheetId="6">'Condor 432 prs'!$J$45</definedName>
    <definedName name="MaxPal" localSheetId="5">'Driftlock 522 prs'!$J$45</definedName>
    <definedName name="MaxPal">Template!$J$45</definedName>
    <definedName name="PairCtn" localSheetId="6">'Condor 432 prs'!$J$44</definedName>
    <definedName name="PairCtn" localSheetId="5">'Driftlock 522 prs'!$J$44</definedName>
    <definedName name="PairCtn">Template!$J$44</definedName>
    <definedName name="PalletPlan" localSheetId="6">'Condor 432 prs'!$I$50:$AI$71</definedName>
    <definedName name="PalletPlan" localSheetId="5">'Driftlock 522 prs'!$I$50:$AI$71</definedName>
    <definedName name="PalletPlan">Template!$I$50:$AI$71</definedName>
    <definedName name="PlanNumbers" localSheetId="6">'Condor 432 prs'!$I$10:$AI$14,'Condor 432 prs'!$I$16:$AI$20,'Condor 432 prs'!$I$22:$AI$26,'Condor 432 prs'!$I$28:$AI$32,'Condor 432 prs'!$I$34:$AI$38</definedName>
    <definedName name="PlanNumbers" localSheetId="5">'Driftlock 522 prs'!$I$10:$AI$14,'Driftlock 522 prs'!$I$16:$AI$20,'Driftlock 522 prs'!$I$22:$AI$26,'Driftlock 522 prs'!$I$28:$AI$32,'Driftlock 522 prs'!$I$34:$AI$38</definedName>
    <definedName name="PlanNumbers">Template!$I$10:$AI$14,Template!$I$16:$AI$20,Template!$I$22:$AI$26,Template!$I$28:$AI$32,Template!$I$34:$AI$38</definedName>
    <definedName name="PO" localSheetId="6">'Condor 432 prs'!$C$5</definedName>
    <definedName name="PO" localSheetId="5">'Driftlock 522 prs'!$C$5</definedName>
    <definedName name="PO">Template!$C$5</definedName>
    <definedName name="_xlnm.Print_Area" localSheetId="6">'Condor 432 prs'!$E$1:$AJ$39</definedName>
    <definedName name="_xlnm.Print_Area" localSheetId="5">'Driftlock 522 prs'!$E$1:$AJ$39</definedName>
    <definedName name="_xlnm.Print_Area" localSheetId="4">Template!$E$1:$AJ$39</definedName>
    <definedName name="SetUp" localSheetId="6">'Condor 432 prs'!$I$5:$AI$5,'Condor 432 prs'!$C$4,'Condor 432 prs'!$C$5,'Condor 432 prs'!$C$6,'Condor 432 prs'!$C$7</definedName>
    <definedName name="SetUp" localSheetId="5">'Driftlock 522 prs'!$I$5:$AI$5,'Driftlock 522 prs'!$C$4,'Driftlock 522 prs'!$C$5,'Driftlock 522 prs'!$C$6,'Driftlock 522 prs'!$C$7</definedName>
    <definedName name="SetUp">Template!$I$5:$AI$5,Template!$C$4,Template!$C$5,Template!$C$6,Template!$C$7</definedName>
    <definedName name="SizeLabels" localSheetId="6">'Condor 432 prs'!$I$48:$AI$48</definedName>
    <definedName name="SizeLabels" localSheetId="5">'Driftlock 522 prs'!$I$48:$AI$48</definedName>
    <definedName name="SizeLabels">Template!$I$48:$AI$48</definedName>
    <definedName name="Sizes" localSheetId="6">'Condor 432 prs'!$I$49:$AI$49</definedName>
    <definedName name="Sizes" localSheetId="5">'Driftlock 522 prs'!$I$49:$AI$49</definedName>
    <definedName name="Sizes">Template!$I$49:$AI$49</definedName>
    <definedName name="StyleName" localSheetId="6">'Condor 432 prs'!$C$7</definedName>
    <definedName name="StyleName" localSheetId="5">'Driftlock 522 prs'!$C$7</definedName>
    <definedName name="StyleName">Template!$C$7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6" l="1" a="1"/>
  <c r="C12" i="6" s="1"/>
  <c r="AK72" i="9"/>
  <c r="AH72" i="9"/>
  <c r="AG72" i="9"/>
  <c r="AF72" i="9"/>
  <c r="Z72" i="9"/>
  <c r="Y72" i="9"/>
  <c r="X72" i="9"/>
  <c r="W72" i="9"/>
  <c r="R72" i="9"/>
  <c r="Q72" i="9"/>
  <c r="P72" i="9"/>
  <c r="O72" i="9"/>
  <c r="J72" i="9"/>
  <c r="I72" i="9"/>
  <c r="AJ71" i="9"/>
  <c r="AJ70" i="9"/>
  <c r="AJ69" i="9"/>
  <c r="AJ68" i="9"/>
  <c r="AJ67" i="9"/>
  <c r="AJ66" i="9"/>
  <c r="AJ65" i="9"/>
  <c r="AJ64" i="9"/>
  <c r="AJ63" i="9"/>
  <c r="AJ62" i="9"/>
  <c r="AJ61" i="9"/>
  <c r="AJ60" i="9"/>
  <c r="AJ59" i="9"/>
  <c r="AJ58" i="9"/>
  <c r="AJ57" i="9"/>
  <c r="AJ56" i="9"/>
  <c r="AJ55" i="9"/>
  <c r="AJ54" i="9"/>
  <c r="AJ53" i="9"/>
  <c r="I53" i="9"/>
  <c r="AJ52" i="9"/>
  <c r="I52" i="9"/>
  <c r="AJ51" i="9"/>
  <c r="I51" i="9"/>
  <c r="AI50" i="9"/>
  <c r="AI72" i="9" s="1"/>
  <c r="AH50" i="9"/>
  <c r="AG50" i="9"/>
  <c r="AF50" i="9"/>
  <c r="AE50" i="9"/>
  <c r="AE72" i="9" s="1"/>
  <c r="AD50" i="9"/>
  <c r="AD72" i="9" s="1"/>
  <c r="AC50" i="9"/>
  <c r="AC72" i="9" s="1"/>
  <c r="AB50" i="9"/>
  <c r="AB72" i="9" s="1"/>
  <c r="AA50" i="9"/>
  <c r="AA72" i="9" s="1"/>
  <c r="Z50" i="9"/>
  <c r="Y50" i="9"/>
  <c r="X50" i="9"/>
  <c r="W50" i="9"/>
  <c r="V50" i="9"/>
  <c r="V72" i="9" s="1"/>
  <c r="U50" i="9"/>
  <c r="U72" i="9" s="1"/>
  <c r="T50" i="9"/>
  <c r="T72" i="9" s="1"/>
  <c r="S50" i="9"/>
  <c r="S72" i="9" s="1"/>
  <c r="R50" i="9"/>
  <c r="Q50" i="9"/>
  <c r="P50" i="9"/>
  <c r="O50" i="9"/>
  <c r="N50" i="9"/>
  <c r="N72" i="9" s="1"/>
  <c r="M50" i="9"/>
  <c r="M72" i="9" s="1"/>
  <c r="L50" i="9"/>
  <c r="L72" i="9" s="1"/>
  <c r="K50" i="9"/>
  <c r="K72" i="9" s="1"/>
  <c r="J50" i="9"/>
  <c r="I50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M46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AJ39" i="9" s="1"/>
  <c r="AJ38" i="9"/>
  <c r="AJ37" i="9"/>
  <c r="AJ36" i="9"/>
  <c r="G36" i="9"/>
  <c r="AJ35" i="9"/>
  <c r="G35" i="9"/>
  <c r="AJ34" i="9"/>
  <c r="AI33" i="9"/>
  <c r="AH33" i="9"/>
  <c r="AG33" i="9"/>
  <c r="AF33" i="9"/>
  <c r="AF6" i="9" s="1"/>
  <c r="AE33" i="9"/>
  <c r="AD33" i="9"/>
  <c r="AC33" i="9"/>
  <c r="AB33" i="9"/>
  <c r="AA33" i="9"/>
  <c r="Z33" i="9"/>
  <c r="Y33" i="9"/>
  <c r="X33" i="9"/>
  <c r="X6" i="9" s="1"/>
  <c r="W33" i="9"/>
  <c r="V33" i="9"/>
  <c r="U33" i="9"/>
  <c r="T33" i="9"/>
  <c r="S33" i="9"/>
  <c r="R33" i="9"/>
  <c r="Q33" i="9"/>
  <c r="P33" i="9"/>
  <c r="P6" i="9" s="1"/>
  <c r="O33" i="9"/>
  <c r="N33" i="9"/>
  <c r="M33" i="9"/>
  <c r="L33" i="9"/>
  <c r="K33" i="9"/>
  <c r="J33" i="9"/>
  <c r="I33" i="9"/>
  <c r="AJ33" i="9" s="1"/>
  <c r="AJ32" i="9"/>
  <c r="AJ31" i="9"/>
  <c r="AJ30" i="9"/>
  <c r="G30" i="9"/>
  <c r="AJ29" i="9"/>
  <c r="G29" i="9"/>
  <c r="AJ28" i="9"/>
  <c r="AI27" i="9"/>
  <c r="AH27" i="9"/>
  <c r="AG27" i="9"/>
  <c r="AF27" i="9"/>
  <c r="AE27" i="9"/>
  <c r="AE6" i="9" s="1"/>
  <c r="AD27" i="9"/>
  <c r="AC27" i="9"/>
  <c r="AB27" i="9"/>
  <c r="AA27" i="9"/>
  <c r="Z27" i="9"/>
  <c r="Y27" i="9"/>
  <c r="X27" i="9"/>
  <c r="W27" i="9"/>
  <c r="W6" i="9" s="1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AJ27" i="9" s="1"/>
  <c r="AJ26" i="9"/>
  <c r="AJ25" i="9"/>
  <c r="AJ24" i="9"/>
  <c r="G24" i="9"/>
  <c r="AJ23" i="9"/>
  <c r="G23" i="9"/>
  <c r="AJ22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O6" i="9" s="1"/>
  <c r="N21" i="9"/>
  <c r="M21" i="9"/>
  <c r="L21" i="9"/>
  <c r="AJ21" i="9" s="1"/>
  <c r="K21" i="9"/>
  <c r="J21" i="9"/>
  <c r="I21" i="9"/>
  <c r="AJ20" i="9"/>
  <c r="AJ19" i="9"/>
  <c r="AJ18" i="9"/>
  <c r="G18" i="9"/>
  <c r="AJ17" i="9"/>
  <c r="G17" i="9"/>
  <c r="AJ16" i="9"/>
  <c r="AI15" i="9"/>
  <c r="AH15" i="9"/>
  <c r="AG15" i="9"/>
  <c r="AF15" i="9"/>
  <c r="AE15" i="9"/>
  <c r="AD15" i="9"/>
  <c r="AD6" i="9" s="1"/>
  <c r="AC15" i="9"/>
  <c r="AC6" i="9" s="1"/>
  <c r="AB15" i="9"/>
  <c r="AB6" i="9" s="1"/>
  <c r="AA15" i="9"/>
  <c r="Z15" i="9"/>
  <c r="Y15" i="9"/>
  <c r="X15" i="9"/>
  <c r="W15" i="9"/>
  <c r="V15" i="9"/>
  <c r="V6" i="9" s="1"/>
  <c r="U15" i="9"/>
  <c r="U6" i="9" s="1"/>
  <c r="T15" i="9"/>
  <c r="T6" i="9" s="1"/>
  <c r="S15" i="9"/>
  <c r="R15" i="9"/>
  <c r="Q15" i="9"/>
  <c r="P15" i="9"/>
  <c r="O15" i="9"/>
  <c r="N15" i="9"/>
  <c r="N6" i="9" s="1"/>
  <c r="M15" i="9"/>
  <c r="M6" i="9" s="1"/>
  <c r="L15" i="9"/>
  <c r="L6" i="9" s="1"/>
  <c r="K15" i="9"/>
  <c r="J15" i="9"/>
  <c r="I15" i="9"/>
  <c r="AJ14" i="9"/>
  <c r="AJ13" i="9"/>
  <c r="AJ12" i="9"/>
  <c r="G12" i="9"/>
  <c r="E12" i="9"/>
  <c r="F12" i="9" s="1"/>
  <c r="H50" i="9" s="1"/>
  <c r="AJ11" i="9"/>
  <c r="G11" i="9"/>
  <c r="AJ10" i="9"/>
  <c r="C9" i="9" a="1"/>
  <c r="C9" i="9" s="1"/>
  <c r="C8" i="9" a="1"/>
  <c r="C8" i="9" s="1"/>
  <c r="AI6" i="9"/>
  <c r="AH6" i="9"/>
  <c r="AG6" i="9"/>
  <c r="AA6" i="9"/>
  <c r="Z6" i="9"/>
  <c r="Y6" i="9"/>
  <c r="S6" i="9"/>
  <c r="R6" i="9"/>
  <c r="Q6" i="9"/>
  <c r="K6" i="9"/>
  <c r="J6" i="9"/>
  <c r="I6" i="9"/>
  <c r="AJ5" i="9"/>
  <c r="P44" i="9" s="1"/>
  <c r="I4" i="9"/>
  <c r="I53" i="6"/>
  <c r="I52" i="6"/>
  <c r="I51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B8" i="9" l="1"/>
  <c r="T8" i="9"/>
  <c r="T7" i="9" s="1"/>
  <c r="L8" i="9"/>
  <c r="L7" i="9" s="1"/>
  <c r="AI8" i="9"/>
  <c r="AI7" i="9" s="1"/>
  <c r="AA8" i="9"/>
  <c r="AA7" i="9" s="1"/>
  <c r="S8" i="9"/>
  <c r="S7" i="9" s="1"/>
  <c r="K8" i="9"/>
  <c r="K7" i="9" s="1"/>
  <c r="AH8" i="9"/>
  <c r="AH7" i="9" s="1"/>
  <c r="Z8" i="9"/>
  <c r="Z7" i="9" s="1"/>
  <c r="R8" i="9"/>
  <c r="R7" i="9" s="1"/>
  <c r="J8" i="9"/>
  <c r="J7" i="9" s="1"/>
  <c r="G14" i="9"/>
  <c r="AG8" i="9"/>
  <c r="AG7" i="9" s="1"/>
  <c r="Y8" i="9"/>
  <c r="Y7" i="9" s="1"/>
  <c r="Q8" i="9"/>
  <c r="Q7" i="9" s="1"/>
  <c r="I8" i="9"/>
  <c r="I7" i="9" s="1"/>
  <c r="G20" i="9"/>
  <c r="AF8" i="9"/>
  <c r="X8" i="9"/>
  <c r="X7" i="9" s="1"/>
  <c r="P8" i="9"/>
  <c r="P7" i="9" s="1"/>
  <c r="C10" i="9"/>
  <c r="G26" i="9"/>
  <c r="AE8" i="9"/>
  <c r="AE7" i="9" s="1"/>
  <c r="O8" i="9"/>
  <c r="O7" i="9" s="1"/>
  <c r="G32" i="9"/>
  <c r="AD8" i="9"/>
  <c r="AD7" i="9" s="1"/>
  <c r="V8" i="9"/>
  <c r="V7" i="9" s="1"/>
  <c r="N8" i="9"/>
  <c r="N7" i="9" s="1"/>
  <c r="AC8" i="9"/>
  <c r="AC7" i="9" s="1"/>
  <c r="U8" i="9"/>
  <c r="U7" i="9" s="1"/>
  <c r="M8" i="9"/>
  <c r="W8" i="9"/>
  <c r="W7" i="9" s="1"/>
  <c r="G38" i="9"/>
  <c r="AB7" i="9"/>
  <c r="M7" i="9"/>
  <c r="AF7" i="9"/>
  <c r="G31" i="9"/>
  <c r="G37" i="9"/>
  <c r="G13" i="9"/>
  <c r="G19" i="9"/>
  <c r="G25" i="9"/>
  <c r="AJ15" i="9"/>
  <c r="G50" i="9"/>
  <c r="AJ50" i="9"/>
  <c r="AJ6" i="9"/>
  <c r="E18" i="9"/>
  <c r="AK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72" i="7" s="1"/>
  <c r="P45" i="7" s="1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P46" i="7"/>
  <c r="M46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AJ39" i="7" s="1"/>
  <c r="AJ38" i="7"/>
  <c r="AJ37" i="7"/>
  <c r="AJ36" i="7"/>
  <c r="G36" i="7"/>
  <c r="AJ35" i="7"/>
  <c r="G35" i="7"/>
  <c r="AJ34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AJ33" i="7" s="1"/>
  <c r="AJ32" i="7"/>
  <c r="AJ31" i="7"/>
  <c r="AJ30" i="7"/>
  <c r="G30" i="7"/>
  <c r="AJ29" i="7"/>
  <c r="G29" i="7"/>
  <c r="AJ28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AJ27" i="7" s="1"/>
  <c r="AJ26" i="7"/>
  <c r="AJ25" i="7"/>
  <c r="AJ24" i="7"/>
  <c r="G24" i="7"/>
  <c r="AJ23" i="7"/>
  <c r="G23" i="7"/>
  <c r="AJ22" i="7"/>
  <c r="AI21" i="7"/>
  <c r="AH21" i="7"/>
  <c r="AG21" i="7"/>
  <c r="AF21" i="7"/>
  <c r="AE21" i="7"/>
  <c r="AD21" i="7"/>
  <c r="AC21" i="7"/>
  <c r="AB21" i="7"/>
  <c r="AA21" i="7"/>
  <c r="AA6" i="7" s="1"/>
  <c r="Z21" i="7"/>
  <c r="Y21" i="7"/>
  <c r="X21" i="7"/>
  <c r="W21" i="7"/>
  <c r="W6" i="7" s="1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AJ20" i="7"/>
  <c r="AJ19" i="7"/>
  <c r="AJ18" i="7"/>
  <c r="G18" i="7"/>
  <c r="AJ17" i="7"/>
  <c r="G17" i="7"/>
  <c r="AJ16" i="7"/>
  <c r="AI15" i="7"/>
  <c r="AH15" i="7"/>
  <c r="AG15" i="7"/>
  <c r="AF15" i="7"/>
  <c r="AE15" i="7"/>
  <c r="AD15" i="7"/>
  <c r="AD6" i="7" s="1"/>
  <c r="AC15" i="7"/>
  <c r="AC6" i="7" s="1"/>
  <c r="AB15" i="7"/>
  <c r="AB6" i="7" s="1"/>
  <c r="AA15" i="7"/>
  <c r="Z15" i="7"/>
  <c r="Z6" i="7" s="1"/>
  <c r="Y15" i="7"/>
  <c r="X15" i="7"/>
  <c r="W15" i="7"/>
  <c r="V15" i="7"/>
  <c r="U15" i="7"/>
  <c r="T15" i="7"/>
  <c r="S15" i="7"/>
  <c r="S6" i="7" s="1"/>
  <c r="R15" i="7"/>
  <c r="Q15" i="7"/>
  <c r="P15" i="7"/>
  <c r="O15" i="7"/>
  <c r="N15" i="7"/>
  <c r="N6" i="7" s="1"/>
  <c r="M15" i="7"/>
  <c r="M6" i="7" s="1"/>
  <c r="L15" i="7"/>
  <c r="L6" i="7" s="1"/>
  <c r="K15" i="7"/>
  <c r="J15" i="7"/>
  <c r="I15" i="7"/>
  <c r="AJ14" i="7"/>
  <c r="AJ13" i="7"/>
  <c r="AJ12" i="7"/>
  <c r="G12" i="7"/>
  <c r="E12" i="7"/>
  <c r="F12" i="7" s="1"/>
  <c r="AJ11" i="7"/>
  <c r="G11" i="7"/>
  <c r="AJ10" i="7"/>
  <c r="C9" i="7" a="1"/>
  <c r="C9" i="7" s="1"/>
  <c r="C8" i="7" a="1"/>
  <c r="C8" i="7" s="1"/>
  <c r="AI6" i="7"/>
  <c r="AH6" i="7"/>
  <c r="AG6" i="7"/>
  <c r="AF6" i="7"/>
  <c r="AE6" i="7"/>
  <c r="R6" i="7"/>
  <c r="Q6" i="7"/>
  <c r="P6" i="7"/>
  <c r="O6" i="7"/>
  <c r="K6" i="7"/>
  <c r="J6" i="7"/>
  <c r="I6" i="7"/>
  <c r="AJ5" i="7"/>
  <c r="P44" i="7" s="1"/>
  <c r="I4" i="7"/>
  <c r="D58" i="2"/>
  <c r="E58" i="2"/>
  <c r="F58" i="2"/>
  <c r="G58" i="2"/>
  <c r="AE58" i="2" s="1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27" i="2"/>
  <c r="D41" i="2"/>
  <c r="E41" i="2"/>
  <c r="F41" i="2"/>
  <c r="G41" i="2"/>
  <c r="AE41" i="2" s="1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T6" i="7" l="1"/>
  <c r="V6" i="7"/>
  <c r="Y6" i="7"/>
  <c r="X6" i="7"/>
  <c r="AJ21" i="7"/>
  <c r="U6" i="7"/>
  <c r="AJ15" i="7"/>
  <c r="AJ72" i="9"/>
  <c r="P45" i="9" s="1"/>
  <c r="P46" i="9"/>
  <c r="AJ7" i="9"/>
  <c r="E24" i="9"/>
  <c r="G51" i="9"/>
  <c r="F18" i="9"/>
  <c r="H51" i="9" s="1"/>
  <c r="AJ8" i="9"/>
  <c r="J7" i="7"/>
  <c r="AB8" i="7"/>
  <c r="AB7" i="7" s="1"/>
  <c r="T8" i="7"/>
  <c r="T7" i="7" s="1"/>
  <c r="L8" i="7"/>
  <c r="L7" i="7" s="1"/>
  <c r="AI8" i="7"/>
  <c r="AI7" i="7" s="1"/>
  <c r="AA8" i="7"/>
  <c r="AA7" i="7" s="1"/>
  <c r="S8" i="7"/>
  <c r="S7" i="7" s="1"/>
  <c r="K8" i="7"/>
  <c r="K7" i="7" s="1"/>
  <c r="AH8" i="7"/>
  <c r="AH7" i="7" s="1"/>
  <c r="Z8" i="7"/>
  <c r="Z7" i="7" s="1"/>
  <c r="R8" i="7"/>
  <c r="J8" i="7"/>
  <c r="G14" i="7"/>
  <c r="AG8" i="7"/>
  <c r="AG7" i="7" s="1"/>
  <c r="Y8" i="7"/>
  <c r="Y7" i="7" s="1"/>
  <c r="Q8" i="7"/>
  <c r="Q7" i="7" s="1"/>
  <c r="I8" i="7"/>
  <c r="X8" i="7"/>
  <c r="P8" i="7"/>
  <c r="AD8" i="7"/>
  <c r="AD7" i="7" s="1"/>
  <c r="M8" i="7"/>
  <c r="M7" i="7" s="1"/>
  <c r="G20" i="7"/>
  <c r="AF8" i="7"/>
  <c r="AF7" i="7" s="1"/>
  <c r="N8" i="7"/>
  <c r="N7" i="7" s="1"/>
  <c r="U8" i="7"/>
  <c r="G26" i="7"/>
  <c r="C10" i="7"/>
  <c r="AE8" i="7"/>
  <c r="AE7" i="7" s="1"/>
  <c r="W8" i="7"/>
  <c r="W7" i="7" s="1"/>
  <c r="O8" i="7"/>
  <c r="O7" i="7" s="1"/>
  <c r="G32" i="7"/>
  <c r="V8" i="7"/>
  <c r="AC8" i="7"/>
  <c r="AC7" i="7" s="1"/>
  <c r="G38" i="7"/>
  <c r="G31" i="7"/>
  <c r="G37" i="7"/>
  <c r="G13" i="7"/>
  <c r="G19" i="7"/>
  <c r="G25" i="7"/>
  <c r="P7" i="7"/>
  <c r="R7" i="7"/>
  <c r="E18" i="7"/>
  <c r="B17" i="3" a="1"/>
  <c r="V7" i="7" l="1"/>
  <c r="AJ6" i="7"/>
  <c r="X7" i="7"/>
  <c r="U7" i="7"/>
  <c r="G52" i="9"/>
  <c r="F24" i="9"/>
  <c r="H52" i="9" s="1"/>
  <c r="E30" i="9"/>
  <c r="AJ8" i="7"/>
  <c r="E24" i="7"/>
  <c r="F18" i="7"/>
  <c r="I7" i="7"/>
  <c r="B17" i="3"/>
  <c r="J18" i="3" a="1"/>
  <c r="J18" i="3" s="1"/>
  <c r="I18" i="3" a="1"/>
  <c r="I18" i="3" s="1"/>
  <c r="H18" i="3" a="1"/>
  <c r="H18" i="3" s="1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M46" i="6"/>
  <c r="AJ54" i="6"/>
  <c r="AJ53" i="6"/>
  <c r="AJ52" i="6"/>
  <c r="AJ51" i="6"/>
  <c r="AJ50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G36" i="6"/>
  <c r="G35" i="6"/>
  <c r="G30" i="6"/>
  <c r="G29" i="6"/>
  <c r="G24" i="6"/>
  <c r="G23" i="6"/>
  <c r="G18" i="6"/>
  <c r="G17" i="6"/>
  <c r="C9" i="6" a="1"/>
  <c r="C9" i="6" s="1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AJ38" i="6"/>
  <c r="AJ37" i="6"/>
  <c r="AJ36" i="6"/>
  <c r="AJ35" i="6"/>
  <c r="AJ34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AJ32" i="6"/>
  <c r="AJ31" i="6"/>
  <c r="AJ30" i="6"/>
  <c r="AJ29" i="6"/>
  <c r="AJ28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AJ26" i="6"/>
  <c r="AJ25" i="6"/>
  <c r="AJ24" i="6"/>
  <c r="AJ23" i="6"/>
  <c r="AJ22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AJ20" i="6"/>
  <c r="AJ19" i="6"/>
  <c r="AJ18" i="6"/>
  <c r="AJ17" i="6"/>
  <c r="AJ16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AJ14" i="6"/>
  <c r="AJ13" i="6"/>
  <c r="AJ12" i="6"/>
  <c r="G12" i="6"/>
  <c r="E12" i="6"/>
  <c r="AJ11" i="6"/>
  <c r="G11" i="6"/>
  <c r="AJ10" i="6"/>
  <c r="C8" i="6" a="1"/>
  <c r="C8" i="6" s="1"/>
  <c r="G38" i="6" s="1"/>
  <c r="AJ5" i="6"/>
  <c r="I4" i="6" s="1"/>
  <c r="E37" i="2"/>
  <c r="E38" i="2"/>
  <c r="E39" i="2"/>
  <c r="E40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F37" i="2"/>
  <c r="F38" i="2"/>
  <c r="F39" i="2"/>
  <c r="F40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G37" i="2"/>
  <c r="G38" i="2"/>
  <c r="G39" i="2"/>
  <c r="G40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7" i="2"/>
  <c r="H38" i="2"/>
  <c r="H39" i="2"/>
  <c r="H40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7" i="2"/>
  <c r="I38" i="2"/>
  <c r="I39" i="2"/>
  <c r="I40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7" i="2"/>
  <c r="J38" i="2"/>
  <c r="J39" i="2"/>
  <c r="J4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7" i="2"/>
  <c r="K38" i="2"/>
  <c r="K39" i="2"/>
  <c r="K40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L37" i="2"/>
  <c r="L38" i="2"/>
  <c r="L39" i="2"/>
  <c r="L40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M37" i="2"/>
  <c r="M38" i="2"/>
  <c r="M39" i="2"/>
  <c r="M40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N37" i="2"/>
  <c r="N38" i="2"/>
  <c r="N39" i="2"/>
  <c r="N40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O37" i="2"/>
  <c r="O38" i="2"/>
  <c r="O39" i="2"/>
  <c r="O40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P37" i="2"/>
  <c r="P38" i="2"/>
  <c r="P39" i="2"/>
  <c r="P40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Q37" i="2"/>
  <c r="Q38" i="2"/>
  <c r="Q39" i="2"/>
  <c r="Q40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R37" i="2"/>
  <c r="R38" i="2"/>
  <c r="R39" i="2"/>
  <c r="R40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S37" i="2"/>
  <c r="S38" i="2"/>
  <c r="S39" i="2"/>
  <c r="S40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7" i="2"/>
  <c r="T38" i="2"/>
  <c r="T39" i="2"/>
  <c r="T40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7" i="2"/>
  <c r="U38" i="2"/>
  <c r="U39" i="2"/>
  <c r="U40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V37" i="2"/>
  <c r="V38" i="2"/>
  <c r="V39" i="2"/>
  <c r="V40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W37" i="2"/>
  <c r="W38" i="2"/>
  <c r="W39" i="2"/>
  <c r="W40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X37" i="2"/>
  <c r="X38" i="2"/>
  <c r="X39" i="2"/>
  <c r="X40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Y37" i="2"/>
  <c r="Y38" i="2"/>
  <c r="Y39" i="2"/>
  <c r="Y40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Z37" i="2"/>
  <c r="Z38" i="2"/>
  <c r="Z39" i="2"/>
  <c r="Z40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AA37" i="2"/>
  <c r="AA38" i="2"/>
  <c r="AA39" i="2"/>
  <c r="AA40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B37" i="2"/>
  <c r="AB38" i="2"/>
  <c r="AB39" i="2"/>
  <c r="AB40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C37" i="2"/>
  <c r="AC38" i="2"/>
  <c r="AC39" i="2"/>
  <c r="AC40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D37" i="2"/>
  <c r="AD38" i="2"/>
  <c r="AD39" i="2"/>
  <c r="AD40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D37" i="2"/>
  <c r="D38" i="2"/>
  <c r="D39" i="2"/>
  <c r="D40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AJ7" i="7" l="1"/>
  <c r="F30" i="9"/>
  <c r="H53" i="9" s="1"/>
  <c r="G53" i="9"/>
  <c r="E36" i="9"/>
  <c r="E18" i="6"/>
  <c r="G51" i="6" s="1"/>
  <c r="G50" i="6"/>
  <c r="F24" i="7"/>
  <c r="E30" i="7"/>
  <c r="G37" i="6"/>
  <c r="G31" i="6"/>
  <c r="G13" i="6"/>
  <c r="G25" i="6"/>
  <c r="G19" i="6"/>
  <c r="B18" i="3" a="1"/>
  <c r="B18" i="3" s="1"/>
  <c r="AK72" i="6"/>
  <c r="AJ72" i="6"/>
  <c r="P45" i="6" s="1"/>
  <c r="P46" i="6"/>
  <c r="P44" i="6"/>
  <c r="G20" i="6"/>
  <c r="G32" i="6"/>
  <c r="G14" i="6"/>
  <c r="G26" i="6"/>
  <c r="I6" i="6"/>
  <c r="Q6" i="6"/>
  <c r="Y6" i="6"/>
  <c r="AG6" i="6"/>
  <c r="V6" i="6"/>
  <c r="N6" i="6"/>
  <c r="AC6" i="6"/>
  <c r="J6" i="6"/>
  <c r="R6" i="6"/>
  <c r="Z6" i="6"/>
  <c r="AH6" i="6"/>
  <c r="P6" i="6"/>
  <c r="X6" i="6"/>
  <c r="AF6" i="6"/>
  <c r="M6" i="6"/>
  <c r="AJ39" i="6"/>
  <c r="U6" i="6"/>
  <c r="AD6" i="6"/>
  <c r="AJ27" i="6"/>
  <c r="AJ33" i="6"/>
  <c r="L6" i="6"/>
  <c r="T6" i="6"/>
  <c r="AB6" i="6"/>
  <c r="O6" i="6"/>
  <c r="W6" i="6"/>
  <c r="AE6" i="6"/>
  <c r="S6" i="6"/>
  <c r="AA6" i="6"/>
  <c r="AI6" i="6"/>
  <c r="AF8" i="6"/>
  <c r="X8" i="6"/>
  <c r="P8" i="6"/>
  <c r="AD8" i="6"/>
  <c r="N8" i="6"/>
  <c r="U8" i="6"/>
  <c r="T8" i="6"/>
  <c r="AE8" i="6"/>
  <c r="W8" i="6"/>
  <c r="O8" i="6"/>
  <c r="V8" i="6"/>
  <c r="C10" i="6"/>
  <c r="M8" i="6"/>
  <c r="AI8" i="6"/>
  <c r="AA8" i="6"/>
  <c r="S8" i="6"/>
  <c r="K8" i="6"/>
  <c r="AH8" i="6"/>
  <c r="Z8" i="6"/>
  <c r="R8" i="6"/>
  <c r="J8" i="6"/>
  <c r="AG8" i="6"/>
  <c r="Y8" i="6"/>
  <c r="Q8" i="6"/>
  <c r="I8" i="6"/>
  <c r="AC8" i="6"/>
  <c r="AB8" i="6"/>
  <c r="L8" i="6"/>
  <c r="K6" i="6"/>
  <c r="F12" i="6"/>
  <c r="H50" i="6" s="1"/>
  <c r="AJ21" i="6"/>
  <c r="AJ15" i="6"/>
  <c r="D18" i="3" a="1"/>
  <c r="D18" i="3" s="1"/>
  <c r="F18" i="3" a="1"/>
  <c r="F18" i="3" s="1"/>
  <c r="C18" i="3" a="1"/>
  <c r="C18" i="3" s="1"/>
  <c r="E18" i="3" a="1"/>
  <c r="E18" i="3" s="1"/>
  <c r="G18" i="3" a="1"/>
  <c r="G18" i="3" s="1"/>
  <c r="AE38" i="2"/>
  <c r="AE40" i="2"/>
  <c r="AE42" i="2"/>
  <c r="AE44" i="2"/>
  <c r="AE45" i="2"/>
  <c r="AE46" i="2"/>
  <c r="AE47" i="2"/>
  <c r="AE48" i="2"/>
  <c r="AE49" i="2"/>
  <c r="AE50" i="2"/>
  <c r="AE51" i="2"/>
  <c r="AE53" i="2"/>
  <c r="AE54" i="2"/>
  <c r="AE55" i="2"/>
  <c r="AE56" i="2"/>
  <c r="AE57" i="2"/>
  <c r="AE43" i="2"/>
  <c r="AE52" i="2"/>
  <c r="AE39" i="2"/>
  <c r="AE37" i="2"/>
  <c r="G54" i="9" l="1"/>
  <c r="F36" i="9"/>
  <c r="H54" i="9" s="1"/>
  <c r="E24" i="6"/>
  <c r="G52" i="6" s="1"/>
  <c r="F18" i="6"/>
  <c r="H51" i="6" s="1"/>
  <c r="F30" i="7"/>
  <c r="E36" i="7"/>
  <c r="F36" i="7" s="1"/>
  <c r="Z7" i="6"/>
  <c r="Q7" i="6"/>
  <c r="AD7" i="6"/>
  <c r="R7" i="6"/>
  <c r="AG7" i="6"/>
  <c r="W7" i="6"/>
  <c r="AH7" i="6"/>
  <c r="U7" i="6"/>
  <c r="I7" i="6"/>
  <c r="O7" i="6"/>
  <c r="AB7" i="6"/>
  <c r="S7" i="6"/>
  <c r="T7" i="6"/>
  <c r="AC7" i="6"/>
  <c r="M7" i="6"/>
  <c r="N7" i="6"/>
  <c r="V7" i="6"/>
  <c r="Y7" i="6"/>
  <c r="X7" i="6"/>
  <c r="P7" i="6"/>
  <c r="AF7" i="6"/>
  <c r="L7" i="6"/>
  <c r="J7" i="6"/>
  <c r="AI7" i="6"/>
  <c r="AA7" i="6"/>
  <c r="K7" i="6"/>
  <c r="AE7" i="6"/>
  <c r="AJ8" i="6"/>
  <c r="AJ6" i="6"/>
  <c r="E30" i="6" l="1"/>
  <c r="G53" i="6" s="1"/>
  <c r="F24" i="6"/>
  <c r="H52" i="6" s="1"/>
  <c r="AJ7" i="6"/>
  <c r="F30" i="6" l="1"/>
  <c r="H53" i="6" s="1"/>
  <c r="E36" i="6"/>
  <c r="AE26" i="2"/>
  <c r="AE25" i="2"/>
  <c r="AE24" i="2"/>
  <c r="AE23" i="2"/>
  <c r="AE22" i="2"/>
  <c r="AE16" i="2"/>
  <c r="AE21" i="2"/>
  <c r="AE20" i="2"/>
  <c r="AE12" i="2"/>
  <c r="AE11" i="2"/>
  <c r="AE9" i="2"/>
  <c r="AE8" i="2"/>
  <c r="AE7" i="2"/>
  <c r="AE6" i="2"/>
  <c r="AE19" i="2"/>
  <c r="AE18" i="2"/>
  <c r="AE17" i="2"/>
  <c r="AE15" i="2"/>
  <c r="AE14" i="2"/>
  <c r="AE13" i="2"/>
  <c r="F36" i="6" l="1"/>
  <c r="H54" i="6" s="1"/>
  <c r="G5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<sst xmlns="http://schemas.openxmlformats.org/spreadsheetml/2006/main" count="859" uniqueCount="309">
  <si>
    <t>Last Updated:</t>
  </si>
  <si>
    <t>Please Read!!</t>
  </si>
  <si>
    <t>Change Log</t>
  </si>
  <si>
    <t>Worksheet Documentation:</t>
  </si>
  <si>
    <t>Date</t>
  </si>
  <si>
    <t>What's Changed?</t>
  </si>
  <si>
    <t>By Whom?</t>
  </si>
  <si>
    <t>StyleName&amp;Last:</t>
  </si>
  <si>
    <t>• Table named as "StyleNameTable"</t>
  </si>
  <si>
    <t>• Store information for each style, what last we use</t>
  </si>
  <si>
    <t>• Information source:</t>
  </si>
  <si>
    <t>General/Production/Last Chart</t>
  </si>
  <si>
    <t>General/Container/Packing List</t>
  </si>
  <si>
    <t>• Add, update and validate the information when necessary</t>
  </si>
  <si>
    <t>Last Count:</t>
  </si>
  <si>
    <t>• The bottom table is calculated with formulas. It finds the largest multiple of 6 that is</t>
  </si>
  <si>
    <t xml:space="preserve">  smaller than our last count. (We plan our production with multiple of 6)</t>
  </si>
  <si>
    <t>Template:</t>
  </si>
  <si>
    <t>• is where we plan production</t>
  </si>
  <si>
    <r>
      <t xml:space="preserve">• Update the grey boxes: </t>
    </r>
    <r>
      <rPr>
        <b/>
        <sz val="12"/>
        <rFont val="Arial"/>
        <family val="2"/>
      </rPr>
      <t>Date, PO Number, Brand, Style Name, and Total Pairs</t>
    </r>
  </si>
  <si>
    <t>General/Production/Weekly Production Plan</t>
  </si>
  <si>
    <t>All Information lookup the source folder --&gt;</t>
  </si>
  <si>
    <t>Brand</t>
  </si>
  <si>
    <t>Style Name</t>
  </si>
  <si>
    <t>Style Number</t>
  </si>
  <si>
    <t>Last Number</t>
  </si>
  <si>
    <t>Waterproof</t>
  </si>
  <si>
    <t>ST/CT</t>
  </si>
  <si>
    <t>Male/Female</t>
  </si>
  <si>
    <t>Outsole</t>
  </si>
  <si>
    <t>Note</t>
  </si>
  <si>
    <t>Brunt</t>
  </si>
  <si>
    <t>MWW001</t>
  </si>
  <si>
    <t>ST</t>
  </si>
  <si>
    <t>MWW001CT</t>
  </si>
  <si>
    <t>CT</t>
  </si>
  <si>
    <t>Chippewa</t>
  </si>
  <si>
    <t>919STE</t>
  </si>
  <si>
    <t>Steel Toe</t>
  </si>
  <si>
    <t>919ST3EEE</t>
  </si>
  <si>
    <t>919E</t>
  </si>
  <si>
    <t>919EEE</t>
  </si>
  <si>
    <t>Firedex</t>
  </si>
  <si>
    <t>109293M</t>
  </si>
  <si>
    <t>Can use 0.5 or 1 smaller last</t>
  </si>
  <si>
    <t>109293W</t>
  </si>
  <si>
    <t>109293XW</t>
  </si>
  <si>
    <t>F</t>
  </si>
  <si>
    <t>Harley Davidson</t>
  </si>
  <si>
    <t>D96331</t>
  </si>
  <si>
    <t>702A</t>
  </si>
  <si>
    <t>D87321</t>
  </si>
  <si>
    <t>PJ823</t>
  </si>
  <si>
    <t>US Boot</t>
  </si>
  <si>
    <t>Alpha</t>
  </si>
  <si>
    <t>USB004CT</t>
  </si>
  <si>
    <t>Condor Wellington</t>
  </si>
  <si>
    <t>USB004CTS</t>
  </si>
  <si>
    <t>Driftlock</t>
  </si>
  <si>
    <t>USB0072EE</t>
  </si>
  <si>
    <t>Echo</t>
  </si>
  <si>
    <t>SM047</t>
  </si>
  <si>
    <t>ka954</t>
  </si>
  <si>
    <t>James</t>
  </si>
  <si>
    <t>USB019</t>
  </si>
  <si>
    <t>Claw</t>
  </si>
  <si>
    <t>Logan</t>
  </si>
  <si>
    <t>Western</t>
  </si>
  <si>
    <t>USB006ST2</t>
  </si>
  <si>
    <t>Handler</t>
  </si>
  <si>
    <t>Weinbrenner</t>
  </si>
  <si>
    <t>WB66HD</t>
  </si>
  <si>
    <t>Can use 0.5 smaller last</t>
  </si>
  <si>
    <t>WB66HEE</t>
  </si>
  <si>
    <t>WB66HEEEE</t>
  </si>
  <si>
    <t>Only update this table</t>
  </si>
  <si>
    <t>Actual Quantity</t>
  </si>
  <si>
    <t>Last Size/Quantity</t>
  </si>
  <si>
    <t>3</t>
  </si>
  <si>
    <t>3.5</t>
  </si>
  <si>
    <t>4</t>
  </si>
  <si>
    <t>4.5</t>
  </si>
  <si>
    <t>5</t>
  </si>
  <si>
    <t>5.5</t>
  </si>
  <si>
    <t>6</t>
  </si>
  <si>
    <t>6.5</t>
  </si>
  <si>
    <t>7</t>
  </si>
  <si>
    <t>7.5</t>
  </si>
  <si>
    <t>8</t>
  </si>
  <si>
    <t>8.5</t>
  </si>
  <si>
    <t>9</t>
  </si>
  <si>
    <t>9.5</t>
  </si>
  <si>
    <t>10</t>
  </si>
  <si>
    <t>10.5</t>
  </si>
  <si>
    <t>11</t>
  </si>
  <si>
    <t>11.5</t>
  </si>
  <si>
    <t>12</t>
  </si>
  <si>
    <t>12.5</t>
  </si>
  <si>
    <t>13</t>
  </si>
  <si>
    <t>13.5</t>
  </si>
  <si>
    <t>14</t>
  </si>
  <si>
    <t>14.5</t>
  </si>
  <si>
    <t>15</t>
  </si>
  <si>
    <t>15.5</t>
  </si>
  <si>
    <t>16</t>
  </si>
  <si>
    <t>Total</t>
  </si>
  <si>
    <t>Don't Touch This Table !!</t>
  </si>
  <si>
    <t>Divisible By</t>
  </si>
  <si>
    <t>PO#:</t>
  </si>
  <si>
    <t>Order Total Pairs</t>
  </si>
  <si>
    <t>Choose Brand:</t>
  </si>
  <si>
    <t>Remaining Pairs</t>
  </si>
  <si>
    <t>Choose Style Name:</t>
  </si>
  <si>
    <t>Last Turover Total</t>
  </si>
  <si>
    <t>Last Number:</t>
  </si>
  <si>
    <t>Last Quantity (Pairs)</t>
  </si>
  <si>
    <t>Style Number:</t>
  </si>
  <si>
    <t>Day</t>
  </si>
  <si>
    <t>Last</t>
  </si>
  <si>
    <t>Size</t>
  </si>
  <si>
    <t>Note:</t>
  </si>
  <si>
    <t xml:space="preserve">Round 1 </t>
  </si>
  <si>
    <t>Set Up:</t>
  </si>
  <si>
    <t>Update the grey area first!</t>
  </si>
  <si>
    <t>Round 2</t>
  </si>
  <si>
    <t>Values will auto-populate</t>
  </si>
  <si>
    <t>Round 3</t>
  </si>
  <si>
    <t>Round 4</t>
  </si>
  <si>
    <t>Legends:</t>
  </si>
  <si>
    <t>Round 5</t>
  </si>
  <si>
    <t>The size lending out its last</t>
  </si>
  <si>
    <t>The size borrowing lasts from smaller sizes</t>
  </si>
  <si>
    <t>Gender</t>
  </si>
  <si>
    <t>Y</t>
  </si>
  <si>
    <t>M</t>
  </si>
  <si>
    <t>N</t>
  </si>
  <si>
    <t>Brand Style Name Options</t>
  </si>
  <si>
    <t>Ohman USA Welted 6" NWP ST</t>
  </si>
  <si>
    <t>Ohman USA Welted 6" NWP CT</t>
  </si>
  <si>
    <t>USA Marin 6" Welted NWP ST</t>
  </si>
  <si>
    <t xml:space="preserve">USA Marin 6" Welted NWP CT </t>
  </si>
  <si>
    <t>USA Marin 8" Welted WP CT</t>
  </si>
  <si>
    <t>USA Marin 6" Welted WP ST</t>
  </si>
  <si>
    <t>USA Marin 6" Welted WP CT</t>
  </si>
  <si>
    <t>USA Marin Welted 6" WP CTBT</t>
  </si>
  <si>
    <t>DataValidation</t>
  </si>
  <si>
    <t>• remain hidden</t>
  </si>
  <si>
    <r>
      <t xml:space="preserve">• auto-update, so </t>
    </r>
    <r>
      <rPr>
        <b/>
        <sz val="12"/>
        <rFont val="Arial"/>
        <family val="2"/>
      </rPr>
      <t>Don't Touch!!</t>
    </r>
  </si>
  <si>
    <t>Pairs/Carton:</t>
  </si>
  <si>
    <t>Total Pairs:</t>
  </si>
  <si>
    <t>Max Pallets:</t>
  </si>
  <si>
    <t>Total Cartons:</t>
  </si>
  <si>
    <t>Pallet Capacity:</t>
  </si>
  <si>
    <t>Pallets Used:</t>
  </si>
  <si>
    <t>Pallet</t>
  </si>
  <si>
    <t>Cartons</t>
  </si>
  <si>
    <t>Pairs</t>
  </si>
  <si>
    <t>Layers</t>
  </si>
  <si>
    <t>Pallet 1</t>
  </si>
  <si>
    <t>Pallet 2</t>
  </si>
  <si>
    <t>Pallet 3</t>
  </si>
  <si>
    <t>Pallet 4</t>
  </si>
  <si>
    <t>Pallet 5</t>
  </si>
  <si>
    <t>Pallet 6</t>
  </si>
  <si>
    <t>TOTAL</t>
  </si>
  <si>
    <t>Pallet 7</t>
  </si>
  <si>
    <t>Pallet 8</t>
  </si>
  <si>
    <t>Pallet 9</t>
  </si>
  <si>
    <t>Pallet 10</t>
  </si>
  <si>
    <t>Pallet 11</t>
  </si>
  <si>
    <t>Pallet 12</t>
  </si>
  <si>
    <t>Pallet 13</t>
  </si>
  <si>
    <t>Pallet 14</t>
  </si>
  <si>
    <t>Pallet 15</t>
  </si>
  <si>
    <t>Pallet 16</t>
  </si>
  <si>
    <t>Pallet 17</t>
  </si>
  <si>
    <t>Pallet 18</t>
  </si>
  <si>
    <t>Pallet 19</t>
  </si>
  <si>
    <t>Pallet 20</t>
  </si>
  <si>
    <t>Pallet 21</t>
  </si>
  <si>
    <t>Pallet 22</t>
  </si>
  <si>
    <t>Ctn/Layer:</t>
  </si>
  <si>
    <t>Max Layer:</t>
  </si>
  <si>
    <t>Need to add Wolverine, Ariat, Update USB Style Number</t>
  </si>
  <si>
    <t>27289</t>
  </si>
  <si>
    <t>27292</t>
  </si>
  <si>
    <t>27288</t>
  </si>
  <si>
    <t>27291</t>
  </si>
  <si>
    <t>3246</t>
  </si>
  <si>
    <t>6" Handler CT WP</t>
  </si>
  <si>
    <t>3247</t>
  </si>
  <si>
    <t>3248</t>
  </si>
  <si>
    <t>5249</t>
  </si>
  <si>
    <t>Ironmaster-Copper</t>
  </si>
  <si>
    <t>27286</t>
  </si>
  <si>
    <t>27287</t>
  </si>
  <si>
    <t>27293</t>
  </si>
  <si>
    <t>8" Bravo</t>
  </si>
  <si>
    <t>6" Bravo</t>
  </si>
  <si>
    <t>27290</t>
  </si>
  <si>
    <t>Ironmaster-Black</t>
  </si>
  <si>
    <t>5250</t>
  </si>
  <si>
    <t>BRF50003-004</t>
  </si>
  <si>
    <t>BRF50004-004</t>
  </si>
  <si>
    <t>BRF50013-003</t>
  </si>
  <si>
    <t>BRF50014-004</t>
  </si>
  <si>
    <t>BRF50016-004</t>
  </si>
  <si>
    <t>BRF50018-004</t>
  </si>
  <si>
    <t>BRF60004-004</t>
  </si>
  <si>
    <t>BRF60005-004</t>
  </si>
  <si>
    <t>SL5405-EEE</t>
  </si>
  <si>
    <t>SL5407-EEE</t>
  </si>
  <si>
    <t>SL5410-EEE</t>
  </si>
  <si>
    <t>SL5405-E</t>
  </si>
  <si>
    <t>SL5406-E</t>
  </si>
  <si>
    <t>SL5406-EEE</t>
  </si>
  <si>
    <t>SL5407-E</t>
  </si>
  <si>
    <t>SL5408-E</t>
  </si>
  <si>
    <t>SL5408-EEE</t>
  </si>
  <si>
    <t>SL5410-E</t>
  </si>
  <si>
    <t>FDXL-200-M-AS</t>
  </si>
  <si>
    <t>FDXL-200-W-AS</t>
  </si>
  <si>
    <t>FDXL-200-WOS-M-AS</t>
  </si>
  <si>
    <t>FDXL-200-XW-AS</t>
  </si>
  <si>
    <t>504-6301-M</t>
  </si>
  <si>
    <t>804-6301-M</t>
  </si>
  <si>
    <t>804-6301-W</t>
  </si>
  <si>
    <t>804-6301-XW</t>
  </si>
  <si>
    <t>• DO NOT add any space and dash "-" into last number</t>
  </si>
  <si>
    <t>Dewalt</t>
  </si>
  <si>
    <t>DXWP99990M</t>
  </si>
  <si>
    <t>FDXL-90-M-AS</t>
  </si>
  <si>
    <t>FDXL-90-W-AS</t>
  </si>
  <si>
    <t>FDXL-90-XW-AS</t>
  </si>
  <si>
    <t>V-Force Women (Width: Wide)</t>
  </si>
  <si>
    <t>V-Force Women (Width: Medium)</t>
  </si>
  <si>
    <t>504-6301-W</t>
  </si>
  <si>
    <t>Super Logger Steel Toe 5405-E</t>
  </si>
  <si>
    <t>Super Logger Steel Toe 5405-EEE</t>
  </si>
  <si>
    <t>Super Logger Soft Toe 5406-E</t>
  </si>
  <si>
    <t>Super Logger Soft Toe 5406-EEE</t>
  </si>
  <si>
    <t>Super Logger Steel Toe 5407-E</t>
  </si>
  <si>
    <t>Super Logger Steel Toe 5407-EEE</t>
  </si>
  <si>
    <t>Super Logger Soft Toe 5408-E</t>
  </si>
  <si>
    <t>Super Logger Soft Toe 5408-EEE</t>
  </si>
  <si>
    <t>Super Logger Steel Toe 5410-E</t>
  </si>
  <si>
    <t>Super Logger Steel Toe 5410-EEE</t>
  </si>
  <si>
    <t>CAT</t>
  </si>
  <si>
    <t>Wolverine</t>
  </si>
  <si>
    <t>Loader (ST)</t>
  </si>
  <si>
    <t xml:space="preserve">W260098 </t>
  </si>
  <si>
    <t>Loader (CT)</t>
  </si>
  <si>
    <t xml:space="preserve">W261123 </t>
  </si>
  <si>
    <t>HD Women</t>
  </si>
  <si>
    <t>HD Men</t>
  </si>
  <si>
    <t>Filson</t>
  </si>
  <si>
    <t>V-Force Men (Width: Medium)</t>
  </si>
  <si>
    <t>V-Force Men (Width: Wide)</t>
  </si>
  <si>
    <t>V-Force Men (Width: Extra Wide)</t>
  </si>
  <si>
    <t>FDXL200 Men Medium Width</t>
  </si>
  <si>
    <t>FDXL200 Men Wide Width</t>
  </si>
  <si>
    <t>FDXL200 Women Medium Width</t>
  </si>
  <si>
    <t>FDXL200 Men Extra Wide Width</t>
  </si>
  <si>
    <t>FDXL90 Men Medium Width</t>
  </si>
  <si>
    <t>FDXL90 Men Wide Width</t>
  </si>
  <si>
    <t>FDXL90 Men Extra Wide Width</t>
  </si>
  <si>
    <t>Barebones</t>
  </si>
  <si>
    <t>P91875</t>
  </si>
  <si>
    <t>• Two tables, update the upper table only, and please record it in the change log. That way</t>
  </si>
  <si>
    <t xml:space="preserve">   havefor each size and last.</t>
  </si>
  <si>
    <r>
      <t xml:space="preserve">   we know when the latest count was done. This should show the </t>
    </r>
    <r>
      <rPr>
        <b/>
        <sz val="12"/>
        <rFont val="Arial"/>
        <family val="2"/>
      </rPr>
      <t>actual count</t>
    </r>
    <r>
      <rPr>
        <sz val="12"/>
        <rFont val="Arial"/>
        <family val="2"/>
      </rPr>
      <t xml:space="preserve"> of lasts we</t>
    </r>
  </si>
  <si>
    <t>Steps to Plan:</t>
  </si>
  <si>
    <r>
      <t xml:space="preserve">    check </t>
    </r>
    <r>
      <rPr>
        <b/>
        <sz val="12"/>
        <rFont val="Arial"/>
        <family val="2"/>
      </rPr>
      <t>Create a copy</t>
    </r>
  </si>
  <si>
    <r>
      <t xml:space="preserve">1. Make a copy of </t>
    </r>
    <r>
      <rPr>
        <sz val="12"/>
        <color rgb="FF0070C0"/>
        <rFont val="Arial"/>
        <family val="2"/>
      </rPr>
      <t>Template</t>
    </r>
    <r>
      <rPr>
        <sz val="12"/>
        <rFont val="Arial"/>
        <family val="2"/>
      </rPr>
      <t xml:space="preserve"> worksheet. Right click, </t>
    </r>
    <r>
      <rPr>
        <b/>
        <sz val="12"/>
        <rFont val="Arial"/>
        <family val="2"/>
      </rPr>
      <t>Move or Copy...</t>
    </r>
    <r>
      <rPr>
        <sz val="12"/>
        <rFont val="Arial"/>
        <family val="2"/>
      </rPr>
      <t>, select (</t>
    </r>
    <r>
      <rPr>
        <b/>
        <sz val="12"/>
        <color theme="2" tint="-0.749992370372631"/>
        <rFont val="Arial"/>
        <family val="2"/>
      </rPr>
      <t>move to end),</t>
    </r>
  </si>
  <si>
    <r>
      <t xml:space="preserve">• Do not change </t>
    </r>
    <r>
      <rPr>
        <sz val="12"/>
        <color rgb="FF0070C0"/>
        <rFont val="Arial"/>
        <family val="2"/>
      </rPr>
      <t xml:space="preserve">Template </t>
    </r>
    <r>
      <rPr>
        <sz val="12"/>
        <rFont val="Arial"/>
        <family val="2"/>
      </rPr>
      <t>page unless you want to make permanent change.</t>
    </r>
  </si>
  <si>
    <t>• If the current template is messed up, that's okay. Just dump that file and copy from the</t>
  </si>
  <si>
    <t xml:space="preserve">  backup folder. The location is herer:</t>
  </si>
  <si>
    <t>General/Production/Weekly Production Plan/Backup</t>
  </si>
  <si>
    <t xml:space="preserve">  Use the newest version according to v1, v2..etc.</t>
  </si>
  <si>
    <t>2. Fill all the</t>
  </si>
  <si>
    <t xml:space="preserve">grey area, </t>
  </si>
  <si>
    <r>
      <t xml:space="preserve">including </t>
    </r>
    <r>
      <rPr>
        <b/>
        <sz val="12"/>
        <rFont val="Arial"/>
        <family val="2"/>
      </rPr>
      <t xml:space="preserve">Date, PO#, Brand, Style Name. </t>
    </r>
    <r>
      <rPr>
        <sz val="12"/>
        <rFont val="Arial"/>
        <family val="2"/>
      </rPr>
      <t xml:space="preserve">Fill in </t>
    </r>
    <r>
      <rPr>
        <b/>
        <sz val="12"/>
        <rFont val="Arial"/>
        <family val="2"/>
      </rPr>
      <t xml:space="preserve">Pair Count </t>
    </r>
    <r>
      <rPr>
        <sz val="12"/>
        <rFont val="Arial"/>
        <family val="2"/>
      </rPr>
      <t>for</t>
    </r>
  </si>
  <si>
    <t>3. Down below there is a Package Plan section. As well, update the grey cells. Rule of thumb:</t>
  </si>
  <si>
    <t xml:space="preserve">    each size. Plan out numbers in each round. Fix the date for each day (column E) if incorrect</t>
  </si>
  <si>
    <t xml:space="preserve">    Brunt: 6 pairs per cartons, 5 cartons per layer, load 4 layers.</t>
  </si>
  <si>
    <t xml:space="preserve">    Weinbrenner: 4 pairs per cartons, 4 cartons per layer, load 3 layers</t>
  </si>
  <si>
    <t xml:space="preserve">    According to Melanie, we usually can load maximum 22 pallets into a truck.</t>
  </si>
  <si>
    <t>4. Can edit number of pairs in this section if it is different from the original production plan</t>
  </si>
  <si>
    <r>
      <t xml:space="preserve">5. Click </t>
    </r>
    <r>
      <rPr>
        <b/>
        <sz val="12"/>
        <rFont val="Arial"/>
        <family val="2"/>
      </rPr>
      <t>Plan Packing</t>
    </r>
    <r>
      <rPr>
        <sz val="12"/>
        <rFont val="Arial"/>
        <family val="2"/>
      </rPr>
      <t xml:space="preserve"> button to populate the plan.</t>
    </r>
  </si>
  <si>
    <r>
      <t xml:space="preserve">6. Export the plan by clicking the </t>
    </r>
    <r>
      <rPr>
        <b/>
        <sz val="12"/>
        <rFont val="Arial"/>
        <family val="2"/>
      </rPr>
      <t>Export</t>
    </r>
    <r>
      <rPr>
        <sz val="12"/>
        <rFont val="Arial"/>
        <family val="2"/>
      </rPr>
      <t xml:space="preserve"> button.</t>
    </r>
  </si>
  <si>
    <r>
      <t xml:space="preserve">7. Give the worksheet a proper name. Usually I would do </t>
    </r>
    <r>
      <rPr>
        <sz val="12"/>
        <color rgb="FF0070C0"/>
        <rFont val="Arial"/>
        <family val="2"/>
      </rPr>
      <t>style name xxx prs</t>
    </r>
  </si>
  <si>
    <t>8. While it is flexible how you manage workbooks and worksheets, I would recommend each</t>
  </si>
  <si>
    <t xml:space="preserve">    workbook only contain one PO. A PO can have many styles, and each style should have its</t>
  </si>
  <si>
    <t xml:space="preserve">    own worksheet. So a PO can have 2 or 3 worksheets.</t>
  </si>
  <si>
    <t>9. Sometimes one PO is broken down by 2 to 3 shipments. Plan them in different worksheets if</t>
  </si>
  <si>
    <t xml:space="preserve">    so. Enter information based on the packing list.</t>
  </si>
  <si>
    <t>10. Save the file with the naming convention:</t>
  </si>
  <si>
    <t xml:space="preserve">                                                              where date following the format YYYYMMDD</t>
  </si>
  <si>
    <r>
      <t xml:space="preserve">      {</t>
    </r>
    <r>
      <rPr>
        <sz val="12"/>
        <color rgb="FF0070C0"/>
        <rFont val="Arial"/>
        <family val="2"/>
      </rPr>
      <t>BeginDate</t>
    </r>
    <r>
      <rPr>
        <sz val="12"/>
        <rFont val="Arial"/>
        <family val="2"/>
      </rPr>
      <t>}_{</t>
    </r>
    <r>
      <rPr>
        <sz val="12"/>
        <color rgb="FF0070C0"/>
        <rFont val="Arial"/>
        <family val="2"/>
      </rPr>
      <t>EndDate</t>
    </r>
    <r>
      <rPr>
        <sz val="12"/>
        <rFont val="Arial"/>
        <family val="2"/>
      </rPr>
      <t>}_{</t>
    </r>
    <r>
      <rPr>
        <sz val="12"/>
        <color rgb="FF0070C0"/>
        <rFont val="Arial"/>
        <family val="2"/>
      </rPr>
      <t>Brand</t>
    </r>
    <r>
      <rPr>
        <sz val="12"/>
        <rFont val="Arial"/>
        <family val="2"/>
      </rPr>
      <t>}_{</t>
    </r>
    <r>
      <rPr>
        <sz val="12"/>
        <color rgb="FF0070C0"/>
        <rFont val="Arial"/>
        <family val="2"/>
      </rPr>
      <t>PO#</t>
    </r>
    <r>
      <rPr>
        <sz val="12"/>
        <rFont val="Arial"/>
        <family val="2"/>
      </rPr>
      <t>}_{</t>
    </r>
    <r>
      <rPr>
        <sz val="12"/>
        <color rgb="FF0070C0"/>
        <rFont val="Arial"/>
        <family val="2"/>
      </rPr>
      <t>pairs</t>
    </r>
    <r>
      <rPr>
        <sz val="12"/>
        <rFont val="Arial"/>
        <family val="2"/>
      </rPr>
      <t>}prs.xlsx</t>
    </r>
  </si>
  <si>
    <t xml:space="preserve">      For example, 20260430_20260502_Wein_PO671558_1138prs.xlsx</t>
  </si>
  <si>
    <t>11. Upload the file to the One Drive at:</t>
  </si>
  <si>
    <t xml:space="preserve">     use this file to generate a new packing plan. Just remember to press the reset button</t>
  </si>
  <si>
    <r>
      <t xml:space="preserve">12. Click the </t>
    </r>
    <r>
      <rPr>
        <b/>
        <sz val="12"/>
        <rFont val="Arial"/>
        <family val="2"/>
      </rPr>
      <t>Reset</t>
    </r>
    <r>
      <rPr>
        <sz val="12"/>
        <rFont val="Arial"/>
        <family val="2"/>
      </rPr>
      <t xml:space="preserve"> button to clean up the .xlsm workbook</t>
    </r>
  </si>
  <si>
    <t>13. For warehouse staffs, if the original packing plan does not fit current pair count, you can</t>
  </si>
  <si>
    <t>Complete Date:</t>
  </si>
  <si>
    <t>Begin Date:</t>
  </si>
  <si>
    <t>175</t>
  </si>
  <si>
    <t>Targetted daily production</t>
  </si>
  <si>
    <t>Targetted Daily Production: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</si>
</sst>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Arial"/>
      <family val="2"/>
    </font>
    <font>
      <b/>
      <sz val="12"/>
      <name val="Arial"/>
      <family val="2"/>
    </font>
    <font>
      <b/>
      <sz val="14"/>
      <color theme="0"/>
      <name val="Arial"/>
      <family val="2"/>
    </font>
    <font>
      <u/>
      <sz val="12"/>
      <color theme="10"/>
      <name val="新細明體"/>
      <family val="1"/>
      <charset val="136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24"/>
      <color rgb="FFFF000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name val="新細明體"/>
      <family val="1"/>
      <charset val="136"/>
    </font>
    <font>
      <b/>
      <sz val="12"/>
      <color theme="5" tint="-0.249977111117893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b/>
      <sz val="14"/>
      <name val="Aptos Narrow"/>
    </font>
    <font>
      <sz val="12"/>
      <name val="Aptos Narrow"/>
    </font>
    <font>
      <b/>
      <sz val="12"/>
      <name val="Aptos Narrow"/>
    </font>
    <font>
      <b/>
      <sz val="12"/>
      <color rgb="FFFFFFFF"/>
      <name val="Aptos Narrow"/>
    </font>
    <font>
      <b/>
      <sz val="12"/>
      <color rgb="FF000000"/>
      <name val="Arial"/>
      <family val="2"/>
    </font>
    <font>
      <b/>
      <sz val="12"/>
      <color rgb="FF000000"/>
      <name val="Aptos Narrow"/>
    </font>
    <font>
      <sz val="12"/>
      <color rgb="FF0070C0"/>
      <name val="Arial"/>
      <family val="2"/>
    </font>
    <font>
      <b/>
      <sz val="12"/>
      <color theme="2" tint="-0.74999237037263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0.249977111117893"/>
        <bgColor rgb="FF000000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/>
      <top/>
      <bottom style="thin">
        <color indexed="64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/>
      <bottom style="thin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2"/>
    <xf numFmtId="0" fontId="6" fillId="0" borderId="0" xfId="0" applyFont="1"/>
    <xf numFmtId="0" fontId="7" fillId="0" borderId="0" xfId="0" applyFont="1"/>
    <xf numFmtId="14" fontId="2" fillId="4" borderId="0" xfId="0" applyNumberFormat="1" applyFont="1" applyFill="1"/>
    <xf numFmtId="0" fontId="3" fillId="0" borderId="1" xfId="0" applyFont="1" applyBorder="1"/>
    <xf numFmtId="0" fontId="2" fillId="0" borderId="1" xfId="0" applyFont="1" applyBorder="1"/>
    <xf numFmtId="0" fontId="7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10" xfId="0" applyFont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2" fillId="0" borderId="12" xfId="0" applyFont="1" applyBorder="1"/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Continuous" vertical="center"/>
    </xf>
    <xf numFmtId="0" fontId="7" fillId="0" borderId="14" xfId="0" applyFont="1" applyBorder="1" applyAlignment="1">
      <alignment horizontal="centerContinuous" vertical="center"/>
    </xf>
    <xf numFmtId="0" fontId="7" fillId="0" borderId="15" xfId="0" applyFont="1" applyBorder="1" applyAlignment="1">
      <alignment horizontal="centerContinuous" vertical="center"/>
    </xf>
    <xf numFmtId="0" fontId="2" fillId="5" borderId="11" xfId="0" applyFont="1" applyFill="1" applyBorder="1" applyAlignment="1">
      <alignment horizontal="centerContinuous"/>
    </xf>
    <xf numFmtId="0" fontId="2" fillId="5" borderId="10" xfId="0" applyFont="1" applyFill="1" applyBorder="1" applyAlignment="1">
      <alignment horizontal="centerContinuous"/>
    </xf>
    <xf numFmtId="0" fontId="2" fillId="5" borderId="12" xfId="0" applyFont="1" applyFill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0" fontId="2" fillId="0" borderId="10" xfId="0" applyFont="1" applyBorder="1" applyAlignment="1">
      <alignment horizontal="centerContinuous"/>
    </xf>
    <xf numFmtId="0" fontId="2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 vertical="center"/>
    </xf>
    <xf numFmtId="0" fontId="2" fillId="0" borderId="10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3" fillId="0" borderId="11" xfId="0" applyFont="1" applyBorder="1"/>
    <xf numFmtId="0" fontId="2" fillId="0" borderId="19" xfId="0" applyFont="1" applyBorder="1"/>
    <xf numFmtId="0" fontId="3" fillId="0" borderId="13" xfId="0" applyFont="1" applyBorder="1"/>
    <xf numFmtId="0" fontId="3" fillId="0" borderId="16" xfId="0" applyFont="1" applyBorder="1"/>
    <xf numFmtId="0" fontId="3" fillId="0" borderId="17" xfId="0" applyFont="1" applyBorder="1"/>
    <xf numFmtId="0" fontId="4" fillId="0" borderId="18" xfId="1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2" fillId="0" borderId="20" xfId="0" applyFont="1" applyBorder="1"/>
    <xf numFmtId="0" fontId="2" fillId="0" borderId="17" xfId="0" applyFont="1" applyBorder="1"/>
    <xf numFmtId="0" fontId="3" fillId="0" borderId="20" xfId="0" applyFont="1" applyBorder="1" applyAlignment="1">
      <alignment horizontal="center" vertical="center"/>
    </xf>
    <xf numFmtId="0" fontId="4" fillId="0" borderId="17" xfId="1" quotePrefix="1" applyFont="1" applyBorder="1" applyAlignment="1">
      <alignment horizontal="center" vertical="center"/>
    </xf>
    <xf numFmtId="0" fontId="2" fillId="0" borderId="0" xfId="0" quotePrefix="1" applyFont="1"/>
    <xf numFmtId="0" fontId="4" fillId="2" borderId="19" xfId="0" applyFont="1" applyFill="1" applyBorder="1" applyAlignment="1">
      <alignment horizontal="center" vertical="center"/>
    </xf>
    <xf numFmtId="0" fontId="10" fillId="0" borderId="1" xfId="0" applyFont="1" applyBorder="1"/>
    <xf numFmtId="0" fontId="12" fillId="0" borderId="2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/>
    <xf numFmtId="0" fontId="3" fillId="0" borderId="5" xfId="0" applyFont="1" applyBorder="1"/>
    <xf numFmtId="0" fontId="5" fillId="0" borderId="0" xfId="2" applyBorder="1"/>
    <xf numFmtId="0" fontId="14" fillId="0" borderId="1" xfId="0" applyFont="1" applyBorder="1" applyAlignment="1">
      <alignment horizontal="center" vertical="center"/>
    </xf>
    <xf numFmtId="0" fontId="4" fillId="2" borderId="1" xfId="1" quotePrefix="1" applyFont="1" applyFill="1" applyBorder="1" applyAlignment="1">
      <alignment horizontal="center" vertical="center"/>
    </xf>
    <xf numFmtId="0" fontId="2" fillId="7" borderId="0" xfId="0" applyFont="1" applyFill="1"/>
    <xf numFmtId="0" fontId="10" fillId="8" borderId="1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9" borderId="21" xfId="0" applyFont="1" applyFill="1" applyBorder="1" applyAlignment="1">
      <alignment horizontal="center"/>
    </xf>
    <xf numFmtId="0" fontId="17" fillId="10" borderId="21" xfId="0" applyFont="1" applyFill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8" fillId="9" borderId="23" xfId="0" applyFont="1" applyFill="1" applyBorder="1" applyAlignment="1">
      <alignment horizontal="center"/>
    </xf>
    <xf numFmtId="0" fontId="18" fillId="9" borderId="24" xfId="0" applyFont="1" applyFill="1" applyBorder="1" applyAlignment="1">
      <alignment horizontal="center"/>
    </xf>
    <xf numFmtId="0" fontId="16" fillId="4" borderId="0" xfId="0" applyFont="1" applyFill="1"/>
    <xf numFmtId="0" fontId="2" fillId="4" borderId="0" xfId="0" applyFont="1" applyFill="1"/>
    <xf numFmtId="0" fontId="2" fillId="11" borderId="1" xfId="0" applyFont="1" applyFill="1" applyBorder="1" applyAlignment="1">
      <alignment horizontal="center"/>
    </xf>
    <xf numFmtId="0" fontId="0" fillId="0" borderId="18" xfId="0" applyBorder="1"/>
    <xf numFmtId="0" fontId="0" fillId="0" borderId="22" xfId="0" applyBorder="1"/>
    <xf numFmtId="0" fontId="2" fillId="0" borderId="0" xfId="0" quotePrefix="1" applyFont="1" applyAlignment="1">
      <alignment horizontal="center"/>
    </xf>
    <xf numFmtId="0" fontId="2" fillId="0" borderId="15" xfId="0" applyFont="1" applyBorder="1"/>
    <xf numFmtId="49" fontId="3" fillId="4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7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0" fillId="7" borderId="1" xfId="0" applyFont="1" applyFill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4" borderId="1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 2" xfId="1" xr:uid="{B45F05B0-CFCC-0047-9760-A0E0AFB30BC1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19</xdr:row>
          <xdr:rowOff>139700</xdr:rowOff>
        </xdr:from>
        <xdr:to>
          <xdr:col>2</xdr:col>
          <xdr:colOff>1181100</xdr:colOff>
          <xdr:row>20</xdr:row>
          <xdr:rowOff>203200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21</xdr:row>
          <xdr:rowOff>88900</xdr:rowOff>
        </xdr:from>
        <xdr:to>
          <xdr:col>2</xdr:col>
          <xdr:colOff>1181100</xdr:colOff>
          <xdr:row>22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23</xdr:row>
          <xdr:rowOff>38100</xdr:rowOff>
        </xdr:from>
        <xdr:to>
          <xdr:col>2</xdr:col>
          <xdr:colOff>1168400</xdr:colOff>
          <xdr:row>24</xdr:row>
          <xdr:rowOff>101600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Plan Packing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19</xdr:row>
          <xdr:rowOff>139700</xdr:rowOff>
        </xdr:from>
        <xdr:to>
          <xdr:col>2</xdr:col>
          <xdr:colOff>1181100</xdr:colOff>
          <xdr:row>20</xdr:row>
          <xdr:rowOff>203200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21</xdr:row>
          <xdr:rowOff>88900</xdr:rowOff>
        </xdr:from>
        <xdr:to>
          <xdr:col>2</xdr:col>
          <xdr:colOff>1181100</xdr:colOff>
          <xdr:row>22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23</xdr:row>
          <xdr:rowOff>38100</xdr:rowOff>
        </xdr:from>
        <xdr:to>
          <xdr:col>2</xdr:col>
          <xdr:colOff>1168400</xdr:colOff>
          <xdr:row>24</xdr:row>
          <xdr:rowOff>101600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Plan Packing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19</xdr:row>
          <xdr:rowOff>139700</xdr:rowOff>
        </xdr:from>
        <xdr:to>
          <xdr:col>2</xdr:col>
          <xdr:colOff>1181100</xdr:colOff>
          <xdr:row>20</xdr:row>
          <xdr:rowOff>203200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21</xdr:row>
          <xdr:rowOff>88900</xdr:rowOff>
        </xdr:from>
        <xdr:to>
          <xdr:col>2</xdr:col>
          <xdr:colOff>1181100</xdr:colOff>
          <xdr:row>22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23</xdr:row>
          <xdr:rowOff>38100</xdr:rowOff>
        </xdr:from>
        <xdr:to>
          <xdr:col>2</xdr:col>
          <xdr:colOff>1168400</xdr:colOff>
          <xdr:row>24</xdr:row>
          <xdr:rowOff>101600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Plan Packing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5A642C-34C7-8143-A822-43C1462374A4}" name="StyleNameTable" displayName="StyleNameTable" ref="B4:K55" totalsRowShown="0" headerRowDxfId="11" dataDxfId="10">
  <autoFilter ref="B4:K55" xr:uid="{D85A642C-34C7-8143-A822-43C1462374A4}"/>
  <sortState xmlns:xlrd2="http://schemas.microsoft.com/office/spreadsheetml/2017/richdata2" ref="B5:J51">
    <sortCondition ref="B5:B51"/>
    <sortCondition ref="D5:D51"/>
  </sortState>
  <tableColumns count="10">
    <tableColumn id="1" xr3:uid="{0CE5BF32-33C2-FC4A-A756-A3A107896C44}" name="Brand" dataDxfId="9"/>
    <tableColumn id="2" xr3:uid="{42B9CC84-EA61-814B-BEB9-C40B18572ACB}" name="Style Name" dataDxfId="8"/>
    <tableColumn id="3" xr3:uid="{4AB05299-4B57-424C-871D-D2AD7969B07F}" name="Style Number" dataDxfId="7"/>
    <tableColumn id="4" xr3:uid="{0A26CFE2-A52F-C341-B464-08ED73469497}" name="Last Number" dataDxfId="6"/>
    <tableColumn id="5" xr3:uid="{EF24C212-6C25-7E4B-9CB7-58886CF7BD77}" name="Waterproof" dataDxfId="5"/>
    <tableColumn id="6" xr3:uid="{2EE6EB69-F4DA-034C-8944-80C647C159DB}" name="ST/CT" dataDxfId="4"/>
    <tableColumn id="7" xr3:uid="{61EFF984-3B65-5049-8821-7642A57D9A04}" name="Male/Female" dataDxfId="3"/>
    <tableColumn id="9" xr3:uid="{6C004BF1-9D43-F841-AAAD-1B6CE05EA8A7}" name="Outsole" dataDxfId="2"/>
    <tableColumn id="10" xr3:uid="{48DE24A3-782B-0F4E-B3DA-9DB6E0E3761B}" name="Note" dataDxfId="1"/>
    <tableColumn id="8" xr3:uid="{4FA46FE2-D244-2A43-9663-2DD11ABF1608}" name="Targetted daily production" dataDxfId="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C8663F-F1CC-224F-A7AB-638F9D6D38F7}" name="LastTable" displayName="LastTable" ref="B36:AE58" totalsRowShown="0" headerRowDxfId="46" dataDxfId="44" headerRowBorderDxfId="45" tableBorderDxfId="43" totalsRowBorderDxfId="42" headerRowCellStyle="Normal 2 2">
  <autoFilter ref="B36:AE58" xr:uid="{73C8663F-F1CC-224F-A7AB-638F9D6D38F7}"/>
  <tableColumns count="30">
    <tableColumn id="1" xr3:uid="{07A57725-472E-7642-A963-44D886639CE1}" name="Brand" dataDxfId="41"/>
    <tableColumn id="2" xr3:uid="{D23F4FF4-D24E-7548-B56B-D33215AD39AA}" name="Last Number" dataDxfId="40"/>
    <tableColumn id="3" xr3:uid="{3E71892C-7ED3-C141-A1AC-5519FA32FD62}" name="3" dataDxfId="39">
      <calculatedColumnFormula>IF(IF(_xlfn.FLOOR.MATH(D6,$C$34)=0,D6,_xlfn.FLOOR.MATH(D6,$C$34))=0,"",IF(_xlfn.FLOOR.MATH(D6,$C$34)=0,D6,_xlfn.FLOOR.MATH(D6,$C$34)))</calculatedColumnFormula>
    </tableColumn>
    <tableColumn id="4" xr3:uid="{0722783C-A7A2-6843-B84D-B752ACA747D0}" name="3.5" dataDxfId="38">
      <calculatedColumnFormula>IF(IF(_xlfn.FLOOR.MATH(E6,$C$34)=0,E6,_xlfn.FLOOR.MATH(E6,$C$34))=0,"",IF(_xlfn.FLOOR.MATH(E6,$C$34)=0,E6,_xlfn.FLOOR.MATH(E6,$C$34)))</calculatedColumnFormula>
    </tableColumn>
    <tableColumn id="5" xr3:uid="{5CB61706-47D2-2C46-82C7-9FE75E4B96C0}" name="4" dataDxfId="37">
      <calculatedColumnFormula>IF(IF(_xlfn.FLOOR.MATH(F6,$C$34)=0,F6,_xlfn.FLOOR.MATH(F6,$C$34))=0,"",IF(_xlfn.FLOOR.MATH(F6,$C$34)=0,F6,_xlfn.FLOOR.MATH(F6,$C$34)))</calculatedColumnFormula>
    </tableColumn>
    <tableColumn id="6" xr3:uid="{21E0C38A-1CD1-3343-B00D-AD55BA0A2584}" name="4.5" dataDxfId="36">
      <calculatedColumnFormula>IF(IF(_xlfn.FLOOR.MATH(G6,$C$34)=0,G6,_xlfn.FLOOR.MATH(G6,$C$34))=0,"",IF(_xlfn.FLOOR.MATH(G6,$C$34)=0,G6,_xlfn.FLOOR.MATH(G6,$C$34)))</calculatedColumnFormula>
    </tableColumn>
    <tableColumn id="7" xr3:uid="{002C877B-8580-5A4D-AB31-313641B64145}" name="5" dataDxfId="35">
      <calculatedColumnFormula>IF(IF(_xlfn.FLOOR.MATH(H6,$C$34)=0,H6,_xlfn.FLOOR.MATH(H6,$C$34))=0,"",IF(_xlfn.FLOOR.MATH(H6,$C$34)=0,H6,_xlfn.FLOOR.MATH(H6,$C$34)))</calculatedColumnFormula>
    </tableColumn>
    <tableColumn id="8" xr3:uid="{00C442C7-29FA-2F40-AD84-AC330848E8EE}" name="5.5" dataDxfId="34">
      <calculatedColumnFormula>IF(IF(_xlfn.FLOOR.MATH(I6,$C$34)=0,I6,_xlfn.FLOOR.MATH(I6,$C$34))=0,"",IF(_xlfn.FLOOR.MATH(I6,$C$34)=0,I6,_xlfn.FLOOR.MATH(I6,$C$34)))</calculatedColumnFormula>
    </tableColumn>
    <tableColumn id="9" xr3:uid="{EC263615-BA13-F748-B73D-F1BB113639E3}" name="6" dataDxfId="33">
      <calculatedColumnFormula>IF(IF(_xlfn.FLOOR.MATH(J6,$C$34)=0,J6,_xlfn.FLOOR.MATH(J6,$C$34))=0,"",IF(_xlfn.FLOOR.MATH(J6,$C$34)=0,J6,_xlfn.FLOOR.MATH(J6,$C$34)))</calculatedColumnFormula>
    </tableColumn>
    <tableColumn id="10" xr3:uid="{D290D1C9-B99B-5042-A33C-8CBB018F3E0B}" name="6.5" dataDxfId="32">
      <calculatedColumnFormula>IF(IF(_xlfn.FLOOR.MATH(K6,$C$34)=0,K6,_xlfn.FLOOR.MATH(K6,$C$34))=0,"",IF(_xlfn.FLOOR.MATH(K6,$C$34)=0,K6,_xlfn.FLOOR.MATH(K6,$C$34)))</calculatedColumnFormula>
    </tableColumn>
    <tableColumn id="11" xr3:uid="{7E0A8DAF-8B79-D94A-8983-71ED23CC3543}" name="7" dataDxfId="31">
      <calculatedColumnFormula>IF(IF(_xlfn.FLOOR.MATH(L6,$C$34)=0,L6,_xlfn.FLOOR.MATH(L6,$C$34))=0,"",IF(_xlfn.FLOOR.MATH(L6,$C$34)=0,L6,_xlfn.FLOOR.MATH(L6,$C$34)))</calculatedColumnFormula>
    </tableColumn>
    <tableColumn id="12" xr3:uid="{9274FE4B-A2C3-FB45-B555-144B82CC6808}" name="7.5" dataDxfId="30">
      <calculatedColumnFormula>IF(IF(_xlfn.FLOOR.MATH(M6,$C$34)=0,M6,_xlfn.FLOOR.MATH(M6,$C$34))=0,"",IF(_xlfn.FLOOR.MATH(M6,$C$34)=0,M6,_xlfn.FLOOR.MATH(M6,$C$34)))</calculatedColumnFormula>
    </tableColumn>
    <tableColumn id="13" xr3:uid="{929A2034-4462-C846-B17B-2CC7F96DDCB0}" name="8" dataDxfId="29">
      <calculatedColumnFormula>IF(IF(_xlfn.FLOOR.MATH(N6,$C$34)=0,N6,_xlfn.FLOOR.MATH(N6,$C$34))=0,"",IF(_xlfn.FLOOR.MATH(N6,$C$34)=0,N6,_xlfn.FLOOR.MATH(N6,$C$34)))</calculatedColumnFormula>
    </tableColumn>
    <tableColumn id="14" xr3:uid="{FBD8AA3D-6E39-0F4F-9B66-EAB4FF4157BB}" name="8.5" dataDxfId="28">
      <calculatedColumnFormula>IF(IF(_xlfn.FLOOR.MATH(O6,$C$34)=0,O6,_xlfn.FLOOR.MATH(O6,$C$34))=0,"",IF(_xlfn.FLOOR.MATH(O6,$C$34)=0,O6,_xlfn.FLOOR.MATH(O6,$C$34)))</calculatedColumnFormula>
    </tableColumn>
    <tableColumn id="15" xr3:uid="{C758E433-E308-8E44-97FB-780FD856D964}" name="9" dataDxfId="27">
      <calculatedColumnFormula>IF(IF(_xlfn.FLOOR.MATH(P6,$C$34)=0,P6,_xlfn.FLOOR.MATH(P6,$C$34))=0,"",IF(_xlfn.FLOOR.MATH(P6,$C$34)=0,P6,_xlfn.FLOOR.MATH(P6,$C$34)))</calculatedColumnFormula>
    </tableColumn>
    <tableColumn id="16" xr3:uid="{15E301D2-A3A4-7140-8CB8-FDAC4432F6F8}" name="9.5" dataDxfId="26">
      <calculatedColumnFormula>IF(IF(_xlfn.FLOOR.MATH(Q6,$C$34)=0,Q6,_xlfn.FLOOR.MATH(Q6,$C$34))=0,"",IF(_xlfn.FLOOR.MATH(Q6,$C$34)=0,Q6,_xlfn.FLOOR.MATH(Q6,$C$34)))</calculatedColumnFormula>
    </tableColumn>
    <tableColumn id="17" xr3:uid="{EF6CC929-8168-DA4C-98F7-90BA5109835D}" name="10" dataDxfId="25">
      <calculatedColumnFormula>IF(IF(_xlfn.FLOOR.MATH(R6,$C$34)=0,R6,_xlfn.FLOOR.MATH(R6,$C$34))=0,"",IF(_xlfn.FLOOR.MATH(R6,$C$34)=0,R6,_xlfn.FLOOR.MATH(R6,$C$34)))</calculatedColumnFormula>
    </tableColumn>
    <tableColumn id="18" xr3:uid="{59C88D49-C088-AE48-B8D7-5BFADF484D35}" name="10.5" dataDxfId="24">
      <calculatedColumnFormula>IF(IF(_xlfn.FLOOR.MATH(S6,$C$34)=0,S6,_xlfn.FLOOR.MATH(S6,$C$34))=0,"",IF(_xlfn.FLOOR.MATH(S6,$C$34)=0,S6,_xlfn.FLOOR.MATH(S6,$C$34)))</calculatedColumnFormula>
    </tableColumn>
    <tableColumn id="19" xr3:uid="{8C62387E-E04E-2E4B-9BB0-947D99606FC8}" name="11" dataDxfId="23">
      <calculatedColumnFormula>IF(IF(_xlfn.FLOOR.MATH(T6,$C$34)=0,T6,_xlfn.FLOOR.MATH(T6,$C$34))=0,"",IF(_xlfn.FLOOR.MATH(T6,$C$34)=0,T6,_xlfn.FLOOR.MATH(T6,$C$34)))</calculatedColumnFormula>
    </tableColumn>
    <tableColumn id="20" xr3:uid="{D61268CB-D847-1842-8B07-13B130113EFB}" name="11.5" dataDxfId="22">
      <calculatedColumnFormula>IF(IF(_xlfn.FLOOR.MATH(U6,$C$34)=0,U6,_xlfn.FLOOR.MATH(U6,$C$34))=0,"",IF(_xlfn.FLOOR.MATH(U6,$C$34)=0,U6,_xlfn.FLOOR.MATH(U6,$C$34)))</calculatedColumnFormula>
    </tableColumn>
    <tableColumn id="21" xr3:uid="{B7F9738C-EE28-A440-B4B5-EC0FF5F2C920}" name="12" dataDxfId="21">
      <calculatedColumnFormula>IF(IF(_xlfn.FLOOR.MATH(V6,$C$34)=0,V6,_xlfn.FLOOR.MATH(V6,$C$34))=0,"",IF(_xlfn.FLOOR.MATH(V6,$C$34)=0,V6,_xlfn.FLOOR.MATH(V6,$C$34)))</calculatedColumnFormula>
    </tableColumn>
    <tableColumn id="22" xr3:uid="{C6EB07C9-6D4E-B643-BB01-F9B8F7DFEFB3}" name="12.5" dataDxfId="20">
      <calculatedColumnFormula>IF(IF(_xlfn.FLOOR.MATH(W6,$C$34)=0,W6,_xlfn.FLOOR.MATH(W6,$C$34))=0,"",IF(_xlfn.FLOOR.MATH(W6,$C$34)=0,W6,_xlfn.FLOOR.MATH(W6,$C$34)))</calculatedColumnFormula>
    </tableColumn>
    <tableColumn id="23" xr3:uid="{20BC59D0-D28C-8140-B476-7CF61FCFB153}" name="13" dataDxfId="19">
      <calculatedColumnFormula>IF(IF(_xlfn.FLOOR.MATH(X6,$C$34)=0,X6,_xlfn.FLOOR.MATH(X6,$C$34))=0,"",IF(_xlfn.FLOOR.MATH(X6,$C$34)=0,X6,_xlfn.FLOOR.MATH(X6,$C$34)))</calculatedColumnFormula>
    </tableColumn>
    <tableColumn id="24" xr3:uid="{C6537132-DA92-6841-A1B8-760CD9EF8E4D}" name="13.5" dataDxfId="18">
      <calculatedColumnFormula>IF(IF(_xlfn.FLOOR.MATH(Y6,$C$34)=0,Y6,_xlfn.FLOOR.MATH(Y6,$C$34))=0,"",IF(_xlfn.FLOOR.MATH(Y6,$C$34)=0,Y6,_xlfn.FLOOR.MATH(Y6,$C$34)))</calculatedColumnFormula>
    </tableColumn>
    <tableColumn id="25" xr3:uid="{974C16C4-5E1E-1C43-9356-A01D71B3EA6F}" name="14" dataDxfId="17">
      <calculatedColumnFormula>IF(IF(_xlfn.FLOOR.MATH(Z6,$C$34)=0,Z6,_xlfn.FLOOR.MATH(Z6,$C$34))=0,"",IF(_xlfn.FLOOR.MATH(Z6,$C$34)=0,Z6,_xlfn.FLOOR.MATH(Z6,$C$34)))</calculatedColumnFormula>
    </tableColumn>
    <tableColumn id="26" xr3:uid="{8E9DCB17-D7A3-B64D-95BB-EDB516F0657D}" name="14.5" dataDxfId="16">
      <calculatedColumnFormula>IF(IF(_xlfn.FLOOR.MATH(AA6,$C$34)=0,AA6,_xlfn.FLOOR.MATH(AA6,$C$34))=0,"",IF(_xlfn.FLOOR.MATH(AA6,$C$34)=0,AA6,_xlfn.FLOOR.MATH(AA6,$C$34)))</calculatedColumnFormula>
    </tableColumn>
    <tableColumn id="27" xr3:uid="{5E5C970B-098E-8640-B3D7-0D05DE066A0D}" name="15" dataDxfId="15">
      <calculatedColumnFormula>IF(IF(_xlfn.FLOOR.MATH(AB6,$C$34)=0,AB6,_xlfn.FLOOR.MATH(AB6,$C$34))=0,"",IF(_xlfn.FLOOR.MATH(AB6,$C$34)=0,AB6,_xlfn.FLOOR.MATH(AB6,$C$34)))</calculatedColumnFormula>
    </tableColumn>
    <tableColumn id="28" xr3:uid="{B96FB6C1-C630-DC48-A50F-0D07C0FD2C1B}" name="15.5" dataDxfId="14">
      <calculatedColumnFormula>IF(IF(_xlfn.FLOOR.MATH(AC6,$C$34)=0,AC6,_xlfn.FLOOR.MATH(AC6,$C$34))=0,"",IF(_xlfn.FLOOR.MATH(AC6,$C$34)=0,AC6,_xlfn.FLOOR.MATH(AC6,$C$34)))</calculatedColumnFormula>
    </tableColumn>
    <tableColumn id="29" xr3:uid="{3A2B49EF-91AC-4E41-9D0F-873E89D34AD0}" name="16" dataDxfId="13">
      <calculatedColumnFormula>IF(IF(_xlfn.FLOOR.MATH(AD6,$C$34)=0,AD6,_xlfn.FLOOR.MATH(AD6,$C$34))=0,"",IF(_xlfn.FLOOR.MATH(AD6,$C$34)=0,AD6,_xlfn.FLOOR.MATH(AD6,$C$34)))</calculatedColumnFormula>
    </tableColumn>
    <tableColumn id="30" xr3:uid="{79C645BF-14AF-BD4E-8BAA-60E5B3F7508E}" name="Total" dataDxfId="12">
      <calculatedColumnFormula>SUM(D37:AD37)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netorgft15508245-my.sharepoint.com/shared?id=%2Fsites%2Fallamericansoles%2Ecom%2FShared%20Documents%2FGeneral%2FContainer%2FPacking%20List&amp;listurl=https%3A%2F%2Fnetorgft15508245%2Esharepoint%2Ecom%2Fsites%2Fallamericansoles%2Ecom%2FShared%20Documents" TargetMode="External"/><Relationship Id="rId2" Type="http://schemas.openxmlformats.org/officeDocument/2006/relationships/hyperlink" Target="https://netorgft15508245-my.sharepoint.com/shared?id=%2Fsites%2Fallamericansoles%2Ecom%2FShared%20Documents%2FGeneral%2FProduction%2FWeekly%20Production%20Plan&amp;listurl=https%3A%2F%2Fnetorgft15508245%2Esharepoint%2Ecom%2Fsites%2Fallamericansoles%2Ecom%2FShared%20Documents" TargetMode="External"/><Relationship Id="rId1" Type="http://schemas.openxmlformats.org/officeDocument/2006/relationships/hyperlink" Target="https://netorgft15508245-my.sharepoint.com/shared?id=%2Fsites%2Fallamericansoles%2Ecom%2FShared%20Documents%2FGeneral%2FProduction%2FLast%20Chart&amp;listurl=https%3A%2F%2Fnetorgft15508245%2Esharepoint%2Ecom%2Fsites%2Fallamericansoles%2Ecom%2FShared%20Documents&amp;viewid=88e85787%2D5c03%2D499d%2Daffb%2D3c7a9811928d" TargetMode="External"/><Relationship Id="rId4" Type="http://schemas.openxmlformats.org/officeDocument/2006/relationships/hyperlink" Target="https://netorgft15508245-my.sharepoint.com/shared?id=%2Fsites%2Fallamericansoles%2Ecom%2FShared%20Documents%2FGeneral%2FProduction%2FWeekly%20Production%20Plan%2FBackup&amp;listurl=https%3A%2F%2Fnetorgft15508245%2Esharepoint%2Ecom%2Fsites%2Fallamericansoles%2Ecom%2FShared%20Documents&amp;viewid=88e85787%2D5c03%2D499d%2Daffb%2D3c7a9811928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netorgft15508245-my.sharepoint.com/shared?id=%2Fsites%2Fallamericansoles%2Ecom%2FShared%20Documents%2FGeneral%2FProduction%2FLast%20Chart&amp;listurl=https%3A%2F%2Fnetorgft15508245%2Esharepoint%2Ecom%2Fsites%2Fallamericansoles%2Ecom%2FShared%20Documents&amp;viewid=88e85787%2D5c03%2D499d%2Daffb%2D3c7a9811928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2494-E53C-0D48-BFE5-400900EFE3EB}">
  <sheetPr codeName="Sheet1">
    <tabColor rgb="FFFF0000"/>
  </sheetPr>
  <dimension ref="B1:N57"/>
  <sheetViews>
    <sheetView zoomScale="120" zoomScaleNormal="120" workbookViewId="0">
      <selection activeCell="F10" sqref="F10"/>
    </sheetView>
  </sheetViews>
  <sheetFormatPr baseColWidth="10" defaultColWidth="10.83203125" defaultRowHeight="16"/>
  <cols>
    <col min="1" max="3" width="10.83203125" style="1"/>
    <col min="4" max="4" width="12.5" style="1" customWidth="1"/>
    <col min="5" max="9" width="10.83203125" style="1"/>
    <col min="10" max="10" width="16.6640625" style="1" customWidth="1"/>
    <col min="11" max="12" width="10.83203125" style="1"/>
    <col min="13" max="13" width="54" style="1" customWidth="1"/>
    <col min="14" max="14" width="34.33203125" style="1" customWidth="1"/>
    <col min="15" max="16384" width="10.83203125" style="1"/>
  </cols>
  <sheetData>
    <row r="1" spans="2:14">
      <c r="B1" s="12" t="s">
        <v>0</v>
      </c>
      <c r="C1" s="9">
        <v>46127</v>
      </c>
    </row>
    <row r="3" spans="2:14">
      <c r="B3" s="12" t="s">
        <v>1</v>
      </c>
      <c r="L3" s="2" t="s">
        <v>2</v>
      </c>
    </row>
    <row r="4" spans="2:14" ht="17" thickBot="1"/>
    <row r="5" spans="2:14">
      <c r="B5" s="63" t="s">
        <v>3</v>
      </c>
      <c r="C5" s="14"/>
      <c r="D5" s="14"/>
      <c r="E5" s="14"/>
      <c r="F5" s="14"/>
      <c r="G5" s="14"/>
      <c r="H5" s="14"/>
      <c r="I5" s="14"/>
      <c r="J5" s="15"/>
      <c r="L5" s="21" t="s">
        <v>4</v>
      </c>
      <c r="M5" s="21" t="s">
        <v>5</v>
      </c>
      <c r="N5" s="21" t="s">
        <v>6</v>
      </c>
    </row>
    <row r="6" spans="2:14">
      <c r="B6" s="16"/>
      <c r="J6" s="17"/>
      <c r="L6" s="11"/>
      <c r="M6" s="11"/>
      <c r="N6" s="11"/>
    </row>
    <row r="7" spans="2:14">
      <c r="B7" s="64"/>
      <c r="C7" s="13" t="s">
        <v>7</v>
      </c>
      <c r="D7" s="1" t="s">
        <v>8</v>
      </c>
      <c r="J7" s="17"/>
      <c r="L7" s="11"/>
      <c r="M7" s="11"/>
      <c r="N7" s="11"/>
    </row>
    <row r="8" spans="2:14">
      <c r="B8" s="16"/>
      <c r="D8" s="1" t="s">
        <v>9</v>
      </c>
      <c r="J8" s="17"/>
      <c r="L8" s="11"/>
      <c r="M8" s="11"/>
      <c r="N8" s="11"/>
    </row>
    <row r="9" spans="2:14">
      <c r="B9" s="16"/>
      <c r="D9" s="1" t="s">
        <v>10</v>
      </c>
      <c r="F9" s="65" t="s">
        <v>11</v>
      </c>
      <c r="J9" s="17"/>
      <c r="L9" s="11"/>
      <c r="M9" s="11"/>
      <c r="N9" s="11"/>
    </row>
    <row r="10" spans="2:14">
      <c r="B10" s="16"/>
      <c r="F10" s="65" t="s">
        <v>12</v>
      </c>
      <c r="J10" s="17"/>
      <c r="L10" s="11"/>
      <c r="M10" s="11"/>
      <c r="N10" s="11"/>
    </row>
    <row r="11" spans="2:14">
      <c r="B11" s="16"/>
      <c r="D11" s="1" t="s">
        <v>13</v>
      </c>
      <c r="J11" s="17"/>
      <c r="L11" s="11"/>
      <c r="M11" s="11"/>
      <c r="N11" s="11"/>
    </row>
    <row r="12" spans="2:14">
      <c r="B12" s="16"/>
      <c r="D12" s="8" t="s">
        <v>228</v>
      </c>
      <c r="J12" s="17"/>
      <c r="L12" s="11"/>
      <c r="M12" s="11"/>
      <c r="N12" s="11"/>
    </row>
    <row r="13" spans="2:14">
      <c r="B13" s="16"/>
      <c r="J13" s="17"/>
      <c r="L13" s="11"/>
      <c r="M13" s="11"/>
      <c r="N13" s="11"/>
    </row>
    <row r="14" spans="2:14">
      <c r="B14" s="16"/>
      <c r="C14" s="13" t="s">
        <v>14</v>
      </c>
      <c r="D14" s="1" t="s">
        <v>268</v>
      </c>
      <c r="J14" s="17"/>
      <c r="L14" s="11"/>
      <c r="M14" s="11"/>
      <c r="N14" s="11"/>
    </row>
    <row r="15" spans="2:14">
      <c r="B15" s="16"/>
      <c r="D15" s="1" t="s">
        <v>270</v>
      </c>
      <c r="J15" s="17"/>
      <c r="L15" s="11"/>
      <c r="M15" s="11"/>
      <c r="N15" s="11"/>
    </row>
    <row r="16" spans="2:14">
      <c r="B16" s="16"/>
      <c r="D16" s="1" t="s">
        <v>269</v>
      </c>
      <c r="J16" s="17"/>
      <c r="L16" s="11"/>
      <c r="M16" s="11"/>
      <c r="N16" s="11"/>
    </row>
    <row r="17" spans="2:14">
      <c r="B17" s="16"/>
      <c r="D17" s="1" t="s">
        <v>15</v>
      </c>
      <c r="J17" s="17"/>
      <c r="L17" s="11"/>
      <c r="M17" s="11"/>
      <c r="N17" s="11"/>
    </row>
    <row r="18" spans="2:14">
      <c r="B18" s="16"/>
      <c r="D18" s="1" t="s">
        <v>16</v>
      </c>
      <c r="J18" s="17"/>
      <c r="L18" s="11"/>
      <c r="M18" s="11"/>
      <c r="N18" s="11"/>
    </row>
    <row r="19" spans="2:14">
      <c r="B19" s="16"/>
      <c r="J19" s="17"/>
      <c r="L19" s="11"/>
      <c r="M19" s="11"/>
      <c r="N19" s="11"/>
    </row>
    <row r="20" spans="2:14">
      <c r="B20" s="16"/>
      <c r="J20" s="17"/>
      <c r="L20" s="11"/>
      <c r="M20" s="11"/>
      <c r="N20" s="11"/>
    </row>
    <row r="21" spans="2:14">
      <c r="B21" s="16"/>
      <c r="C21" s="13" t="s">
        <v>17</v>
      </c>
      <c r="D21" s="1" t="s">
        <v>18</v>
      </c>
      <c r="J21" s="17"/>
      <c r="L21" s="11"/>
      <c r="M21" s="11"/>
      <c r="N21" s="11"/>
    </row>
    <row r="22" spans="2:14">
      <c r="B22" s="16"/>
      <c r="D22" s="1" t="s">
        <v>19</v>
      </c>
      <c r="J22" s="17"/>
      <c r="L22" s="11"/>
      <c r="M22" s="11"/>
      <c r="N22" s="11"/>
    </row>
    <row r="23" spans="2:14">
      <c r="B23" s="16"/>
      <c r="D23" s="1" t="s">
        <v>274</v>
      </c>
      <c r="J23" s="17"/>
      <c r="L23" s="11"/>
      <c r="M23" s="11"/>
      <c r="N23" s="11"/>
    </row>
    <row r="24" spans="2:14">
      <c r="B24" s="16"/>
      <c r="D24" s="1" t="s">
        <v>275</v>
      </c>
      <c r="J24" s="17"/>
      <c r="L24" s="11"/>
      <c r="M24" s="11"/>
      <c r="N24" s="11"/>
    </row>
    <row r="25" spans="2:14">
      <c r="B25" s="16"/>
      <c r="D25" s="1" t="s">
        <v>276</v>
      </c>
      <c r="G25" s="65" t="s">
        <v>277</v>
      </c>
      <c r="J25" s="17"/>
      <c r="L25" s="11"/>
      <c r="M25" s="11"/>
      <c r="N25" s="11"/>
    </row>
    <row r="26" spans="2:14">
      <c r="B26" s="16"/>
      <c r="D26" s="1" t="s">
        <v>278</v>
      </c>
      <c r="J26" s="17"/>
      <c r="L26" s="11"/>
      <c r="M26" s="11"/>
      <c r="N26" s="11"/>
    </row>
    <row r="27" spans="2:14">
      <c r="B27" s="16"/>
      <c r="J27" s="17"/>
      <c r="L27" s="11"/>
      <c r="M27" s="11"/>
      <c r="N27" s="11"/>
    </row>
    <row r="28" spans="2:14">
      <c r="B28" s="16"/>
      <c r="C28" s="13" t="s">
        <v>145</v>
      </c>
      <c r="D28" s="1" t="s">
        <v>146</v>
      </c>
      <c r="J28" s="17"/>
      <c r="L28" s="11"/>
      <c r="M28" s="11"/>
      <c r="N28" s="11"/>
    </row>
    <row r="29" spans="2:14">
      <c r="B29" s="16"/>
      <c r="D29" s="1" t="s">
        <v>147</v>
      </c>
      <c r="J29" s="17"/>
      <c r="L29" s="11"/>
      <c r="M29" s="11"/>
      <c r="N29" s="11"/>
    </row>
    <row r="30" spans="2:14">
      <c r="B30" s="16"/>
      <c r="J30" s="17"/>
      <c r="L30" s="11"/>
      <c r="M30" s="11"/>
      <c r="N30" s="11"/>
    </row>
    <row r="31" spans="2:14">
      <c r="B31" s="16"/>
      <c r="J31" s="17"/>
      <c r="L31" s="11"/>
      <c r="M31" s="11"/>
      <c r="N31" s="11"/>
    </row>
    <row r="32" spans="2:14">
      <c r="B32" s="16"/>
      <c r="C32" s="13" t="s">
        <v>271</v>
      </c>
      <c r="D32" s="1" t="s">
        <v>273</v>
      </c>
      <c r="J32" s="17"/>
      <c r="L32" s="11"/>
      <c r="M32" s="11"/>
      <c r="N32" s="11"/>
    </row>
    <row r="33" spans="2:14">
      <c r="B33" s="16"/>
      <c r="D33" s="1" t="s">
        <v>272</v>
      </c>
      <c r="J33" s="17"/>
      <c r="L33" s="11"/>
      <c r="M33" s="11"/>
      <c r="N33" s="11"/>
    </row>
    <row r="34" spans="2:14">
      <c r="B34" s="16"/>
      <c r="D34" s="1" t="s">
        <v>279</v>
      </c>
      <c r="E34" s="85" t="s">
        <v>280</v>
      </c>
      <c r="F34" s="1" t="s">
        <v>281</v>
      </c>
      <c r="J34" s="17"/>
      <c r="L34" s="11"/>
      <c r="M34" s="11"/>
      <c r="N34" s="11"/>
    </row>
    <row r="35" spans="2:14">
      <c r="B35" s="16"/>
      <c r="D35" s="1" t="s">
        <v>283</v>
      </c>
      <c r="E35" s="86"/>
      <c r="J35" s="17"/>
      <c r="L35" s="11"/>
      <c r="M35" s="11"/>
      <c r="N35" s="11"/>
    </row>
    <row r="36" spans="2:14">
      <c r="B36" s="16"/>
      <c r="D36" s="1" t="s">
        <v>282</v>
      </c>
      <c r="E36" s="86"/>
      <c r="J36" s="17"/>
      <c r="L36" s="11"/>
      <c r="M36" s="11"/>
      <c r="N36" s="11"/>
    </row>
    <row r="37" spans="2:14">
      <c r="B37" s="16"/>
      <c r="D37" s="1" t="s">
        <v>284</v>
      </c>
      <c r="E37" s="86"/>
      <c r="J37" s="17"/>
      <c r="L37" s="11"/>
      <c r="M37" s="11"/>
      <c r="N37" s="11"/>
    </row>
    <row r="38" spans="2:14">
      <c r="B38" s="16"/>
      <c r="D38" s="1" t="s">
        <v>285</v>
      </c>
      <c r="E38" s="86"/>
      <c r="J38" s="17"/>
      <c r="L38" s="11"/>
      <c r="M38" s="11"/>
      <c r="N38" s="11"/>
    </row>
    <row r="39" spans="2:14">
      <c r="B39" s="16"/>
      <c r="D39" s="1" t="s">
        <v>286</v>
      </c>
      <c r="E39" s="86"/>
      <c r="J39" s="17"/>
      <c r="L39" s="11"/>
      <c r="M39" s="11"/>
      <c r="N39" s="11"/>
    </row>
    <row r="40" spans="2:14">
      <c r="B40" s="16"/>
      <c r="D40" s="1" t="s">
        <v>287</v>
      </c>
      <c r="E40" s="86"/>
      <c r="J40" s="17"/>
      <c r="L40" s="11"/>
      <c r="M40" s="11"/>
      <c r="N40" s="11"/>
    </row>
    <row r="41" spans="2:14">
      <c r="B41" s="16"/>
      <c r="D41" s="1" t="s">
        <v>288</v>
      </c>
      <c r="E41" s="86"/>
      <c r="J41" s="17"/>
      <c r="L41" s="11"/>
      <c r="M41" s="11"/>
      <c r="N41" s="11"/>
    </row>
    <row r="42" spans="2:14">
      <c r="B42" s="16"/>
      <c r="D42" s="1" t="s">
        <v>289</v>
      </c>
      <c r="J42" s="17"/>
      <c r="L42" s="11"/>
      <c r="M42" s="11"/>
      <c r="N42" s="11"/>
    </row>
    <row r="43" spans="2:14">
      <c r="B43" s="16"/>
      <c r="D43" s="1" t="s">
        <v>290</v>
      </c>
      <c r="J43" s="17"/>
      <c r="L43" s="11"/>
      <c r="M43" s="11"/>
      <c r="N43" s="11"/>
    </row>
    <row r="44" spans="2:14">
      <c r="B44" s="16"/>
      <c r="D44" s="1" t="s">
        <v>291</v>
      </c>
      <c r="J44" s="17"/>
      <c r="L44" s="11"/>
      <c r="M44" s="11"/>
      <c r="N44" s="11"/>
    </row>
    <row r="45" spans="2:14">
      <c r="B45" s="16"/>
      <c r="D45" s="1" t="s">
        <v>292</v>
      </c>
      <c r="J45" s="17"/>
      <c r="L45" s="11"/>
      <c r="M45" s="11"/>
      <c r="N45" s="11"/>
    </row>
    <row r="46" spans="2:14">
      <c r="B46" s="16"/>
      <c r="D46" s="1" t="s">
        <v>293</v>
      </c>
      <c r="J46" s="17"/>
      <c r="L46" s="11"/>
      <c r="M46" s="11"/>
      <c r="N46" s="11"/>
    </row>
    <row r="47" spans="2:14">
      <c r="B47" s="16"/>
      <c r="D47" s="1" t="s">
        <v>294</v>
      </c>
      <c r="J47" s="17"/>
      <c r="L47" s="11"/>
      <c r="M47" s="11"/>
      <c r="N47" s="11"/>
    </row>
    <row r="48" spans="2:14">
      <c r="B48" s="16"/>
      <c r="D48" s="1" t="s">
        <v>295</v>
      </c>
      <c r="J48" s="17"/>
      <c r="L48" s="11"/>
      <c r="M48" s="11"/>
      <c r="N48" s="11"/>
    </row>
    <row r="49" spans="2:14">
      <c r="B49" s="16"/>
      <c r="D49" s="1" t="s">
        <v>296</v>
      </c>
      <c r="J49" s="17"/>
      <c r="L49" s="11"/>
      <c r="M49" s="11"/>
      <c r="N49" s="11"/>
    </row>
    <row r="50" spans="2:14">
      <c r="B50" s="16"/>
      <c r="D50" s="1" t="s">
        <v>298</v>
      </c>
      <c r="J50" s="17"/>
      <c r="L50" s="11"/>
      <c r="M50" s="11"/>
      <c r="N50" s="11"/>
    </row>
    <row r="51" spans="2:14">
      <c r="B51" s="16"/>
      <c r="D51" s="1" t="s">
        <v>297</v>
      </c>
      <c r="J51" s="17"/>
      <c r="L51" s="11"/>
      <c r="M51" s="11"/>
      <c r="N51" s="11"/>
    </row>
    <row r="52" spans="2:14">
      <c r="B52" s="16"/>
      <c r="D52" s="1" t="s">
        <v>299</v>
      </c>
      <c r="J52" s="17"/>
      <c r="L52" s="11"/>
      <c r="M52" s="11"/>
      <c r="N52" s="11"/>
    </row>
    <row r="53" spans="2:14">
      <c r="B53" s="16"/>
      <c r="D53" s="1" t="s">
        <v>300</v>
      </c>
      <c r="E53" s="86"/>
      <c r="G53" s="65" t="s">
        <v>20</v>
      </c>
      <c r="J53" s="17"/>
      <c r="L53" s="11"/>
      <c r="M53" s="11"/>
      <c r="N53" s="11"/>
    </row>
    <row r="54" spans="2:14">
      <c r="B54" s="16"/>
      <c r="D54" s="1" t="s">
        <v>302</v>
      </c>
      <c r="E54" s="86"/>
      <c r="G54" s="65"/>
      <c r="J54" s="17"/>
      <c r="L54" s="11"/>
      <c r="M54" s="11"/>
      <c r="N54" s="11"/>
    </row>
    <row r="55" spans="2:14">
      <c r="B55" s="16"/>
      <c r="D55" s="1" t="s">
        <v>303</v>
      </c>
      <c r="J55" s="17"/>
      <c r="L55" s="11"/>
      <c r="M55" s="11"/>
      <c r="N55" s="11"/>
    </row>
    <row r="56" spans="2:14">
      <c r="B56" s="16"/>
      <c r="D56" s="1" t="s">
        <v>301</v>
      </c>
      <c r="J56" s="17"/>
      <c r="L56" s="11"/>
      <c r="M56" s="11"/>
      <c r="N56" s="11"/>
    </row>
    <row r="57" spans="2:14" ht="17" thickBot="1">
      <c r="B57" s="18"/>
      <c r="C57" s="19"/>
      <c r="D57" s="19"/>
      <c r="E57" s="19"/>
      <c r="F57" s="19"/>
      <c r="G57" s="19"/>
      <c r="H57" s="19"/>
      <c r="I57" s="19"/>
      <c r="J57" s="20"/>
      <c r="L57" s="11"/>
      <c r="M57" s="11"/>
      <c r="N57" s="11"/>
    </row>
  </sheetData>
  <hyperlinks>
    <hyperlink ref="F9" r:id="rId1" xr:uid="{EA7902C9-A0FF-B24F-964D-F782A1500198}"/>
    <hyperlink ref="G53" r:id="rId2" xr:uid="{1808A5FF-B4F2-F04F-835F-632262EDABBC}"/>
    <hyperlink ref="F10" r:id="rId3" xr:uid="{97CA895F-5533-45D4-937A-3FB155AAD426}"/>
    <hyperlink ref="G25" r:id="rId4" xr:uid="{B7638B58-D795-D849-BE48-7EDFCC3F0AA7}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A11B9-5BE1-DC49-94F0-970B6BE7D45F}">
  <sheetPr codeName="Sheet2">
    <tabColor theme="9" tint="0.79998168889431442"/>
  </sheetPr>
  <dimension ref="B2:K55"/>
  <sheetViews>
    <sheetView zoomScaleNormal="100" workbookViewId="0">
      <selection activeCell="B5" sqref="B5:K55"/>
    </sheetView>
  </sheetViews>
  <sheetFormatPr baseColWidth="10" defaultColWidth="10.83203125" defaultRowHeight="16"/>
  <cols>
    <col min="1" max="1" width="10.83203125" style="1"/>
    <col min="2" max="2" width="23.6640625" style="1" customWidth="1"/>
    <col min="3" max="3" width="38.83203125" style="1" customWidth="1"/>
    <col min="4" max="4" width="25" style="1" bestFit="1" customWidth="1"/>
    <col min="5" max="5" width="18.5" style="1" bestFit="1" customWidth="1"/>
    <col min="6" max="6" width="18.1640625" style="1" customWidth="1"/>
    <col min="7" max="8" width="13.5" style="1" customWidth="1"/>
    <col min="9" max="9" width="10.83203125" style="1"/>
    <col min="10" max="10" width="28.1640625" style="1" customWidth="1"/>
    <col min="11" max="11" width="35" style="1" customWidth="1"/>
    <col min="12" max="16384" width="10.83203125" style="1"/>
  </cols>
  <sheetData>
    <row r="2" spans="2:11">
      <c r="C2" s="1" t="s">
        <v>21</v>
      </c>
      <c r="D2" s="6" t="s">
        <v>11</v>
      </c>
      <c r="E2" s="7" t="s">
        <v>183</v>
      </c>
    </row>
    <row r="4" spans="2:11">
      <c r="B4" s="4" t="s">
        <v>22</v>
      </c>
      <c r="C4" s="4" t="s">
        <v>23</v>
      </c>
      <c r="D4" s="4" t="s">
        <v>24</v>
      </c>
      <c r="E4" s="4" t="s">
        <v>25</v>
      </c>
      <c r="F4" s="4" t="s">
        <v>26</v>
      </c>
      <c r="G4" s="4" t="s">
        <v>27</v>
      </c>
      <c r="H4" s="4" t="s">
        <v>28</v>
      </c>
      <c r="I4" s="4" t="s">
        <v>29</v>
      </c>
      <c r="J4" s="4" t="s">
        <v>30</v>
      </c>
      <c r="K4" s="93" t="s">
        <v>307</v>
      </c>
    </row>
    <row r="5" spans="2:11">
      <c r="B5" s="1" t="s">
        <v>31</v>
      </c>
      <c r="C5" s="1" t="s">
        <v>142</v>
      </c>
      <c r="D5" s="5" t="s">
        <v>202</v>
      </c>
      <c r="E5" s="1" t="s">
        <v>32</v>
      </c>
      <c r="F5" s="5" t="s">
        <v>133</v>
      </c>
      <c r="G5" s="5" t="s">
        <v>33</v>
      </c>
      <c r="H5" s="5"/>
      <c r="I5" s="5"/>
      <c r="J5" s="5"/>
      <c r="K5" s="5">
        <v>800</v>
      </c>
    </row>
    <row r="6" spans="2:11">
      <c r="B6" s="1" t="s">
        <v>31</v>
      </c>
      <c r="C6" s="1" t="s">
        <v>143</v>
      </c>
      <c r="D6" s="5" t="s">
        <v>203</v>
      </c>
      <c r="E6" s="1" t="s">
        <v>34</v>
      </c>
      <c r="F6" s="5" t="s">
        <v>133</v>
      </c>
      <c r="G6" s="5" t="s">
        <v>35</v>
      </c>
      <c r="H6" s="5"/>
      <c r="I6" s="5"/>
      <c r="J6" s="5"/>
      <c r="K6" s="5">
        <v>800</v>
      </c>
    </row>
    <row r="7" spans="2:11">
      <c r="B7" s="1" t="s">
        <v>31</v>
      </c>
      <c r="C7" s="1" t="s">
        <v>139</v>
      </c>
      <c r="D7" s="5" t="s">
        <v>204</v>
      </c>
      <c r="E7" s="1" t="s">
        <v>32</v>
      </c>
      <c r="F7" s="5" t="s">
        <v>135</v>
      </c>
      <c r="G7" s="5" t="s">
        <v>33</v>
      </c>
      <c r="H7" s="5"/>
      <c r="I7" s="5"/>
      <c r="J7" s="5"/>
      <c r="K7" s="5">
        <v>800</v>
      </c>
    </row>
    <row r="8" spans="2:11">
      <c r="B8" s="1" t="s">
        <v>31</v>
      </c>
      <c r="C8" s="1" t="s">
        <v>140</v>
      </c>
      <c r="D8" s="5" t="s">
        <v>205</v>
      </c>
      <c r="E8" s="1" t="s">
        <v>34</v>
      </c>
      <c r="F8" s="5" t="s">
        <v>135</v>
      </c>
      <c r="G8" s="5" t="s">
        <v>35</v>
      </c>
      <c r="H8" s="5"/>
      <c r="I8" s="5"/>
      <c r="J8" s="5"/>
      <c r="K8" s="5">
        <v>800</v>
      </c>
    </row>
    <row r="9" spans="2:11">
      <c r="B9" s="1" t="s">
        <v>31</v>
      </c>
      <c r="C9" s="1" t="s">
        <v>141</v>
      </c>
      <c r="D9" s="5" t="s">
        <v>206</v>
      </c>
      <c r="E9" s="1" t="s">
        <v>34</v>
      </c>
      <c r="F9" s="5" t="s">
        <v>133</v>
      </c>
      <c r="G9" s="5" t="s">
        <v>35</v>
      </c>
      <c r="H9" s="5"/>
      <c r="I9" s="5"/>
      <c r="J9" s="5"/>
      <c r="K9" s="5">
        <v>800</v>
      </c>
    </row>
    <row r="10" spans="2:11">
      <c r="B10" s="1" t="s">
        <v>31</v>
      </c>
      <c r="C10" s="1" t="s">
        <v>144</v>
      </c>
      <c r="D10" s="5" t="s">
        <v>207</v>
      </c>
      <c r="E10" s="1" t="s">
        <v>34</v>
      </c>
      <c r="F10" s="5" t="s">
        <v>133</v>
      </c>
      <c r="G10" s="5" t="s">
        <v>35</v>
      </c>
      <c r="H10" s="5"/>
      <c r="I10" s="5"/>
      <c r="J10" s="5"/>
      <c r="K10" s="5">
        <v>800</v>
      </c>
    </row>
    <row r="11" spans="2:11">
      <c r="B11" s="1" t="s">
        <v>31</v>
      </c>
      <c r="C11" s="1" t="s">
        <v>137</v>
      </c>
      <c r="D11" s="5" t="s">
        <v>208</v>
      </c>
      <c r="E11" s="1" t="s">
        <v>32</v>
      </c>
      <c r="F11" s="5" t="s">
        <v>135</v>
      </c>
      <c r="G11" s="5" t="s">
        <v>33</v>
      </c>
      <c r="H11" s="5"/>
      <c r="I11" s="5"/>
      <c r="J11" s="5"/>
      <c r="K11" s="5">
        <v>800</v>
      </c>
    </row>
    <row r="12" spans="2:11">
      <c r="B12" s="1" t="s">
        <v>31</v>
      </c>
      <c r="C12" s="1" t="s">
        <v>138</v>
      </c>
      <c r="D12" s="5" t="s">
        <v>209</v>
      </c>
      <c r="E12" s="1" t="s">
        <v>34</v>
      </c>
      <c r="F12" s="5" t="s">
        <v>135</v>
      </c>
      <c r="G12" s="5" t="s">
        <v>35</v>
      </c>
      <c r="H12" s="5"/>
      <c r="I12" s="5"/>
      <c r="J12" s="5"/>
      <c r="K12" s="5">
        <v>800</v>
      </c>
    </row>
    <row r="13" spans="2:11">
      <c r="B13" s="1" t="s">
        <v>36</v>
      </c>
      <c r="C13" s="1" t="s">
        <v>237</v>
      </c>
      <c r="D13" s="5" t="s">
        <v>213</v>
      </c>
      <c r="E13" s="1" t="s">
        <v>37</v>
      </c>
      <c r="F13" s="5"/>
      <c r="G13" s="5" t="s">
        <v>38</v>
      </c>
      <c r="H13" s="5"/>
      <c r="I13" s="5"/>
      <c r="J13" s="5"/>
      <c r="K13" s="5"/>
    </row>
    <row r="14" spans="2:11">
      <c r="B14" s="1" t="s">
        <v>36</v>
      </c>
      <c r="C14" s="1" t="s">
        <v>238</v>
      </c>
      <c r="D14" s="5" t="s">
        <v>210</v>
      </c>
      <c r="E14" s="1" t="s">
        <v>39</v>
      </c>
      <c r="F14" s="5"/>
      <c r="G14" s="5" t="s">
        <v>38</v>
      </c>
      <c r="H14" s="5"/>
      <c r="I14" s="5"/>
      <c r="J14" s="5"/>
      <c r="K14" s="5"/>
    </row>
    <row r="15" spans="2:11">
      <c r="B15" s="1" t="s">
        <v>36</v>
      </c>
      <c r="C15" s="1" t="s">
        <v>239</v>
      </c>
      <c r="D15" s="5" t="s">
        <v>214</v>
      </c>
      <c r="E15" s="1" t="s">
        <v>40</v>
      </c>
      <c r="F15" s="5"/>
      <c r="G15" s="5" t="s">
        <v>33</v>
      </c>
      <c r="H15" s="5"/>
      <c r="I15" s="5"/>
      <c r="J15" s="5"/>
      <c r="K15" s="5"/>
    </row>
    <row r="16" spans="2:11">
      <c r="B16" s="1" t="s">
        <v>36</v>
      </c>
      <c r="C16" s="1" t="s">
        <v>240</v>
      </c>
      <c r="D16" s="5" t="s">
        <v>215</v>
      </c>
      <c r="E16" s="1" t="s">
        <v>41</v>
      </c>
      <c r="F16" s="5"/>
      <c r="G16" s="5" t="s">
        <v>33</v>
      </c>
      <c r="H16" s="5"/>
      <c r="I16" s="5"/>
      <c r="J16" s="5"/>
      <c r="K16" s="5"/>
    </row>
    <row r="17" spans="2:11">
      <c r="B17" s="1" t="s">
        <v>36</v>
      </c>
      <c r="C17" s="1" t="s">
        <v>241</v>
      </c>
      <c r="D17" s="5" t="s">
        <v>216</v>
      </c>
      <c r="E17" s="1" t="s">
        <v>37</v>
      </c>
      <c r="F17" s="5"/>
      <c r="G17" s="5" t="s">
        <v>38</v>
      </c>
      <c r="H17" s="5"/>
      <c r="I17" s="5"/>
      <c r="J17" s="5"/>
      <c r="K17" s="5"/>
    </row>
    <row r="18" spans="2:11">
      <c r="B18" s="1" t="s">
        <v>36</v>
      </c>
      <c r="C18" s="1" t="s">
        <v>242</v>
      </c>
      <c r="D18" s="5" t="s">
        <v>211</v>
      </c>
      <c r="E18" s="1" t="s">
        <v>39</v>
      </c>
      <c r="F18" s="5"/>
      <c r="G18" s="5" t="s">
        <v>38</v>
      </c>
      <c r="H18" s="5"/>
      <c r="I18" s="5"/>
      <c r="J18" s="5"/>
      <c r="K18" s="5"/>
    </row>
    <row r="19" spans="2:11">
      <c r="B19" s="1" t="s">
        <v>36</v>
      </c>
      <c r="C19" s="1" t="s">
        <v>243</v>
      </c>
      <c r="D19" s="5" t="s">
        <v>217</v>
      </c>
      <c r="E19" s="1" t="s">
        <v>40</v>
      </c>
      <c r="F19" s="5"/>
      <c r="G19" s="5" t="s">
        <v>33</v>
      </c>
      <c r="H19" s="5"/>
      <c r="I19" s="5"/>
      <c r="J19" s="5"/>
      <c r="K19" s="5"/>
    </row>
    <row r="20" spans="2:11">
      <c r="B20" s="1" t="s">
        <v>36</v>
      </c>
      <c r="C20" s="1" t="s">
        <v>244</v>
      </c>
      <c r="D20" s="5" t="s">
        <v>218</v>
      </c>
      <c r="E20" s="1" t="s">
        <v>41</v>
      </c>
      <c r="F20" s="5"/>
      <c r="G20" s="5" t="s">
        <v>33</v>
      </c>
      <c r="H20" s="5"/>
      <c r="I20" s="5"/>
      <c r="J20" s="5"/>
      <c r="K20" s="5"/>
    </row>
    <row r="21" spans="2:11">
      <c r="B21" s="1" t="s">
        <v>36</v>
      </c>
      <c r="C21" s="1" t="s">
        <v>245</v>
      </c>
      <c r="D21" s="5" t="s">
        <v>219</v>
      </c>
      <c r="E21" s="1" t="s">
        <v>37</v>
      </c>
      <c r="F21" s="5"/>
      <c r="G21" s="5" t="s">
        <v>38</v>
      </c>
      <c r="H21" s="5"/>
      <c r="I21" s="5"/>
      <c r="J21" s="5"/>
      <c r="K21" s="5"/>
    </row>
    <row r="22" spans="2:11">
      <c r="B22" s="1" t="s">
        <v>36</v>
      </c>
      <c r="C22" s="1" t="s">
        <v>246</v>
      </c>
      <c r="D22" s="5" t="s">
        <v>212</v>
      </c>
      <c r="E22" s="1" t="s">
        <v>39</v>
      </c>
      <c r="F22" s="5"/>
      <c r="G22" s="5" t="s">
        <v>38</v>
      </c>
      <c r="H22" s="5"/>
      <c r="I22" s="5"/>
      <c r="J22" s="5"/>
      <c r="K22" s="5"/>
    </row>
    <row r="23" spans="2:11">
      <c r="B23" s="1" t="s">
        <v>229</v>
      </c>
      <c r="C23" s="1" t="s">
        <v>229</v>
      </c>
      <c r="D23" s="5" t="s">
        <v>230</v>
      </c>
      <c r="E23" s="1" t="s">
        <v>229</v>
      </c>
      <c r="F23" s="5"/>
      <c r="G23" s="5"/>
      <c r="H23" s="5"/>
      <c r="I23" s="5"/>
      <c r="J23" s="5"/>
      <c r="K23" s="5"/>
    </row>
    <row r="24" spans="2:11">
      <c r="B24" s="1" t="s">
        <v>42</v>
      </c>
      <c r="C24" s="1" t="s">
        <v>259</v>
      </c>
      <c r="D24" s="5" t="s">
        <v>220</v>
      </c>
      <c r="E24" s="1" t="s">
        <v>43</v>
      </c>
      <c r="F24" s="5"/>
      <c r="G24" s="5"/>
      <c r="H24" s="5"/>
      <c r="I24" s="5"/>
      <c r="J24" s="5" t="s">
        <v>44</v>
      </c>
      <c r="K24" s="5">
        <v>350</v>
      </c>
    </row>
    <row r="25" spans="2:11">
      <c r="B25" s="1" t="s">
        <v>42</v>
      </c>
      <c r="C25" s="1" t="s">
        <v>260</v>
      </c>
      <c r="D25" s="5" t="s">
        <v>221</v>
      </c>
      <c r="E25" s="1" t="s">
        <v>45</v>
      </c>
      <c r="F25" s="5"/>
      <c r="G25" s="5"/>
      <c r="H25" s="5"/>
      <c r="I25" s="5"/>
      <c r="J25" s="5"/>
      <c r="K25" s="5">
        <v>350</v>
      </c>
    </row>
    <row r="26" spans="2:11">
      <c r="B26" s="1" t="s">
        <v>42</v>
      </c>
      <c r="C26" s="1" t="s">
        <v>261</v>
      </c>
      <c r="D26" s="5" t="s">
        <v>222</v>
      </c>
      <c r="E26" s="1" t="s">
        <v>43</v>
      </c>
      <c r="F26" s="5"/>
      <c r="G26" s="5"/>
      <c r="H26" s="5" t="s">
        <v>47</v>
      </c>
      <c r="I26" s="5"/>
      <c r="J26" s="5"/>
      <c r="K26" s="5">
        <v>350</v>
      </c>
    </row>
    <row r="27" spans="2:11">
      <c r="B27" s="1" t="s">
        <v>42</v>
      </c>
      <c r="C27" s="1" t="s">
        <v>262</v>
      </c>
      <c r="D27" s="5" t="s">
        <v>223</v>
      </c>
      <c r="E27" s="1" t="s">
        <v>46</v>
      </c>
      <c r="F27" s="5"/>
      <c r="G27" s="5"/>
      <c r="H27" s="5"/>
      <c r="I27" s="5"/>
      <c r="J27" s="5"/>
      <c r="K27" s="5">
        <v>350</v>
      </c>
    </row>
    <row r="28" spans="2:11">
      <c r="B28" s="1" t="s">
        <v>42</v>
      </c>
      <c r="C28" s="1" t="s">
        <v>263</v>
      </c>
      <c r="D28" s="5" t="s">
        <v>231</v>
      </c>
      <c r="E28" s="1" t="s">
        <v>43</v>
      </c>
      <c r="F28" s="5"/>
      <c r="G28" s="5"/>
      <c r="H28" s="5"/>
      <c r="I28" s="5"/>
      <c r="J28" s="5"/>
      <c r="K28" s="5">
        <v>350</v>
      </c>
    </row>
    <row r="29" spans="2:11">
      <c r="B29" s="1" t="s">
        <v>42</v>
      </c>
      <c r="C29" s="1" t="s">
        <v>264</v>
      </c>
      <c r="D29" s="5" t="s">
        <v>232</v>
      </c>
      <c r="E29" s="1" t="s">
        <v>45</v>
      </c>
      <c r="F29" s="5"/>
      <c r="G29" s="5"/>
      <c r="H29" s="5"/>
      <c r="I29" s="5"/>
      <c r="J29" s="5"/>
      <c r="K29" s="5">
        <v>350</v>
      </c>
    </row>
    <row r="30" spans="2:11">
      <c r="B30" s="1" t="s">
        <v>42</v>
      </c>
      <c r="C30" s="1" t="s">
        <v>265</v>
      </c>
      <c r="D30" s="5" t="s">
        <v>233</v>
      </c>
      <c r="E30" s="1" t="s">
        <v>46</v>
      </c>
      <c r="F30" s="5"/>
      <c r="G30" s="5"/>
      <c r="H30" s="5"/>
      <c r="I30" s="5"/>
      <c r="J30" s="5"/>
      <c r="K30" s="5">
        <v>350</v>
      </c>
    </row>
    <row r="31" spans="2:11">
      <c r="B31" s="1" t="s">
        <v>48</v>
      </c>
      <c r="C31" s="1" t="s">
        <v>253</v>
      </c>
      <c r="D31" s="5" t="s">
        <v>51</v>
      </c>
      <c r="E31" s="1" t="s">
        <v>52</v>
      </c>
      <c r="F31" s="5"/>
      <c r="G31" s="5"/>
      <c r="H31" s="5" t="s">
        <v>47</v>
      </c>
      <c r="I31" s="5"/>
      <c r="J31" s="5"/>
      <c r="K31" s="5"/>
    </row>
    <row r="32" spans="2:11">
      <c r="B32" s="1" t="s">
        <v>48</v>
      </c>
      <c r="C32" s="1" t="s">
        <v>254</v>
      </c>
      <c r="D32" s="5" t="s">
        <v>49</v>
      </c>
      <c r="E32" s="1" t="s">
        <v>50</v>
      </c>
      <c r="F32" s="5"/>
      <c r="G32" s="5"/>
      <c r="H32" s="5" t="s">
        <v>134</v>
      </c>
      <c r="I32" s="5"/>
      <c r="J32" s="5"/>
      <c r="K32" s="5"/>
    </row>
    <row r="33" spans="2:11">
      <c r="B33" s="1" t="s">
        <v>53</v>
      </c>
      <c r="C33" s="1" t="s">
        <v>266</v>
      </c>
      <c r="D33" s="5" t="s">
        <v>266</v>
      </c>
      <c r="E33" s="1" t="s">
        <v>59</v>
      </c>
      <c r="F33" s="5"/>
      <c r="G33" s="5"/>
      <c r="H33" s="5"/>
      <c r="I33" s="5"/>
      <c r="J33" s="5"/>
      <c r="K33" s="5"/>
    </row>
    <row r="34" spans="2:11">
      <c r="B34" s="1" t="s">
        <v>53</v>
      </c>
      <c r="C34" s="1" t="s">
        <v>60</v>
      </c>
      <c r="D34" s="83" t="s">
        <v>188</v>
      </c>
      <c r="E34" s="1" t="s">
        <v>61</v>
      </c>
      <c r="F34" s="5"/>
      <c r="G34" s="5"/>
      <c r="H34" s="5"/>
      <c r="I34" s="5" t="s">
        <v>62</v>
      </c>
      <c r="J34" s="5"/>
      <c r="K34" s="5"/>
    </row>
    <row r="35" spans="2:11">
      <c r="B35" s="1" t="s">
        <v>53</v>
      </c>
      <c r="C35" s="1" t="s">
        <v>189</v>
      </c>
      <c r="D35" s="83" t="s">
        <v>190</v>
      </c>
      <c r="E35" s="1" t="s">
        <v>61</v>
      </c>
      <c r="F35" s="5"/>
      <c r="G35" s="5"/>
      <c r="H35" s="5"/>
      <c r="I35" s="5"/>
      <c r="J35" s="5"/>
      <c r="K35" s="5"/>
    </row>
    <row r="36" spans="2:11">
      <c r="B36" s="1" t="s">
        <v>53</v>
      </c>
      <c r="C36" s="1" t="s">
        <v>69</v>
      </c>
      <c r="D36" s="83" t="s">
        <v>191</v>
      </c>
      <c r="E36" s="1" t="s">
        <v>61</v>
      </c>
      <c r="F36" s="5"/>
      <c r="G36" s="5"/>
      <c r="H36" s="5"/>
      <c r="I36" s="5" t="s">
        <v>62</v>
      </c>
      <c r="J36" s="5"/>
      <c r="K36" s="5"/>
    </row>
    <row r="37" spans="2:11">
      <c r="B37" s="1" t="s">
        <v>53</v>
      </c>
      <c r="C37" s="1" t="s">
        <v>193</v>
      </c>
      <c r="D37" s="83" t="s">
        <v>192</v>
      </c>
      <c r="F37" s="5"/>
      <c r="G37" s="5"/>
      <c r="H37" s="5"/>
      <c r="I37" s="5"/>
      <c r="J37" s="5"/>
      <c r="K37" s="5"/>
    </row>
    <row r="38" spans="2:11">
      <c r="B38" s="1" t="s">
        <v>53</v>
      </c>
      <c r="C38" s="1" t="s">
        <v>200</v>
      </c>
      <c r="D38" s="83" t="s">
        <v>201</v>
      </c>
      <c r="F38" s="5"/>
      <c r="G38" s="5"/>
      <c r="H38" s="5"/>
      <c r="I38" s="5"/>
      <c r="J38" s="5"/>
      <c r="K38" s="5"/>
    </row>
    <row r="39" spans="2:11">
      <c r="B39" s="1" t="s">
        <v>53</v>
      </c>
      <c r="C39" s="1" t="s">
        <v>198</v>
      </c>
      <c r="D39" s="83" t="s">
        <v>194</v>
      </c>
      <c r="E39" s="1" t="s">
        <v>55</v>
      </c>
      <c r="F39" s="5"/>
      <c r="G39" s="5"/>
      <c r="H39" s="5"/>
      <c r="I39" s="5"/>
      <c r="J39" s="5"/>
      <c r="K39" s="5"/>
    </row>
    <row r="40" spans="2:11">
      <c r="B40" s="1" t="s">
        <v>53</v>
      </c>
      <c r="C40" s="1" t="s">
        <v>58</v>
      </c>
      <c r="D40" s="83" t="s">
        <v>195</v>
      </c>
      <c r="E40" s="1" t="s">
        <v>59</v>
      </c>
      <c r="F40" s="5"/>
      <c r="G40" s="5"/>
      <c r="H40" s="5"/>
      <c r="I40" s="5"/>
      <c r="J40" s="5"/>
      <c r="K40" s="5">
        <v>800</v>
      </c>
    </row>
    <row r="41" spans="2:11">
      <c r="B41" s="1" t="s">
        <v>53</v>
      </c>
      <c r="C41" s="1" t="s">
        <v>66</v>
      </c>
      <c r="D41" s="83" t="s">
        <v>186</v>
      </c>
      <c r="E41" s="1" t="s">
        <v>55</v>
      </c>
      <c r="F41" s="5"/>
      <c r="G41" s="5"/>
      <c r="H41" s="5"/>
      <c r="I41" s="5" t="s">
        <v>65</v>
      </c>
      <c r="J41" s="5"/>
      <c r="K41" s="5"/>
    </row>
    <row r="42" spans="2:11">
      <c r="B42" s="1" t="s">
        <v>53</v>
      </c>
      <c r="C42" s="1" t="s">
        <v>54</v>
      </c>
      <c r="D42" s="83" t="s">
        <v>184</v>
      </c>
      <c r="E42" s="1" t="s">
        <v>55</v>
      </c>
      <c r="F42" s="5"/>
      <c r="G42" s="5"/>
      <c r="H42" s="5"/>
      <c r="I42" s="5">
        <v>1911</v>
      </c>
      <c r="J42" s="5"/>
      <c r="K42" s="5"/>
    </row>
    <row r="43" spans="2:11">
      <c r="B43" s="1" t="s">
        <v>53</v>
      </c>
      <c r="C43" s="1" t="s">
        <v>197</v>
      </c>
      <c r="D43" s="83" t="s">
        <v>199</v>
      </c>
      <c r="F43" s="5"/>
      <c r="G43" s="5"/>
      <c r="H43" s="5"/>
      <c r="I43" s="5"/>
      <c r="J43" s="5"/>
      <c r="K43" s="5"/>
    </row>
    <row r="44" spans="2:11">
      <c r="B44" s="1" t="s">
        <v>53</v>
      </c>
      <c r="C44" s="1" t="s">
        <v>56</v>
      </c>
      <c r="D44" s="83" t="s">
        <v>187</v>
      </c>
      <c r="E44" s="1" t="s">
        <v>57</v>
      </c>
      <c r="F44" s="5"/>
      <c r="G44" s="5"/>
      <c r="H44" s="5"/>
      <c r="I44" s="5">
        <v>1911</v>
      </c>
      <c r="J44" s="5"/>
      <c r="K44" s="5">
        <v>600</v>
      </c>
    </row>
    <row r="45" spans="2:11">
      <c r="B45" s="1" t="s">
        <v>53</v>
      </c>
      <c r="C45" s="1" t="s">
        <v>67</v>
      </c>
      <c r="D45" s="83" t="s">
        <v>185</v>
      </c>
      <c r="E45" s="1" t="s">
        <v>68</v>
      </c>
      <c r="F45" s="5"/>
      <c r="G45" s="5"/>
      <c r="H45" s="5"/>
      <c r="I45" s="5"/>
      <c r="J45" s="5"/>
      <c r="K45" s="5"/>
    </row>
    <row r="46" spans="2:11">
      <c r="B46" s="1" t="s">
        <v>53</v>
      </c>
      <c r="C46" s="1" t="s">
        <v>63</v>
      </c>
      <c r="D46" s="83" t="s">
        <v>196</v>
      </c>
      <c r="E46" s="1" t="s">
        <v>64</v>
      </c>
      <c r="F46" s="5"/>
      <c r="G46" s="5"/>
      <c r="H46" s="5"/>
      <c r="I46" s="5" t="s">
        <v>65</v>
      </c>
      <c r="J46" s="5"/>
      <c r="K46" s="5"/>
    </row>
    <row r="47" spans="2:11">
      <c r="B47" s="1" t="s">
        <v>70</v>
      </c>
      <c r="C47" s="1" t="s">
        <v>235</v>
      </c>
      <c r="D47" s="5" t="s">
        <v>224</v>
      </c>
      <c r="E47" s="1" t="s">
        <v>71</v>
      </c>
      <c r="F47" s="5"/>
      <c r="G47" s="5"/>
      <c r="H47" s="5" t="s">
        <v>47</v>
      </c>
      <c r="I47" s="5"/>
      <c r="J47" s="5" t="s">
        <v>72</v>
      </c>
      <c r="K47" s="5"/>
    </row>
    <row r="48" spans="2:11">
      <c r="B48" s="1" t="s">
        <v>70</v>
      </c>
      <c r="C48" s="1" t="s">
        <v>234</v>
      </c>
      <c r="D48" s="5" t="s">
        <v>236</v>
      </c>
      <c r="E48" s="1" t="s">
        <v>73</v>
      </c>
      <c r="F48" s="5"/>
      <c r="G48" s="5"/>
      <c r="H48" s="5" t="s">
        <v>47</v>
      </c>
      <c r="I48" s="5"/>
      <c r="J48" s="5" t="s">
        <v>72</v>
      </c>
      <c r="K48" s="5"/>
    </row>
    <row r="49" spans="2:11">
      <c r="B49" s="1" t="s">
        <v>70</v>
      </c>
      <c r="C49" s="1" t="s">
        <v>256</v>
      </c>
      <c r="D49" s="5" t="s">
        <v>225</v>
      </c>
      <c r="E49" s="1" t="s">
        <v>71</v>
      </c>
      <c r="F49" s="5"/>
      <c r="G49" s="5"/>
      <c r="H49" s="5"/>
      <c r="I49" s="5"/>
      <c r="J49" s="5" t="s">
        <v>72</v>
      </c>
      <c r="K49" s="5"/>
    </row>
    <row r="50" spans="2:11">
      <c r="B50" s="1" t="s">
        <v>70</v>
      </c>
      <c r="C50" s="1" t="s">
        <v>257</v>
      </c>
      <c r="D50" s="5" t="s">
        <v>226</v>
      </c>
      <c r="E50" s="1" t="s">
        <v>73</v>
      </c>
      <c r="F50" s="5"/>
      <c r="G50" s="5"/>
      <c r="H50" s="5"/>
      <c r="I50" s="5"/>
      <c r="J50" s="5" t="s">
        <v>72</v>
      </c>
      <c r="K50" s="5"/>
    </row>
    <row r="51" spans="2:11">
      <c r="B51" s="1" t="s">
        <v>70</v>
      </c>
      <c r="C51" s="1" t="s">
        <v>258</v>
      </c>
      <c r="D51" s="5" t="s">
        <v>227</v>
      </c>
      <c r="E51" s="1" t="s">
        <v>74</v>
      </c>
      <c r="F51" s="5"/>
      <c r="G51" s="5"/>
      <c r="H51" s="5"/>
      <c r="I51" s="5"/>
      <c r="J51" s="5" t="s">
        <v>72</v>
      </c>
      <c r="K51" s="5"/>
    </row>
    <row r="52" spans="2:11">
      <c r="B52" s="1" t="s">
        <v>247</v>
      </c>
      <c r="C52" s="1" t="s">
        <v>247</v>
      </c>
      <c r="D52" s="5" t="s">
        <v>267</v>
      </c>
      <c r="E52" s="1" t="s">
        <v>248</v>
      </c>
      <c r="F52" s="5"/>
      <c r="G52" s="5"/>
      <c r="H52" s="5"/>
      <c r="I52" s="5"/>
      <c r="J52" s="5"/>
      <c r="K52" s="5"/>
    </row>
    <row r="53" spans="2:11">
      <c r="B53" s="1" t="s">
        <v>248</v>
      </c>
      <c r="C53" s="1" t="s">
        <v>249</v>
      </c>
      <c r="D53" s="5" t="s">
        <v>250</v>
      </c>
      <c r="E53" s="1" t="s">
        <v>248</v>
      </c>
      <c r="F53" s="5"/>
      <c r="G53" s="5"/>
      <c r="H53" s="5"/>
      <c r="I53" s="5"/>
      <c r="J53" s="5"/>
      <c r="K53" s="5"/>
    </row>
    <row r="54" spans="2:11">
      <c r="B54" s="1" t="s">
        <v>248</v>
      </c>
      <c r="C54" s="1" t="s">
        <v>251</v>
      </c>
      <c r="D54" s="5" t="s">
        <v>252</v>
      </c>
      <c r="E54" s="1" t="s">
        <v>248</v>
      </c>
      <c r="F54" s="5"/>
      <c r="G54" s="5"/>
      <c r="H54" s="5"/>
      <c r="I54" s="5"/>
      <c r="J54" s="5"/>
      <c r="K54" s="5"/>
    </row>
    <row r="55" spans="2:11">
      <c r="B55" s="1" t="s">
        <v>248</v>
      </c>
      <c r="C55" s="1" t="s">
        <v>255</v>
      </c>
      <c r="D55" s="5"/>
      <c r="E55" s="1" t="s">
        <v>248</v>
      </c>
      <c r="F55" s="5"/>
      <c r="G55" s="5"/>
      <c r="H55" s="5"/>
      <c r="I55" s="5"/>
      <c r="J55" s="5"/>
      <c r="K55" s="5"/>
    </row>
  </sheetData>
  <hyperlinks>
    <hyperlink ref="D2" r:id="rId1" xr:uid="{FE42DCD8-2E99-3C46-9E74-E648CBD5EA39}"/>
  </hyperlinks>
  <pageMargins left="0.7" right="0.7" top="0.75" bottom="0.75" header="0.3" footer="0.3"/>
  <pageSetup orientation="portrait" horizontalDpi="0" verticalDpi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B6D6D3B-A025-AF4C-B987-1E193A56FD8E}">
          <x14:formula1>
            <xm:f>DataValidation!$B$7:$B$9</xm:f>
          </x14:formula1>
          <xm:sqref>G5:G55</xm:sqref>
        </x14:dataValidation>
        <x14:dataValidation type="list" allowBlank="1" showInputMessage="1" showErrorMessage="1" xr:uid="{3BA0917B-0EC5-864B-A5C1-210794012F4B}">
          <x14:formula1>
            <xm:f>DataValidation!$C$6:$C$9</xm:f>
          </x14:formula1>
          <xm:sqref>F5:F55</xm:sqref>
        </x14:dataValidation>
        <x14:dataValidation type="list" allowBlank="1" showInputMessage="1" showErrorMessage="1" xr:uid="{AFB38BC7-7FE6-5E41-8427-D256C2A5D7D2}">
          <x14:formula1>
            <xm:f>DataValidation!$D$7:$D$8</xm:f>
          </x14:formula1>
          <xm:sqref>H5:H55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B661-17CB-A946-8EDE-A790E0FE8608}">
  <sheetPr codeName="Sheet6"/>
  <dimension ref="B6:Q36"/>
  <sheetViews>
    <sheetView showGridLines="0" workbookViewId="0">
      <selection activeCell="D12" sqref="D12"/>
    </sheetView>
  </sheetViews>
  <sheetFormatPr baseColWidth="10" defaultColWidth="10.83203125" defaultRowHeight="16"/>
  <cols>
    <col min="1" max="1" width="10.83203125" style="1"/>
    <col min="2" max="2" width="37.6640625" style="1" bestFit="1" customWidth="1"/>
    <col min="3" max="3" width="23" style="1" bestFit="1" customWidth="1"/>
    <col min="4" max="4" width="36" style="1" bestFit="1" customWidth="1"/>
    <col min="5" max="5" width="19.83203125" style="1" customWidth="1"/>
    <col min="6" max="6" width="32.83203125" style="1" customWidth="1"/>
    <col min="7" max="7" width="26.6640625" style="1" bestFit="1" customWidth="1"/>
    <col min="8" max="8" width="22.1640625" style="1" customWidth="1"/>
    <col min="9" max="9" width="33" style="1" customWidth="1"/>
    <col min="10" max="10" width="22" style="1" customWidth="1"/>
    <col min="11" max="16384" width="10.83203125" style="1"/>
  </cols>
  <sheetData>
    <row r="6" spans="2:4">
      <c r="B6" s="24" t="s">
        <v>27</v>
      </c>
      <c r="C6" s="24" t="s">
        <v>26</v>
      </c>
      <c r="D6" s="24" t="s">
        <v>132</v>
      </c>
    </row>
    <row r="7" spans="2:4">
      <c r="B7" s="5" t="s">
        <v>33</v>
      </c>
      <c r="C7" s="5" t="s">
        <v>133</v>
      </c>
      <c r="D7" s="5" t="s">
        <v>134</v>
      </c>
    </row>
    <row r="8" spans="2:4">
      <c r="B8" s="5" t="s">
        <v>35</v>
      </c>
      <c r="C8" s="5" t="s">
        <v>135</v>
      </c>
      <c r="D8" s="5" t="s">
        <v>47</v>
      </c>
    </row>
    <row r="9" spans="2:4">
      <c r="B9" s="5" t="s">
        <v>38</v>
      </c>
      <c r="C9" s="5"/>
    </row>
    <row r="10" spans="2:4">
      <c r="B10" s="5"/>
    </row>
    <row r="11" spans="2:4">
      <c r="B11" s="5"/>
    </row>
    <row r="12" spans="2:4">
      <c r="B12" s="5"/>
    </row>
    <row r="13" spans="2:4">
      <c r="B13" s="5"/>
    </row>
    <row r="16" spans="2:4">
      <c r="B16" s="2" t="s">
        <v>136</v>
      </c>
    </row>
    <row r="17" spans="2:17">
      <c r="B17" s="23" t="str" cm="1">
        <f t="array" ref="B17:J17">TRANSPOSE(_xlfn._xlws.SORT(_xlfn.UNIQUE(StyleNameTable[Brand])))</f>
        <v>Brunt</v>
      </c>
      <c r="C17" s="23" t="str">
        <v>CAT</v>
      </c>
      <c r="D17" s="23" t="str">
        <v>Chippewa</v>
      </c>
      <c r="E17" s="23" t="str">
        <v>Dewalt</v>
      </c>
      <c r="F17" s="23" t="str">
        <v>Firedex</v>
      </c>
      <c r="G17" s="23" t="str">
        <v>Harley Davidson</v>
      </c>
      <c r="H17" s="23" t="str">
        <v>US Boot</v>
      </c>
      <c r="I17" s="23" t="str">
        <v>Weinbrenner</v>
      </c>
      <c r="J17" s="23" t="str">
        <v>Wolverine</v>
      </c>
      <c r="K17" s="23"/>
      <c r="L17" s="23"/>
      <c r="M17" s="23"/>
      <c r="N17" s="23"/>
      <c r="O17" s="23"/>
      <c r="P17" s="23"/>
      <c r="Q17" s="23"/>
    </row>
    <row r="18" spans="2:17">
      <c r="B18" s="5" t="str" cm="1">
        <f t="array" ref="B18:B25">_xlfn._xlws.FILTER(StyleNameTable[Style Name],StyleNameTable[Brand]=DataValidation!B17)</f>
        <v>USA Marin 6" Welted WP ST</v>
      </c>
      <c r="C18" s="5" t="str" cm="1">
        <f t="array" ref="C18">_xlfn._xlws.FILTER(StyleNameTable[Style Name],StyleNameTable[Brand]=DataValidation!C17)</f>
        <v>CAT</v>
      </c>
      <c r="D18" s="5" t="str" cm="1">
        <f t="array" ref="D18:D27">_xlfn._xlws.FILTER(StyleNameTable[Style Name],StyleNameTable[Brand]=DataValidation!D17)</f>
        <v>Super Logger Steel Toe 5405-E</v>
      </c>
      <c r="E18" s="5" t="str" cm="1">
        <f t="array" ref="E18">_xlfn._xlws.FILTER(StyleNameTable[Style Name],StyleNameTable[Brand]=DataValidation!E17)</f>
        <v>Dewalt</v>
      </c>
      <c r="F18" s="5" t="str" cm="1">
        <f t="array" ref="F18:F24">_xlfn._xlws.FILTER(StyleNameTable[Style Name],StyleNameTable[Brand]=DataValidation!F17)</f>
        <v>FDXL200 Men Medium Width</v>
      </c>
      <c r="G18" s="5" t="str" cm="1">
        <f t="array" ref="G18:G19">_xlfn._xlws.FILTER(StyleNameTable[Style Name],StyleNameTable[Brand]=DataValidation!G17)</f>
        <v>HD Women</v>
      </c>
      <c r="H18" s="5" t="str" cm="1">
        <f t="array" ref="H18:H31">_xlfn._xlws.FILTER(StyleNameTable[Style Name],StyleNameTable[Brand]=DataValidation!H17)</f>
        <v>Barebones</v>
      </c>
      <c r="I18" s="5" t="str" cm="1">
        <f t="array" ref="I18:I22">_xlfn._xlws.FILTER(StyleNameTable[Style Name],StyleNameTable[Brand]=DataValidation!I17)</f>
        <v>V-Force Women (Width: Medium)</v>
      </c>
      <c r="J18" s="5" t="str" cm="1">
        <f t="array" ref="J18:J20">_xlfn._xlws.FILTER(StyleNameTable[Style Name],StyleNameTable[Brand]=DataValidation!J17)</f>
        <v>Loader (ST)</v>
      </c>
      <c r="K18" s="5"/>
      <c r="L18" s="5"/>
      <c r="M18" s="5"/>
      <c r="N18" s="5"/>
    </row>
    <row r="19" spans="2:17">
      <c r="B19" s="5" t="str">
        <v>USA Marin 6" Welted WP CT</v>
      </c>
      <c r="C19" s="5"/>
      <c r="D19" s="5" t="str">
        <v>Super Logger Steel Toe 5405-EEE</v>
      </c>
      <c r="E19" s="5"/>
      <c r="F19" s="5" t="str">
        <v>FDXL200 Men Wide Width</v>
      </c>
      <c r="G19" s="5" t="str">
        <v>HD Men</v>
      </c>
      <c r="H19" s="5" t="str">
        <v>Echo</v>
      </c>
      <c r="I19" s="5" t="str">
        <v>V-Force Women (Width: Wide)</v>
      </c>
      <c r="J19" s="5" t="str">
        <v>Loader (CT)</v>
      </c>
      <c r="K19" s="5"/>
      <c r="L19" s="5"/>
      <c r="M19" s="5"/>
      <c r="N19" s="5"/>
    </row>
    <row r="20" spans="2:17">
      <c r="B20" s="5" t="str">
        <v>USA Marin 6" Welted NWP ST</v>
      </c>
      <c r="C20" s="5"/>
      <c r="D20" s="5" t="str">
        <v>Super Logger Soft Toe 5406-E</v>
      </c>
      <c r="E20" s="5"/>
      <c r="F20" s="5" t="str">
        <v>FDXL200 Women Medium Width</v>
      </c>
      <c r="G20" s="5"/>
      <c r="H20" s="5" t="str">
        <v>6" Handler CT WP</v>
      </c>
      <c r="I20" s="5" t="str">
        <v>V-Force Men (Width: Medium)</v>
      </c>
      <c r="J20" s="5" t="str">
        <v>Filson</v>
      </c>
      <c r="K20" s="5"/>
      <c r="L20" s="5"/>
      <c r="M20" s="5"/>
      <c r="N20" s="5"/>
    </row>
    <row r="21" spans="2:17">
      <c r="B21" s="5" t="str">
        <v xml:space="preserve">USA Marin 6" Welted NWP CT </v>
      </c>
      <c r="C21" s="5"/>
      <c r="D21" s="5" t="str">
        <v>Super Logger Soft Toe 5406-EEE</v>
      </c>
      <c r="E21" s="5"/>
      <c r="F21" s="5" t="str">
        <v>FDXL200 Men Extra Wide Width</v>
      </c>
      <c r="G21" s="5"/>
      <c r="H21" s="5" t="str">
        <v>Handler</v>
      </c>
      <c r="I21" s="5" t="str">
        <v>V-Force Men (Width: Wide)</v>
      </c>
      <c r="J21" s="5"/>
      <c r="K21" s="5"/>
      <c r="L21" s="5"/>
      <c r="M21" s="5"/>
      <c r="N21" s="5"/>
    </row>
    <row r="22" spans="2:17">
      <c r="B22" s="5" t="str">
        <v>USA Marin 8" Welted WP CT</v>
      </c>
      <c r="C22" s="5"/>
      <c r="D22" s="5" t="str">
        <v>Super Logger Steel Toe 5407-E</v>
      </c>
      <c r="E22" s="5"/>
      <c r="F22" s="5" t="str">
        <v>FDXL90 Men Medium Width</v>
      </c>
      <c r="G22" s="5"/>
      <c r="H22" s="5" t="str">
        <v>Ironmaster-Copper</v>
      </c>
      <c r="I22" s="5" t="str">
        <v>V-Force Men (Width: Extra Wide)</v>
      </c>
      <c r="J22" s="5"/>
      <c r="K22" s="5"/>
      <c r="L22" s="5"/>
      <c r="M22" s="5"/>
      <c r="N22" s="5"/>
    </row>
    <row r="23" spans="2:17">
      <c r="B23" s="5" t="str">
        <v>USA Marin Welted 6" WP CTBT</v>
      </c>
      <c r="C23" s="5"/>
      <c r="D23" s="5" t="str">
        <v>Super Logger Steel Toe 5407-EEE</v>
      </c>
      <c r="E23" s="5"/>
      <c r="F23" s="5" t="str">
        <v>FDXL90 Men Wide Width</v>
      </c>
      <c r="G23" s="5"/>
      <c r="H23" s="5" t="str">
        <v>Ironmaster-Black</v>
      </c>
      <c r="I23" s="5"/>
      <c r="J23" s="5"/>
      <c r="K23" s="5"/>
      <c r="L23" s="5"/>
      <c r="M23" s="5"/>
      <c r="N23" s="5"/>
    </row>
    <row r="24" spans="2:17">
      <c r="B24" s="5" t="str">
        <v>Ohman USA Welted 6" NWP ST</v>
      </c>
      <c r="C24" s="5"/>
      <c r="D24" s="5" t="str">
        <v>Super Logger Soft Toe 5408-E</v>
      </c>
      <c r="E24" s="5"/>
      <c r="F24" s="5" t="str">
        <v>FDXL90 Men Extra Wide Width</v>
      </c>
      <c r="G24" s="5"/>
      <c r="H24" s="5" t="str">
        <v>6" Bravo</v>
      </c>
      <c r="I24" s="5"/>
      <c r="J24" s="5"/>
      <c r="K24" s="5"/>
      <c r="L24" s="5"/>
      <c r="M24" s="5"/>
      <c r="N24" s="5"/>
    </row>
    <row r="25" spans="2:17">
      <c r="B25" s="5" t="str">
        <v>Ohman USA Welted 6" NWP CT</v>
      </c>
      <c r="C25" s="5"/>
      <c r="D25" s="5" t="str">
        <v>Super Logger Soft Toe 5408-EEE</v>
      </c>
      <c r="E25" s="5"/>
      <c r="F25" s="5"/>
      <c r="G25" s="5"/>
      <c r="H25" s="5" t="str">
        <v>Driftlock</v>
      </c>
      <c r="I25" s="5"/>
      <c r="J25" s="5"/>
      <c r="K25" s="5"/>
      <c r="L25" s="5"/>
      <c r="M25" s="5"/>
      <c r="N25" s="5"/>
    </row>
    <row r="26" spans="2:17">
      <c r="B26" s="5"/>
      <c r="C26" s="5"/>
      <c r="D26" s="5" t="str">
        <v>Super Logger Steel Toe 5410-E</v>
      </c>
      <c r="E26" s="5"/>
      <c r="F26" s="5"/>
      <c r="G26" s="5"/>
      <c r="H26" s="5" t="str">
        <v>Logan</v>
      </c>
      <c r="I26" s="5"/>
      <c r="J26" s="5"/>
      <c r="K26" s="5"/>
      <c r="L26" s="5"/>
      <c r="M26" s="5"/>
      <c r="N26" s="5"/>
    </row>
    <row r="27" spans="2:17">
      <c r="B27" s="5"/>
      <c r="C27" s="5"/>
      <c r="D27" s="5" t="str">
        <v>Super Logger Steel Toe 5410-EEE</v>
      </c>
      <c r="E27" s="5"/>
      <c r="F27" s="5"/>
      <c r="G27" s="5"/>
      <c r="H27" s="5" t="str">
        <v>Alpha</v>
      </c>
      <c r="I27" s="5"/>
      <c r="J27" s="5"/>
      <c r="K27" s="5"/>
      <c r="L27" s="5"/>
      <c r="M27" s="5"/>
      <c r="N27" s="5"/>
    </row>
    <row r="28" spans="2:17">
      <c r="B28" s="5"/>
      <c r="C28" s="5"/>
      <c r="D28" s="5"/>
      <c r="E28" s="5"/>
      <c r="F28" s="5"/>
      <c r="G28" s="5"/>
      <c r="H28" s="5" t="str">
        <v>8" Bravo</v>
      </c>
      <c r="I28" s="5"/>
      <c r="J28" s="5"/>
      <c r="K28" s="5"/>
      <c r="L28" s="5"/>
      <c r="M28" s="5"/>
      <c r="N28" s="5"/>
    </row>
    <row r="29" spans="2:17">
      <c r="B29" s="5"/>
      <c r="C29" s="5"/>
      <c r="D29" s="5"/>
      <c r="E29" s="5"/>
      <c r="F29" s="5"/>
      <c r="G29" s="5"/>
      <c r="H29" s="5" t="str">
        <v>Condor Wellington</v>
      </c>
      <c r="I29" s="5"/>
      <c r="J29" s="5"/>
      <c r="K29" s="5"/>
      <c r="L29" s="5"/>
      <c r="M29" s="5"/>
      <c r="N29" s="5"/>
    </row>
    <row r="30" spans="2:17">
      <c r="B30" s="5"/>
      <c r="C30" s="5"/>
      <c r="D30" s="5"/>
      <c r="E30" s="5"/>
      <c r="F30" s="5"/>
      <c r="G30" s="5"/>
      <c r="H30" s="5" t="str">
        <v>Western</v>
      </c>
      <c r="I30" s="5"/>
      <c r="J30" s="5"/>
      <c r="K30" s="5"/>
      <c r="L30" s="5"/>
      <c r="M30" s="5"/>
      <c r="N30" s="5"/>
    </row>
    <row r="31" spans="2:17">
      <c r="B31" s="5"/>
      <c r="C31" s="5"/>
      <c r="D31" s="5"/>
      <c r="E31" s="5"/>
      <c r="F31" s="5"/>
      <c r="G31" s="5"/>
      <c r="H31" s="5" t="str">
        <v>James</v>
      </c>
      <c r="I31" s="5"/>
      <c r="J31" s="5"/>
      <c r="K31" s="5"/>
      <c r="L31" s="5"/>
      <c r="M31" s="5"/>
      <c r="N31" s="5"/>
    </row>
    <row r="32" spans="2:17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2:14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2:14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BCEF7-08A1-FF43-B8FD-9D883D39D8C4}">
  <sheetPr codeName="Sheet3">
    <tabColor theme="9" tint="0.79998168889431442"/>
  </sheetPr>
  <dimension ref="A2:AE63"/>
  <sheetViews>
    <sheetView topLeftCell="A4" workbookViewId="0">
      <pane xSplit="3" topLeftCell="O1" activePane="topRight" state="frozen"/>
      <selection activeCell="AE13" sqref="AE13"/>
      <selection pane="topRight" activeCell="B37" sqref="B37:AE58"/>
    </sheetView>
  </sheetViews>
  <sheetFormatPr baseColWidth="10" defaultColWidth="10.83203125" defaultRowHeight="16"/>
  <cols>
    <col min="1" max="1" width="10.83203125" style="1"/>
    <col min="2" max="2" width="18" style="1" customWidth="1"/>
    <col min="3" max="3" width="15.33203125" style="1" bestFit="1" customWidth="1"/>
    <col min="4" max="16384" width="10.83203125" style="1"/>
  </cols>
  <sheetData>
    <row r="2" spans="2:31">
      <c r="B2" s="2" t="s">
        <v>75</v>
      </c>
    </row>
    <row r="3" spans="2:31">
      <c r="B3" s="8" t="s">
        <v>76</v>
      </c>
    </row>
    <row r="4" spans="2:31">
      <c r="C4" s="2"/>
      <c r="D4" s="2" t="s">
        <v>77</v>
      </c>
    </row>
    <row r="5" spans="2:31" ht="18">
      <c r="B5" s="10" t="s">
        <v>22</v>
      </c>
      <c r="C5" s="10" t="s">
        <v>25</v>
      </c>
      <c r="D5" s="67" t="s">
        <v>78</v>
      </c>
      <c r="E5" s="3" t="s">
        <v>79</v>
      </c>
      <c r="F5" s="3" t="s">
        <v>80</v>
      </c>
      <c r="G5" s="3" t="s">
        <v>81</v>
      </c>
      <c r="H5" s="3" t="s">
        <v>82</v>
      </c>
      <c r="I5" s="3" t="s">
        <v>83</v>
      </c>
      <c r="J5" s="3" t="s">
        <v>84</v>
      </c>
      <c r="K5" s="3" t="s">
        <v>85</v>
      </c>
      <c r="L5" s="3" t="s">
        <v>86</v>
      </c>
      <c r="M5" s="3" t="s">
        <v>87</v>
      </c>
      <c r="N5" s="3" t="s">
        <v>88</v>
      </c>
      <c r="O5" s="3" t="s">
        <v>89</v>
      </c>
      <c r="P5" s="3" t="s">
        <v>90</v>
      </c>
      <c r="Q5" s="3" t="s">
        <v>91</v>
      </c>
      <c r="R5" s="3" t="s">
        <v>92</v>
      </c>
      <c r="S5" s="3" t="s">
        <v>93</v>
      </c>
      <c r="T5" s="3" t="s">
        <v>94</v>
      </c>
      <c r="U5" s="3" t="s">
        <v>95</v>
      </c>
      <c r="V5" s="3" t="s">
        <v>96</v>
      </c>
      <c r="W5" s="3" t="s">
        <v>97</v>
      </c>
      <c r="X5" s="3" t="s">
        <v>98</v>
      </c>
      <c r="Y5" s="3" t="s">
        <v>99</v>
      </c>
      <c r="Z5" s="3" t="s">
        <v>100</v>
      </c>
      <c r="AA5" s="3" t="s">
        <v>101</v>
      </c>
      <c r="AB5" s="3" t="s">
        <v>102</v>
      </c>
      <c r="AC5" s="3" t="s">
        <v>103</v>
      </c>
      <c r="AD5" s="3" t="s">
        <v>104</v>
      </c>
      <c r="AE5" s="3" t="s">
        <v>105</v>
      </c>
    </row>
    <row r="6" spans="2:31">
      <c r="B6" s="11" t="s">
        <v>36</v>
      </c>
      <c r="C6" s="11" t="s">
        <v>37</v>
      </c>
      <c r="D6" s="11"/>
      <c r="E6" s="11"/>
      <c r="F6" s="11"/>
      <c r="G6" s="11"/>
      <c r="H6" s="11"/>
      <c r="I6" s="11"/>
      <c r="J6" s="11"/>
      <c r="K6" s="11"/>
      <c r="L6" s="11">
        <v>6</v>
      </c>
      <c r="M6" s="11">
        <v>6</v>
      </c>
      <c r="N6" s="11">
        <v>6</v>
      </c>
      <c r="O6" s="11">
        <v>6</v>
      </c>
      <c r="P6" s="11">
        <v>12</v>
      </c>
      <c r="Q6" s="11">
        <v>12</v>
      </c>
      <c r="R6" s="11">
        <v>12</v>
      </c>
      <c r="S6" s="11">
        <v>11</v>
      </c>
      <c r="T6" s="11">
        <v>12</v>
      </c>
      <c r="U6" s="11">
        <v>12</v>
      </c>
      <c r="V6" s="11">
        <v>12</v>
      </c>
      <c r="W6" s="11"/>
      <c r="X6" s="11">
        <v>6</v>
      </c>
      <c r="Y6" s="11"/>
      <c r="Z6" s="11">
        <v>6</v>
      </c>
      <c r="AA6" s="11"/>
      <c r="AB6" s="11">
        <v>6</v>
      </c>
      <c r="AC6" s="11"/>
      <c r="AD6" s="11"/>
      <c r="AE6" s="10">
        <f t="shared" ref="AE6:AE12" si="0">SUM(D6:AD6)</f>
        <v>125</v>
      </c>
    </row>
    <row r="7" spans="2:31">
      <c r="B7" s="11" t="s">
        <v>36</v>
      </c>
      <c r="C7" s="11" t="s">
        <v>39</v>
      </c>
      <c r="D7" s="11"/>
      <c r="E7" s="11"/>
      <c r="F7" s="11"/>
      <c r="G7" s="11"/>
      <c r="H7" s="11"/>
      <c r="I7" s="11"/>
      <c r="J7" s="11"/>
      <c r="K7" s="11"/>
      <c r="L7" s="11">
        <v>6</v>
      </c>
      <c r="M7" s="11">
        <v>6</v>
      </c>
      <c r="N7" s="11">
        <v>6</v>
      </c>
      <c r="O7" s="11">
        <v>6</v>
      </c>
      <c r="P7" s="11">
        <v>12</v>
      </c>
      <c r="Q7" s="11">
        <v>12</v>
      </c>
      <c r="R7" s="11">
        <v>12</v>
      </c>
      <c r="S7" s="11">
        <v>12</v>
      </c>
      <c r="T7" s="11">
        <v>12</v>
      </c>
      <c r="U7" s="11">
        <v>6</v>
      </c>
      <c r="V7" s="11">
        <v>6</v>
      </c>
      <c r="W7" s="11"/>
      <c r="X7" s="11">
        <v>6</v>
      </c>
      <c r="Y7" s="11"/>
      <c r="Z7" s="11">
        <v>6</v>
      </c>
      <c r="AA7" s="11"/>
      <c r="AB7" s="11">
        <v>6</v>
      </c>
      <c r="AC7" s="11"/>
      <c r="AD7" s="11"/>
      <c r="AE7" s="10">
        <f t="shared" si="0"/>
        <v>114</v>
      </c>
    </row>
    <row r="8" spans="2:31">
      <c r="B8" s="11" t="s">
        <v>36</v>
      </c>
      <c r="C8" s="11" t="s">
        <v>40</v>
      </c>
      <c r="D8" s="11"/>
      <c r="E8" s="11"/>
      <c r="F8" s="11"/>
      <c r="G8" s="11"/>
      <c r="H8" s="11"/>
      <c r="I8" s="11"/>
      <c r="J8" s="11"/>
      <c r="K8" s="11"/>
      <c r="L8" s="11">
        <v>6</v>
      </c>
      <c r="M8" s="11">
        <v>6</v>
      </c>
      <c r="N8" s="11">
        <v>6</v>
      </c>
      <c r="O8" s="11">
        <v>6</v>
      </c>
      <c r="P8" s="11">
        <v>6</v>
      </c>
      <c r="Q8" s="11">
        <v>6</v>
      </c>
      <c r="R8" s="11">
        <v>6</v>
      </c>
      <c r="S8" s="11">
        <v>6</v>
      </c>
      <c r="T8" s="11">
        <v>6</v>
      </c>
      <c r="U8" s="11">
        <v>6</v>
      </c>
      <c r="V8" s="11">
        <v>5</v>
      </c>
      <c r="W8" s="11"/>
      <c r="X8" s="11">
        <v>6</v>
      </c>
      <c r="Y8" s="11"/>
      <c r="Z8" s="11">
        <v>6</v>
      </c>
      <c r="AA8" s="11"/>
      <c r="AB8" s="11">
        <v>6</v>
      </c>
      <c r="AC8" s="11"/>
      <c r="AD8" s="11"/>
      <c r="AE8" s="10">
        <f t="shared" si="0"/>
        <v>83</v>
      </c>
    </row>
    <row r="9" spans="2:31">
      <c r="B9" s="11" t="s">
        <v>36</v>
      </c>
      <c r="C9" s="11" t="s">
        <v>41</v>
      </c>
      <c r="D9" s="11"/>
      <c r="E9" s="11"/>
      <c r="F9" s="11"/>
      <c r="G9" s="11"/>
      <c r="H9" s="11"/>
      <c r="I9" s="11"/>
      <c r="J9" s="11"/>
      <c r="K9" s="11"/>
      <c r="L9" s="11">
        <v>6</v>
      </c>
      <c r="M9" s="11">
        <v>6</v>
      </c>
      <c r="N9" s="11">
        <v>6</v>
      </c>
      <c r="O9" s="11">
        <v>6</v>
      </c>
      <c r="P9" s="11">
        <v>6</v>
      </c>
      <c r="Q9" s="11">
        <v>6</v>
      </c>
      <c r="R9" s="11">
        <v>6</v>
      </c>
      <c r="S9" s="11">
        <v>6</v>
      </c>
      <c r="T9" s="11">
        <v>6</v>
      </c>
      <c r="U9" s="11">
        <v>6</v>
      </c>
      <c r="V9" s="11">
        <v>6</v>
      </c>
      <c r="W9" s="11"/>
      <c r="X9" s="11">
        <v>6</v>
      </c>
      <c r="Y9" s="11"/>
      <c r="Z9" s="11">
        <v>6</v>
      </c>
      <c r="AA9" s="11"/>
      <c r="AB9" s="11">
        <v>6</v>
      </c>
      <c r="AC9" s="11"/>
      <c r="AD9" s="11"/>
      <c r="AE9" s="10">
        <f t="shared" si="0"/>
        <v>84</v>
      </c>
    </row>
    <row r="10" spans="2:31">
      <c r="B10" s="11" t="s">
        <v>229</v>
      </c>
      <c r="C10" s="11" t="s">
        <v>229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v>6</v>
      </c>
      <c r="O10" s="11">
        <v>6</v>
      </c>
      <c r="P10" s="11">
        <v>6</v>
      </c>
      <c r="Q10" s="11">
        <v>6</v>
      </c>
      <c r="R10" s="11">
        <v>6</v>
      </c>
      <c r="S10" s="11">
        <v>6</v>
      </c>
      <c r="T10" s="11">
        <v>6</v>
      </c>
      <c r="U10" s="11">
        <v>6</v>
      </c>
      <c r="V10" s="11">
        <v>6</v>
      </c>
      <c r="W10" s="11"/>
      <c r="X10" s="11"/>
      <c r="Y10" s="11"/>
      <c r="Z10" s="11"/>
      <c r="AA10" s="11"/>
      <c r="AB10" s="11"/>
      <c r="AC10" s="11"/>
      <c r="AD10" s="11"/>
      <c r="AE10" s="10"/>
    </row>
    <row r="11" spans="2:31">
      <c r="B11" s="11" t="s">
        <v>53</v>
      </c>
      <c r="C11" s="11" t="s">
        <v>55</v>
      </c>
      <c r="D11" s="11"/>
      <c r="E11" s="11"/>
      <c r="F11" s="11"/>
      <c r="G11" s="11"/>
      <c r="H11" s="11"/>
      <c r="I11" s="11"/>
      <c r="J11" s="11"/>
      <c r="K11" s="11"/>
      <c r="L11" s="11">
        <v>6</v>
      </c>
      <c r="M11" s="11">
        <v>6</v>
      </c>
      <c r="N11" s="11">
        <v>6</v>
      </c>
      <c r="O11" s="11">
        <v>6</v>
      </c>
      <c r="P11" s="11">
        <v>9</v>
      </c>
      <c r="Q11" s="11">
        <v>18</v>
      </c>
      <c r="R11" s="11">
        <v>18</v>
      </c>
      <c r="S11" s="11">
        <v>27</v>
      </c>
      <c r="T11" s="11">
        <v>24</v>
      </c>
      <c r="U11" s="11">
        <v>12</v>
      </c>
      <c r="V11" s="11">
        <v>24</v>
      </c>
      <c r="W11" s="11"/>
      <c r="X11" s="11">
        <v>12</v>
      </c>
      <c r="Y11" s="11"/>
      <c r="Z11" s="11">
        <v>6</v>
      </c>
      <c r="AA11" s="11"/>
      <c r="AB11" s="11"/>
      <c r="AC11" s="11"/>
      <c r="AD11" s="11"/>
      <c r="AE11" s="10">
        <f t="shared" si="0"/>
        <v>174</v>
      </c>
    </row>
    <row r="12" spans="2:31">
      <c r="B12" s="11" t="s">
        <v>53</v>
      </c>
      <c r="C12" s="11" t="s">
        <v>61</v>
      </c>
      <c r="D12" s="11"/>
      <c r="E12" s="11"/>
      <c r="F12" s="11"/>
      <c r="G12" s="11"/>
      <c r="H12" s="11"/>
      <c r="I12" s="11"/>
      <c r="J12" s="11"/>
      <c r="K12" s="11"/>
      <c r="L12" s="11">
        <v>6</v>
      </c>
      <c r="M12" s="11">
        <v>6</v>
      </c>
      <c r="N12" s="11">
        <v>6</v>
      </c>
      <c r="O12" s="11">
        <v>6</v>
      </c>
      <c r="P12" s="11">
        <v>12</v>
      </c>
      <c r="Q12" s="11">
        <v>18</v>
      </c>
      <c r="R12" s="11">
        <v>24</v>
      </c>
      <c r="S12" s="11">
        <v>30</v>
      </c>
      <c r="T12" s="11">
        <v>24</v>
      </c>
      <c r="U12" s="11">
        <v>12</v>
      </c>
      <c r="V12" s="11">
        <v>24</v>
      </c>
      <c r="W12" s="11"/>
      <c r="X12" s="11">
        <v>12</v>
      </c>
      <c r="Y12" s="11"/>
      <c r="Z12" s="11">
        <v>6</v>
      </c>
      <c r="AA12" s="11"/>
      <c r="AB12" s="11"/>
      <c r="AC12" s="11"/>
      <c r="AD12" s="11"/>
      <c r="AE12" s="10">
        <f t="shared" si="0"/>
        <v>186</v>
      </c>
    </row>
    <row r="13" spans="2:31">
      <c r="B13" s="11" t="s">
        <v>53</v>
      </c>
      <c r="C13" s="11" t="s">
        <v>64</v>
      </c>
      <c r="D13" s="11"/>
      <c r="E13" s="11"/>
      <c r="F13" s="11"/>
      <c r="G13" s="11"/>
      <c r="H13" s="11"/>
      <c r="I13" s="11"/>
      <c r="J13" s="11"/>
      <c r="K13" s="11"/>
      <c r="L13" s="11">
        <v>3</v>
      </c>
      <c r="M13" s="11">
        <v>3</v>
      </c>
      <c r="N13" s="11">
        <v>3</v>
      </c>
      <c r="O13" s="11">
        <v>3</v>
      </c>
      <c r="P13" s="11">
        <v>3</v>
      </c>
      <c r="Q13" s="11">
        <v>3</v>
      </c>
      <c r="R13" s="11">
        <v>3</v>
      </c>
      <c r="S13" s="11">
        <v>3</v>
      </c>
      <c r="T13" s="11">
        <v>3</v>
      </c>
      <c r="U13" s="11">
        <v>3</v>
      </c>
      <c r="V13" s="11">
        <v>3</v>
      </c>
      <c r="W13" s="11"/>
      <c r="X13" s="11">
        <v>3</v>
      </c>
      <c r="Y13" s="11"/>
      <c r="Z13" s="11">
        <v>3</v>
      </c>
      <c r="AA13" s="11"/>
      <c r="AB13" s="11"/>
      <c r="AC13" s="11"/>
      <c r="AD13" s="11"/>
      <c r="AE13" s="10">
        <f t="shared" ref="AE13:AE26" si="1">SUM(D13:AD13)</f>
        <v>39</v>
      </c>
    </row>
    <row r="14" spans="2:31">
      <c r="B14" s="11" t="s">
        <v>53</v>
      </c>
      <c r="C14" s="11" t="s">
        <v>59</v>
      </c>
      <c r="D14" s="11"/>
      <c r="E14" s="11"/>
      <c r="F14" s="11"/>
      <c r="G14" s="11"/>
      <c r="H14" s="11">
        <v>3</v>
      </c>
      <c r="I14" s="11">
        <v>3</v>
      </c>
      <c r="J14" s="11">
        <v>6</v>
      </c>
      <c r="K14" s="11">
        <v>6</v>
      </c>
      <c r="L14" s="11">
        <v>6</v>
      </c>
      <c r="M14" s="11">
        <v>6</v>
      </c>
      <c r="N14" s="11">
        <v>6</v>
      </c>
      <c r="O14" s="11">
        <v>6</v>
      </c>
      <c r="P14" s="11">
        <v>6</v>
      </c>
      <c r="Q14" s="11">
        <v>6</v>
      </c>
      <c r="R14" s="11">
        <v>12</v>
      </c>
      <c r="S14" s="11">
        <v>12</v>
      </c>
      <c r="T14" s="11">
        <v>12</v>
      </c>
      <c r="U14" s="11">
        <v>6</v>
      </c>
      <c r="V14" s="11">
        <v>12</v>
      </c>
      <c r="W14" s="11"/>
      <c r="X14" s="11">
        <v>6</v>
      </c>
      <c r="Y14" s="11"/>
      <c r="Z14" s="11">
        <v>6</v>
      </c>
      <c r="AA14" s="11"/>
      <c r="AB14" s="11">
        <v>6</v>
      </c>
      <c r="AC14" s="11"/>
      <c r="AD14" s="11"/>
      <c r="AE14" s="10">
        <f t="shared" si="1"/>
        <v>126</v>
      </c>
    </row>
    <row r="15" spans="2:31">
      <c r="B15" s="11" t="s">
        <v>53</v>
      </c>
      <c r="C15" s="11" t="s">
        <v>68</v>
      </c>
      <c r="D15" s="11"/>
      <c r="E15" s="11"/>
      <c r="F15" s="11"/>
      <c r="G15" s="11"/>
      <c r="H15" s="11"/>
      <c r="I15" s="11"/>
      <c r="J15" s="11"/>
      <c r="K15" s="11"/>
      <c r="L15" s="11">
        <v>6</v>
      </c>
      <c r="M15" s="11">
        <v>6</v>
      </c>
      <c r="N15" s="11">
        <v>6</v>
      </c>
      <c r="O15" s="11">
        <v>6</v>
      </c>
      <c r="P15" s="11">
        <v>6</v>
      </c>
      <c r="Q15" s="11">
        <v>6</v>
      </c>
      <c r="R15" s="11">
        <v>6</v>
      </c>
      <c r="S15" s="11">
        <v>12</v>
      </c>
      <c r="T15" s="11">
        <v>6</v>
      </c>
      <c r="U15" s="11">
        <v>6</v>
      </c>
      <c r="V15" s="11">
        <v>6</v>
      </c>
      <c r="W15" s="11"/>
      <c r="X15" s="11">
        <v>6</v>
      </c>
      <c r="Y15" s="11"/>
      <c r="Z15" s="11">
        <v>6</v>
      </c>
      <c r="AA15" s="11"/>
      <c r="AB15" s="11"/>
      <c r="AC15" s="11"/>
      <c r="AD15" s="11"/>
      <c r="AE15" s="10">
        <f t="shared" si="1"/>
        <v>84</v>
      </c>
    </row>
    <row r="16" spans="2:31">
      <c r="B16" s="11" t="s">
        <v>53</v>
      </c>
      <c r="C16" s="11" t="s">
        <v>57</v>
      </c>
      <c r="D16" s="11"/>
      <c r="E16" s="11"/>
      <c r="F16" s="11"/>
      <c r="G16" s="11"/>
      <c r="H16" s="11"/>
      <c r="I16" s="11"/>
      <c r="J16" s="11"/>
      <c r="K16" s="11"/>
      <c r="L16" s="11">
        <v>6</v>
      </c>
      <c r="M16" s="11">
        <v>6</v>
      </c>
      <c r="N16" s="11">
        <v>6</v>
      </c>
      <c r="O16" s="11">
        <v>6</v>
      </c>
      <c r="P16" s="11">
        <v>6</v>
      </c>
      <c r="Q16" s="11">
        <v>6</v>
      </c>
      <c r="R16" s="11">
        <v>12</v>
      </c>
      <c r="S16" s="11">
        <v>12</v>
      </c>
      <c r="T16" s="11">
        <v>12</v>
      </c>
      <c r="U16" s="11">
        <v>6</v>
      </c>
      <c r="V16" s="11">
        <v>12</v>
      </c>
      <c r="W16" s="11"/>
      <c r="X16" s="11">
        <v>6</v>
      </c>
      <c r="Y16" s="11"/>
      <c r="Z16" s="11">
        <v>6</v>
      </c>
      <c r="AA16" s="11"/>
      <c r="AB16" s="11"/>
      <c r="AC16" s="11"/>
      <c r="AD16" s="11"/>
      <c r="AE16" s="10">
        <f t="shared" si="1"/>
        <v>102</v>
      </c>
    </row>
    <row r="17" spans="2:31">
      <c r="B17" s="11" t="s">
        <v>70</v>
      </c>
      <c r="C17" s="11" t="s">
        <v>71</v>
      </c>
      <c r="D17" s="11">
        <v>6</v>
      </c>
      <c r="E17" s="11">
        <v>6</v>
      </c>
      <c r="F17" s="11">
        <v>6</v>
      </c>
      <c r="G17" s="11">
        <v>6</v>
      </c>
      <c r="H17" s="11">
        <v>7</v>
      </c>
      <c r="I17" s="11">
        <v>7</v>
      </c>
      <c r="J17" s="11">
        <v>6</v>
      </c>
      <c r="K17" s="11">
        <v>7</v>
      </c>
      <c r="L17" s="11">
        <v>7</v>
      </c>
      <c r="M17" s="11">
        <v>8</v>
      </c>
      <c r="N17" s="11">
        <v>8</v>
      </c>
      <c r="O17" s="11">
        <v>8</v>
      </c>
      <c r="P17" s="11">
        <v>14</v>
      </c>
      <c r="Q17" s="11">
        <v>14</v>
      </c>
      <c r="R17" s="11">
        <v>14</v>
      </c>
      <c r="S17" s="11">
        <v>14</v>
      </c>
      <c r="T17" s="11">
        <v>14</v>
      </c>
      <c r="U17" s="11">
        <v>14</v>
      </c>
      <c r="V17" s="11">
        <v>14</v>
      </c>
      <c r="W17" s="11">
        <v>8</v>
      </c>
      <c r="X17" s="11">
        <v>14</v>
      </c>
      <c r="Y17" s="11">
        <v>7</v>
      </c>
      <c r="Z17" s="11">
        <v>7</v>
      </c>
      <c r="AA17" s="11">
        <v>6</v>
      </c>
      <c r="AB17" s="11">
        <v>7</v>
      </c>
      <c r="AC17" s="11">
        <v>2</v>
      </c>
      <c r="AD17" s="11">
        <v>7</v>
      </c>
      <c r="AE17" s="10">
        <f t="shared" si="1"/>
        <v>238</v>
      </c>
    </row>
    <row r="18" spans="2:31">
      <c r="B18" s="11" t="s">
        <v>70</v>
      </c>
      <c r="C18" s="11" t="s">
        <v>73</v>
      </c>
      <c r="D18" s="11"/>
      <c r="E18" s="11"/>
      <c r="F18" s="11"/>
      <c r="G18" s="11"/>
      <c r="H18" s="11">
        <v>6</v>
      </c>
      <c r="I18" s="11">
        <v>6</v>
      </c>
      <c r="J18" s="11">
        <v>6</v>
      </c>
      <c r="K18" s="11">
        <v>6</v>
      </c>
      <c r="L18" s="11">
        <v>6</v>
      </c>
      <c r="M18" s="11">
        <v>6</v>
      </c>
      <c r="N18" s="11">
        <v>6</v>
      </c>
      <c r="O18" s="11">
        <v>6</v>
      </c>
      <c r="P18" s="11">
        <v>6</v>
      </c>
      <c r="Q18" s="11">
        <v>6</v>
      </c>
      <c r="R18" s="11">
        <v>6</v>
      </c>
      <c r="S18" s="11">
        <v>6</v>
      </c>
      <c r="T18" s="11">
        <v>6</v>
      </c>
      <c r="U18" s="11">
        <v>6</v>
      </c>
      <c r="V18" s="11">
        <v>6</v>
      </c>
      <c r="W18" s="11">
        <v>6</v>
      </c>
      <c r="X18" s="11">
        <v>6</v>
      </c>
      <c r="Y18" s="11">
        <v>6</v>
      </c>
      <c r="Z18" s="11">
        <v>6</v>
      </c>
      <c r="AA18" s="11">
        <v>6</v>
      </c>
      <c r="AB18" s="11">
        <v>6</v>
      </c>
      <c r="AC18" s="11">
        <v>2</v>
      </c>
      <c r="AD18" s="11">
        <v>2</v>
      </c>
      <c r="AE18" s="10">
        <f t="shared" si="1"/>
        <v>130</v>
      </c>
    </row>
    <row r="19" spans="2:31">
      <c r="B19" s="11" t="s">
        <v>70</v>
      </c>
      <c r="C19" s="11" t="s">
        <v>74</v>
      </c>
      <c r="D19" s="11"/>
      <c r="E19" s="11"/>
      <c r="F19" s="11"/>
      <c r="G19" s="11"/>
      <c r="H19" s="11"/>
      <c r="I19" s="11"/>
      <c r="J19" s="11"/>
      <c r="K19" s="11"/>
      <c r="L19" s="11">
        <v>7</v>
      </c>
      <c r="M19" s="11">
        <v>4</v>
      </c>
      <c r="N19" s="11">
        <v>7</v>
      </c>
      <c r="O19" s="11">
        <v>4</v>
      </c>
      <c r="P19" s="11">
        <v>7</v>
      </c>
      <c r="Q19" s="11">
        <v>7</v>
      </c>
      <c r="R19" s="11">
        <v>7</v>
      </c>
      <c r="S19" s="11">
        <v>7</v>
      </c>
      <c r="T19" s="11">
        <v>7</v>
      </c>
      <c r="U19" s="11">
        <v>7</v>
      </c>
      <c r="V19" s="11">
        <v>7</v>
      </c>
      <c r="W19" s="11">
        <v>7</v>
      </c>
      <c r="X19" s="11">
        <v>7</v>
      </c>
      <c r="Y19" s="11">
        <v>3</v>
      </c>
      <c r="Z19" s="11">
        <v>3</v>
      </c>
      <c r="AA19" s="11"/>
      <c r="AB19" s="11"/>
      <c r="AC19" s="11"/>
      <c r="AD19" s="11"/>
      <c r="AE19" s="10">
        <f t="shared" si="1"/>
        <v>91</v>
      </c>
    </row>
    <row r="20" spans="2:31">
      <c r="B20" s="11" t="s">
        <v>48</v>
      </c>
      <c r="C20" s="11" t="s">
        <v>52</v>
      </c>
      <c r="D20" s="11"/>
      <c r="E20" s="11"/>
      <c r="F20" s="11"/>
      <c r="G20" s="11"/>
      <c r="H20" s="11"/>
      <c r="I20" s="11"/>
      <c r="J20" s="11"/>
      <c r="K20" s="11">
        <v>6</v>
      </c>
      <c r="L20" s="11">
        <v>6</v>
      </c>
      <c r="M20" s="11">
        <v>6</v>
      </c>
      <c r="N20" s="11">
        <v>6</v>
      </c>
      <c r="O20" s="11">
        <v>12</v>
      </c>
      <c r="P20" s="11">
        <v>6</v>
      </c>
      <c r="Q20" s="11">
        <v>6</v>
      </c>
      <c r="R20" s="11">
        <v>6</v>
      </c>
      <c r="S20" s="11">
        <v>6</v>
      </c>
      <c r="T20" s="11"/>
      <c r="U20" s="11">
        <v>6</v>
      </c>
      <c r="V20" s="11"/>
      <c r="W20" s="11"/>
      <c r="X20" s="11"/>
      <c r="Y20" s="11"/>
      <c r="Z20" s="11"/>
      <c r="AA20" s="11"/>
      <c r="AB20" s="11"/>
      <c r="AC20" s="11"/>
      <c r="AD20" s="11"/>
      <c r="AE20" s="10">
        <f t="shared" si="1"/>
        <v>66</v>
      </c>
    </row>
    <row r="21" spans="2:31">
      <c r="B21" s="11" t="s">
        <v>48</v>
      </c>
      <c r="C21" s="11" t="s">
        <v>50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6</v>
      </c>
      <c r="O21" s="11">
        <v>6</v>
      </c>
      <c r="P21" s="11">
        <v>6</v>
      </c>
      <c r="Q21" s="11">
        <v>6</v>
      </c>
      <c r="R21" s="11">
        <v>12</v>
      </c>
      <c r="S21" s="11">
        <v>12</v>
      </c>
      <c r="T21" s="11">
        <v>12</v>
      </c>
      <c r="U21" s="11">
        <v>6</v>
      </c>
      <c r="V21" s="11">
        <v>6</v>
      </c>
      <c r="W21" s="11">
        <v>6</v>
      </c>
      <c r="X21" s="11"/>
      <c r="Y21" s="11"/>
      <c r="Z21" s="11"/>
      <c r="AA21" s="11"/>
      <c r="AB21" s="11"/>
      <c r="AC21" s="11"/>
      <c r="AD21" s="11"/>
      <c r="AE21" s="10">
        <f t="shared" si="1"/>
        <v>78</v>
      </c>
    </row>
    <row r="22" spans="2:31">
      <c r="B22" s="11" t="s">
        <v>31</v>
      </c>
      <c r="C22" s="11" t="s">
        <v>32</v>
      </c>
      <c r="D22" s="11"/>
      <c r="E22" s="11"/>
      <c r="F22" s="11"/>
      <c r="G22" s="11"/>
      <c r="H22" s="11"/>
      <c r="I22" s="11"/>
      <c r="J22" s="11"/>
      <c r="K22" s="11"/>
      <c r="L22" s="11">
        <v>14</v>
      </c>
      <c r="M22" s="11">
        <v>13</v>
      </c>
      <c r="N22" s="11">
        <v>14</v>
      </c>
      <c r="O22" s="11">
        <v>17</v>
      </c>
      <c r="P22" s="11">
        <v>19</v>
      </c>
      <c r="Q22" s="11">
        <v>24</v>
      </c>
      <c r="R22" s="11">
        <v>24</v>
      </c>
      <c r="S22" s="11">
        <v>34</v>
      </c>
      <c r="T22" s="11">
        <v>34</v>
      </c>
      <c r="U22" s="11">
        <v>24</v>
      </c>
      <c r="V22" s="11">
        <v>34</v>
      </c>
      <c r="W22" s="11"/>
      <c r="X22" s="11">
        <v>24</v>
      </c>
      <c r="Y22" s="11"/>
      <c r="Z22" s="11">
        <v>14</v>
      </c>
      <c r="AA22" s="11"/>
      <c r="AB22" s="11"/>
      <c r="AC22" s="11"/>
      <c r="AD22" s="11"/>
      <c r="AE22" s="10">
        <f t="shared" si="1"/>
        <v>289</v>
      </c>
    </row>
    <row r="23" spans="2:31">
      <c r="B23" s="11"/>
      <c r="C23" s="11" t="s">
        <v>34</v>
      </c>
      <c r="D23" s="11"/>
      <c r="E23" s="11"/>
      <c r="F23" s="11"/>
      <c r="G23" s="11"/>
      <c r="H23" s="11"/>
      <c r="I23" s="11"/>
      <c r="J23" s="11"/>
      <c r="K23" s="11"/>
      <c r="L23" s="11">
        <v>14</v>
      </c>
      <c r="M23" s="11">
        <v>13</v>
      </c>
      <c r="N23" s="11">
        <v>18</v>
      </c>
      <c r="O23" s="11">
        <v>14</v>
      </c>
      <c r="P23" s="11">
        <v>25</v>
      </c>
      <c r="Q23" s="11">
        <v>25</v>
      </c>
      <c r="R23" s="11">
        <v>33</v>
      </c>
      <c r="S23" s="11">
        <v>33</v>
      </c>
      <c r="T23" s="11">
        <v>33</v>
      </c>
      <c r="U23" s="11">
        <v>25</v>
      </c>
      <c r="V23" s="11">
        <v>33</v>
      </c>
      <c r="W23" s="11"/>
      <c r="X23" s="11">
        <v>33</v>
      </c>
      <c r="Y23" s="11"/>
      <c r="Z23" s="11">
        <v>13</v>
      </c>
      <c r="AA23" s="11"/>
      <c r="AB23" s="11"/>
      <c r="AC23" s="11"/>
      <c r="AD23" s="11"/>
      <c r="AE23" s="10">
        <f t="shared" si="1"/>
        <v>312</v>
      </c>
    </row>
    <row r="24" spans="2:31">
      <c r="B24" s="11" t="s">
        <v>42</v>
      </c>
      <c r="C24" s="11" t="s">
        <v>43</v>
      </c>
      <c r="D24" s="11">
        <v>6</v>
      </c>
      <c r="E24" s="11">
        <v>7</v>
      </c>
      <c r="F24" s="11">
        <v>11</v>
      </c>
      <c r="G24" s="11">
        <v>9</v>
      </c>
      <c r="H24" s="11">
        <v>11</v>
      </c>
      <c r="I24" s="11">
        <v>8</v>
      </c>
      <c r="J24" s="11">
        <v>12</v>
      </c>
      <c r="K24" s="11">
        <v>11</v>
      </c>
      <c r="L24" s="11">
        <v>11</v>
      </c>
      <c r="M24" s="11">
        <v>7</v>
      </c>
      <c r="N24" s="11">
        <v>20</v>
      </c>
      <c r="O24" s="11">
        <v>20</v>
      </c>
      <c r="P24" s="11">
        <v>21</v>
      </c>
      <c r="Q24" s="11">
        <v>20</v>
      </c>
      <c r="R24" s="11">
        <v>20</v>
      </c>
      <c r="S24" s="11">
        <v>11</v>
      </c>
      <c r="T24" s="11">
        <v>20</v>
      </c>
      <c r="U24" s="11">
        <v>12</v>
      </c>
      <c r="V24" s="11">
        <v>11</v>
      </c>
      <c r="W24" s="11">
        <v>11</v>
      </c>
      <c r="X24" s="11">
        <v>12</v>
      </c>
      <c r="Y24" s="11">
        <v>11</v>
      </c>
      <c r="Z24" s="11">
        <v>11</v>
      </c>
      <c r="AA24" s="11"/>
      <c r="AB24" s="11">
        <v>11</v>
      </c>
      <c r="AC24" s="11"/>
      <c r="AD24" s="11">
        <v>11</v>
      </c>
      <c r="AE24" s="10">
        <f t="shared" si="1"/>
        <v>315</v>
      </c>
    </row>
    <row r="25" spans="2:31">
      <c r="B25" s="11"/>
      <c r="C25" s="11" t="s">
        <v>45</v>
      </c>
      <c r="D25" s="11"/>
      <c r="E25" s="11"/>
      <c r="F25" s="11">
        <v>6</v>
      </c>
      <c r="G25" s="11">
        <v>6</v>
      </c>
      <c r="H25" s="11">
        <v>8</v>
      </c>
      <c r="I25" s="11">
        <v>9</v>
      </c>
      <c r="J25" s="11">
        <v>8</v>
      </c>
      <c r="K25" s="11">
        <v>9</v>
      </c>
      <c r="L25" s="11">
        <v>9</v>
      </c>
      <c r="M25" s="11">
        <v>9</v>
      </c>
      <c r="N25" s="11">
        <v>12</v>
      </c>
      <c r="O25" s="11">
        <v>12</v>
      </c>
      <c r="P25" s="11">
        <v>12</v>
      </c>
      <c r="Q25" s="11">
        <v>12</v>
      </c>
      <c r="R25" s="11">
        <v>18</v>
      </c>
      <c r="S25" s="11">
        <v>15</v>
      </c>
      <c r="T25" s="11">
        <v>18</v>
      </c>
      <c r="U25" s="11">
        <v>15</v>
      </c>
      <c r="V25" s="11">
        <v>15</v>
      </c>
      <c r="W25" s="11">
        <v>9</v>
      </c>
      <c r="X25" s="11">
        <v>15</v>
      </c>
      <c r="Y25" s="11">
        <v>8</v>
      </c>
      <c r="Z25" s="11">
        <v>9</v>
      </c>
      <c r="AA25" s="11"/>
      <c r="AB25" s="11">
        <v>9</v>
      </c>
      <c r="AC25" s="11"/>
      <c r="AD25" s="11">
        <v>8</v>
      </c>
      <c r="AE25" s="10">
        <f t="shared" si="1"/>
        <v>251</v>
      </c>
    </row>
    <row r="26" spans="2:31">
      <c r="B26" s="11"/>
      <c r="C26" s="11" t="s">
        <v>46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>
        <v>7</v>
      </c>
      <c r="O26" s="11">
        <v>7</v>
      </c>
      <c r="P26" s="11">
        <v>7</v>
      </c>
      <c r="Q26" s="11">
        <v>7</v>
      </c>
      <c r="R26" s="11">
        <v>7</v>
      </c>
      <c r="S26" s="11">
        <v>7</v>
      </c>
      <c r="T26" s="11">
        <v>7</v>
      </c>
      <c r="U26" s="11">
        <v>7</v>
      </c>
      <c r="V26" s="11">
        <v>7</v>
      </c>
      <c r="W26" s="11">
        <v>7</v>
      </c>
      <c r="X26" s="11">
        <v>7</v>
      </c>
      <c r="Y26" s="11">
        <v>7</v>
      </c>
      <c r="Z26" s="11">
        <v>13</v>
      </c>
      <c r="AA26" s="11"/>
      <c r="AB26" s="11">
        <v>1</v>
      </c>
      <c r="AC26" s="11"/>
      <c r="AD26" s="11">
        <v>1</v>
      </c>
      <c r="AE26" s="10">
        <f t="shared" si="1"/>
        <v>99</v>
      </c>
    </row>
    <row r="27" spans="2:31">
      <c r="B27" s="11" t="s">
        <v>248</v>
      </c>
      <c r="C27" s="11" t="s">
        <v>248</v>
      </c>
      <c r="D27" s="11"/>
      <c r="E27" s="11"/>
      <c r="F27" s="11"/>
      <c r="G27" s="11"/>
      <c r="H27" s="11"/>
      <c r="I27" s="11"/>
      <c r="J27" s="11"/>
      <c r="K27" s="11"/>
      <c r="L27" s="11">
        <v>7</v>
      </c>
      <c r="M27" s="11">
        <v>7</v>
      </c>
      <c r="N27" s="11">
        <v>7</v>
      </c>
      <c r="O27" s="11">
        <v>7</v>
      </c>
      <c r="P27" s="11">
        <v>13</v>
      </c>
      <c r="Q27" s="11">
        <v>19</v>
      </c>
      <c r="R27" s="11">
        <v>25</v>
      </c>
      <c r="S27" s="11">
        <v>31</v>
      </c>
      <c r="T27" s="11">
        <v>25</v>
      </c>
      <c r="U27" s="11">
        <v>13</v>
      </c>
      <c r="V27" s="11">
        <v>25</v>
      </c>
      <c r="W27" s="11"/>
      <c r="X27" s="11">
        <v>13</v>
      </c>
      <c r="Y27" s="11"/>
      <c r="Z27" s="11">
        <v>7</v>
      </c>
      <c r="AA27" s="11"/>
      <c r="AB27" s="11"/>
      <c r="AC27" s="11"/>
      <c r="AD27" s="11"/>
      <c r="AE27" s="10">
        <f t="shared" ref="AE27" si="2">SUM(D27:AD27)</f>
        <v>199</v>
      </c>
    </row>
    <row r="28" spans="2:31">
      <c r="AE28" s="2"/>
    </row>
    <row r="29" spans="2:31">
      <c r="AE29" s="2"/>
    </row>
    <row r="30" spans="2:31">
      <c r="AE30" s="2"/>
    </row>
    <row r="31" spans="2:31">
      <c r="AE31" s="2"/>
    </row>
    <row r="33" spans="1:31">
      <c r="B33" s="8" t="s">
        <v>106</v>
      </c>
    </row>
    <row r="34" spans="1:31">
      <c r="B34" s="13" t="s">
        <v>107</v>
      </c>
      <c r="C34" s="22">
        <v>6</v>
      </c>
    </row>
    <row r="35" spans="1:31">
      <c r="C35" s="2"/>
      <c r="D35" s="2" t="s">
        <v>77</v>
      </c>
    </row>
    <row r="36" spans="1:31" ht="18">
      <c r="B36" s="43" t="s">
        <v>22</v>
      </c>
      <c r="C36" s="44" t="s">
        <v>25</v>
      </c>
      <c r="D36" s="54" t="s">
        <v>78</v>
      </c>
      <c r="E36" s="54" t="s">
        <v>79</v>
      </c>
      <c r="F36" s="54" t="s">
        <v>80</v>
      </c>
      <c r="G36" s="54" t="s">
        <v>81</v>
      </c>
      <c r="H36" s="54" t="s">
        <v>82</v>
      </c>
      <c r="I36" s="54" t="s">
        <v>83</v>
      </c>
      <c r="J36" s="54" t="s">
        <v>84</v>
      </c>
      <c r="K36" s="54" t="s">
        <v>85</v>
      </c>
      <c r="L36" s="54" t="s">
        <v>86</v>
      </c>
      <c r="M36" s="54" t="s">
        <v>87</v>
      </c>
      <c r="N36" s="54" t="s">
        <v>88</v>
      </c>
      <c r="O36" s="54" t="s">
        <v>89</v>
      </c>
      <c r="P36" s="54" t="s">
        <v>90</v>
      </c>
      <c r="Q36" s="54" t="s">
        <v>91</v>
      </c>
      <c r="R36" s="54" t="s">
        <v>92</v>
      </c>
      <c r="S36" s="54" t="s">
        <v>93</v>
      </c>
      <c r="T36" s="54" t="s">
        <v>94</v>
      </c>
      <c r="U36" s="54" t="s">
        <v>95</v>
      </c>
      <c r="V36" s="54" t="s">
        <v>96</v>
      </c>
      <c r="W36" s="54" t="s">
        <v>97</v>
      </c>
      <c r="X36" s="54" t="s">
        <v>98</v>
      </c>
      <c r="Y36" s="54" t="s">
        <v>99</v>
      </c>
      <c r="Z36" s="54" t="s">
        <v>100</v>
      </c>
      <c r="AA36" s="54" t="s">
        <v>101</v>
      </c>
      <c r="AB36" s="54" t="s">
        <v>102</v>
      </c>
      <c r="AC36" s="54" t="s">
        <v>103</v>
      </c>
      <c r="AD36" s="54" t="s">
        <v>104</v>
      </c>
      <c r="AE36" s="45" t="s">
        <v>105</v>
      </c>
    </row>
    <row r="37" spans="1:31">
      <c r="B37" s="25" t="s">
        <v>36</v>
      </c>
      <c r="C37" s="11" t="s">
        <v>37</v>
      </c>
      <c r="D37" s="11" t="str">
        <f t="shared" ref="D37:AD37" si="3">IF(IF(_xlfn.FLOOR.MATH(D6,$C$34)=0,D6,_xlfn.FLOOR.MATH(D6,$C$34))=0,"",IF(_xlfn.FLOOR.MATH(D6,$C$34)=0,D6,_xlfn.FLOOR.MATH(D6,$C$34)))</f>
        <v/>
      </c>
      <c r="E37" s="11" t="str">
        <f t="shared" si="3"/>
        <v/>
      </c>
      <c r="F37" s="11" t="str">
        <f t="shared" si="3"/>
        <v/>
      </c>
      <c r="G37" s="11" t="str">
        <f t="shared" si="3"/>
        <v/>
      </c>
      <c r="H37" s="11" t="str">
        <f t="shared" si="3"/>
        <v/>
      </c>
      <c r="I37" s="11" t="str">
        <f t="shared" si="3"/>
        <v/>
      </c>
      <c r="J37" s="11" t="str">
        <f t="shared" si="3"/>
        <v/>
      </c>
      <c r="K37" s="11" t="str">
        <f t="shared" si="3"/>
        <v/>
      </c>
      <c r="L37" s="11">
        <f t="shared" si="3"/>
        <v>6</v>
      </c>
      <c r="M37" s="11">
        <f t="shared" si="3"/>
        <v>6</v>
      </c>
      <c r="N37" s="11">
        <f t="shared" si="3"/>
        <v>6</v>
      </c>
      <c r="O37" s="11">
        <f t="shared" si="3"/>
        <v>6</v>
      </c>
      <c r="P37" s="11">
        <f t="shared" si="3"/>
        <v>12</v>
      </c>
      <c r="Q37" s="11">
        <f t="shared" si="3"/>
        <v>12</v>
      </c>
      <c r="R37" s="11">
        <f t="shared" si="3"/>
        <v>12</v>
      </c>
      <c r="S37" s="11">
        <f t="shared" si="3"/>
        <v>6</v>
      </c>
      <c r="T37" s="11">
        <f t="shared" si="3"/>
        <v>12</v>
      </c>
      <c r="U37" s="11">
        <f t="shared" si="3"/>
        <v>12</v>
      </c>
      <c r="V37" s="11">
        <f t="shared" si="3"/>
        <v>12</v>
      </c>
      <c r="W37" s="11" t="str">
        <f t="shared" si="3"/>
        <v/>
      </c>
      <c r="X37" s="11">
        <f t="shared" si="3"/>
        <v>6</v>
      </c>
      <c r="Y37" s="11" t="str">
        <f t="shared" si="3"/>
        <v/>
      </c>
      <c r="Z37" s="11">
        <f t="shared" si="3"/>
        <v>6</v>
      </c>
      <c r="AA37" s="11" t="str">
        <f t="shared" si="3"/>
        <v/>
      </c>
      <c r="AB37" s="11">
        <f t="shared" si="3"/>
        <v>6</v>
      </c>
      <c r="AC37" s="11" t="str">
        <f t="shared" si="3"/>
        <v/>
      </c>
      <c r="AD37" s="11" t="str">
        <f t="shared" si="3"/>
        <v/>
      </c>
      <c r="AE37" s="40">
        <f>SUM(D37:AD37)</f>
        <v>120</v>
      </c>
    </row>
    <row r="38" spans="1:31">
      <c r="A38"/>
      <c r="B38" s="25" t="s">
        <v>36</v>
      </c>
      <c r="C38" s="11" t="s">
        <v>39</v>
      </c>
      <c r="D38" s="11" t="str">
        <f t="shared" ref="D38:AD38" si="4">IF(IF(_xlfn.FLOOR.MATH(D7,$C$34)=0,D7,_xlfn.FLOOR.MATH(D7,$C$34))=0,"",IF(_xlfn.FLOOR.MATH(D7,$C$34)=0,D7,_xlfn.FLOOR.MATH(D7,$C$34)))</f>
        <v/>
      </c>
      <c r="E38" s="11" t="str">
        <f t="shared" si="4"/>
        <v/>
      </c>
      <c r="F38" s="11" t="str">
        <f t="shared" si="4"/>
        <v/>
      </c>
      <c r="G38" s="11" t="str">
        <f t="shared" si="4"/>
        <v/>
      </c>
      <c r="H38" s="11" t="str">
        <f t="shared" si="4"/>
        <v/>
      </c>
      <c r="I38" s="11" t="str">
        <f t="shared" si="4"/>
        <v/>
      </c>
      <c r="J38" s="11" t="str">
        <f t="shared" si="4"/>
        <v/>
      </c>
      <c r="K38" s="11" t="str">
        <f t="shared" si="4"/>
        <v/>
      </c>
      <c r="L38" s="11">
        <f t="shared" si="4"/>
        <v>6</v>
      </c>
      <c r="M38" s="11">
        <f t="shared" si="4"/>
        <v>6</v>
      </c>
      <c r="N38" s="11">
        <f t="shared" si="4"/>
        <v>6</v>
      </c>
      <c r="O38" s="11">
        <f t="shared" si="4"/>
        <v>6</v>
      </c>
      <c r="P38" s="11">
        <f t="shared" si="4"/>
        <v>12</v>
      </c>
      <c r="Q38" s="11">
        <f t="shared" si="4"/>
        <v>12</v>
      </c>
      <c r="R38" s="11">
        <f t="shared" si="4"/>
        <v>12</v>
      </c>
      <c r="S38" s="11">
        <f t="shared" si="4"/>
        <v>12</v>
      </c>
      <c r="T38" s="11">
        <f t="shared" si="4"/>
        <v>12</v>
      </c>
      <c r="U38" s="11">
        <f t="shared" si="4"/>
        <v>6</v>
      </c>
      <c r="V38" s="11">
        <f t="shared" si="4"/>
        <v>6</v>
      </c>
      <c r="W38" s="11" t="str">
        <f t="shared" si="4"/>
        <v/>
      </c>
      <c r="X38" s="11">
        <f t="shared" si="4"/>
        <v>6</v>
      </c>
      <c r="Y38" s="11" t="str">
        <f t="shared" si="4"/>
        <v/>
      </c>
      <c r="Z38" s="11">
        <f t="shared" si="4"/>
        <v>6</v>
      </c>
      <c r="AA38" s="11" t="str">
        <f t="shared" si="4"/>
        <v/>
      </c>
      <c r="AB38" s="11">
        <f t="shared" si="4"/>
        <v>6</v>
      </c>
      <c r="AC38" s="11" t="str">
        <f t="shared" si="4"/>
        <v/>
      </c>
      <c r="AD38" s="11" t="str">
        <f t="shared" si="4"/>
        <v/>
      </c>
      <c r="AE38" s="40">
        <f t="shared" ref="AE38:AE57" si="5">SUM(D38:AD38)</f>
        <v>114</v>
      </c>
    </row>
    <row r="39" spans="1:31">
      <c r="A39"/>
      <c r="B39" s="25" t="s">
        <v>36</v>
      </c>
      <c r="C39" s="11" t="s">
        <v>40</v>
      </c>
      <c r="D39" s="11" t="str">
        <f t="shared" ref="D39:AD39" si="6">IF(IF(_xlfn.FLOOR.MATH(D8,$C$34)=0,D8,_xlfn.FLOOR.MATH(D8,$C$34))=0,"",IF(_xlfn.FLOOR.MATH(D8,$C$34)=0,D8,_xlfn.FLOOR.MATH(D8,$C$34)))</f>
        <v/>
      </c>
      <c r="E39" s="11" t="str">
        <f t="shared" si="6"/>
        <v/>
      </c>
      <c r="F39" s="11" t="str">
        <f t="shared" si="6"/>
        <v/>
      </c>
      <c r="G39" s="11" t="str">
        <f t="shared" si="6"/>
        <v/>
      </c>
      <c r="H39" s="11" t="str">
        <f t="shared" si="6"/>
        <v/>
      </c>
      <c r="I39" s="11" t="str">
        <f t="shared" si="6"/>
        <v/>
      </c>
      <c r="J39" s="11" t="str">
        <f t="shared" si="6"/>
        <v/>
      </c>
      <c r="K39" s="11" t="str">
        <f t="shared" si="6"/>
        <v/>
      </c>
      <c r="L39" s="11">
        <f t="shared" si="6"/>
        <v>6</v>
      </c>
      <c r="M39" s="11">
        <f t="shared" si="6"/>
        <v>6</v>
      </c>
      <c r="N39" s="11">
        <f t="shared" si="6"/>
        <v>6</v>
      </c>
      <c r="O39" s="11">
        <f t="shared" si="6"/>
        <v>6</v>
      </c>
      <c r="P39" s="11">
        <f t="shared" si="6"/>
        <v>6</v>
      </c>
      <c r="Q39" s="11">
        <f t="shared" si="6"/>
        <v>6</v>
      </c>
      <c r="R39" s="11">
        <f t="shared" si="6"/>
        <v>6</v>
      </c>
      <c r="S39" s="11">
        <f t="shared" si="6"/>
        <v>6</v>
      </c>
      <c r="T39" s="11">
        <f t="shared" si="6"/>
        <v>6</v>
      </c>
      <c r="U39" s="11">
        <f t="shared" si="6"/>
        <v>6</v>
      </c>
      <c r="V39" s="11">
        <f t="shared" si="6"/>
        <v>5</v>
      </c>
      <c r="W39" s="11" t="str">
        <f t="shared" si="6"/>
        <v/>
      </c>
      <c r="X39" s="11">
        <f t="shared" si="6"/>
        <v>6</v>
      </c>
      <c r="Y39" s="11" t="str">
        <f t="shared" si="6"/>
        <v/>
      </c>
      <c r="Z39" s="11">
        <f t="shared" si="6"/>
        <v>6</v>
      </c>
      <c r="AA39" s="11" t="str">
        <f t="shared" si="6"/>
        <v/>
      </c>
      <c r="AB39" s="11">
        <f t="shared" si="6"/>
        <v>6</v>
      </c>
      <c r="AC39" s="11" t="str">
        <f t="shared" si="6"/>
        <v/>
      </c>
      <c r="AD39" s="11" t="str">
        <f t="shared" si="6"/>
        <v/>
      </c>
      <c r="AE39" s="40">
        <f t="shared" si="5"/>
        <v>83</v>
      </c>
    </row>
    <row r="40" spans="1:31">
      <c r="A40"/>
      <c r="B40" s="25" t="s">
        <v>36</v>
      </c>
      <c r="C40" s="11" t="s">
        <v>41</v>
      </c>
      <c r="D40" s="11" t="str">
        <f t="shared" ref="D40:AD40" si="7">IF(IF(_xlfn.FLOOR.MATH(D9,$C$34)=0,D9,_xlfn.FLOOR.MATH(D9,$C$34))=0,"",IF(_xlfn.FLOOR.MATH(D9,$C$34)=0,D9,_xlfn.FLOOR.MATH(D9,$C$34)))</f>
        <v/>
      </c>
      <c r="E40" s="11" t="str">
        <f t="shared" si="7"/>
        <v/>
      </c>
      <c r="F40" s="11" t="str">
        <f t="shared" si="7"/>
        <v/>
      </c>
      <c r="G40" s="11" t="str">
        <f t="shared" si="7"/>
        <v/>
      </c>
      <c r="H40" s="11" t="str">
        <f t="shared" si="7"/>
        <v/>
      </c>
      <c r="I40" s="11" t="str">
        <f t="shared" si="7"/>
        <v/>
      </c>
      <c r="J40" s="11" t="str">
        <f t="shared" si="7"/>
        <v/>
      </c>
      <c r="K40" s="11" t="str">
        <f t="shared" si="7"/>
        <v/>
      </c>
      <c r="L40" s="11">
        <f t="shared" si="7"/>
        <v>6</v>
      </c>
      <c r="M40" s="11">
        <f t="shared" si="7"/>
        <v>6</v>
      </c>
      <c r="N40" s="11">
        <f t="shared" si="7"/>
        <v>6</v>
      </c>
      <c r="O40" s="11">
        <f t="shared" si="7"/>
        <v>6</v>
      </c>
      <c r="P40" s="11">
        <f t="shared" si="7"/>
        <v>6</v>
      </c>
      <c r="Q40" s="11">
        <f t="shared" si="7"/>
        <v>6</v>
      </c>
      <c r="R40" s="11">
        <f t="shared" si="7"/>
        <v>6</v>
      </c>
      <c r="S40" s="11">
        <f t="shared" si="7"/>
        <v>6</v>
      </c>
      <c r="T40" s="11">
        <f t="shared" si="7"/>
        <v>6</v>
      </c>
      <c r="U40" s="11">
        <f t="shared" si="7"/>
        <v>6</v>
      </c>
      <c r="V40" s="11">
        <f t="shared" si="7"/>
        <v>6</v>
      </c>
      <c r="W40" s="11" t="str">
        <f t="shared" si="7"/>
        <v/>
      </c>
      <c r="X40" s="11">
        <f t="shared" si="7"/>
        <v>6</v>
      </c>
      <c r="Y40" s="11" t="str">
        <f t="shared" si="7"/>
        <v/>
      </c>
      <c r="Z40" s="11">
        <f t="shared" si="7"/>
        <v>6</v>
      </c>
      <c r="AA40" s="11" t="str">
        <f t="shared" si="7"/>
        <v/>
      </c>
      <c r="AB40" s="11">
        <f t="shared" si="7"/>
        <v>6</v>
      </c>
      <c r="AC40" s="11" t="str">
        <f t="shared" si="7"/>
        <v/>
      </c>
      <c r="AD40" s="11" t="str">
        <f t="shared" si="7"/>
        <v/>
      </c>
      <c r="AE40" s="40">
        <f t="shared" si="5"/>
        <v>84</v>
      </c>
    </row>
    <row r="41" spans="1:31">
      <c r="A41"/>
      <c r="B41" s="25" t="s">
        <v>229</v>
      </c>
      <c r="C41" s="11" t="s">
        <v>229</v>
      </c>
      <c r="D41" s="11" t="str">
        <f t="shared" ref="D41:AD41" si="8">IF(IF(_xlfn.FLOOR.MATH(D10,$C$34)=0,D10,_xlfn.FLOOR.MATH(D10,$C$34))=0,"",IF(_xlfn.FLOOR.MATH(D10,$C$34)=0,D10,_xlfn.FLOOR.MATH(D10,$C$34)))</f>
        <v/>
      </c>
      <c r="E41" s="11" t="str">
        <f t="shared" si="8"/>
        <v/>
      </c>
      <c r="F41" s="11" t="str">
        <f t="shared" si="8"/>
        <v/>
      </c>
      <c r="G41" s="11" t="str">
        <f t="shared" si="8"/>
        <v/>
      </c>
      <c r="H41" s="11" t="str">
        <f t="shared" si="8"/>
        <v/>
      </c>
      <c r="I41" s="11" t="str">
        <f t="shared" si="8"/>
        <v/>
      </c>
      <c r="J41" s="11" t="str">
        <f t="shared" si="8"/>
        <v/>
      </c>
      <c r="K41" s="11" t="str">
        <f t="shared" si="8"/>
        <v/>
      </c>
      <c r="L41" s="11" t="str">
        <f t="shared" si="8"/>
        <v/>
      </c>
      <c r="M41" s="11" t="str">
        <f t="shared" si="8"/>
        <v/>
      </c>
      <c r="N41" s="11">
        <f t="shared" si="8"/>
        <v>6</v>
      </c>
      <c r="O41" s="11">
        <f t="shared" si="8"/>
        <v>6</v>
      </c>
      <c r="P41" s="11">
        <f t="shared" si="8"/>
        <v>6</v>
      </c>
      <c r="Q41" s="11">
        <f t="shared" si="8"/>
        <v>6</v>
      </c>
      <c r="R41" s="11">
        <f t="shared" si="8"/>
        <v>6</v>
      </c>
      <c r="S41" s="11">
        <f t="shared" si="8"/>
        <v>6</v>
      </c>
      <c r="T41" s="11">
        <f t="shared" si="8"/>
        <v>6</v>
      </c>
      <c r="U41" s="11">
        <f t="shared" si="8"/>
        <v>6</v>
      </c>
      <c r="V41" s="11">
        <f t="shared" si="8"/>
        <v>6</v>
      </c>
      <c r="W41" s="11" t="str">
        <f t="shared" si="8"/>
        <v/>
      </c>
      <c r="X41" s="11" t="str">
        <f t="shared" si="8"/>
        <v/>
      </c>
      <c r="Y41" s="11" t="str">
        <f t="shared" si="8"/>
        <v/>
      </c>
      <c r="Z41" s="11" t="str">
        <f t="shared" si="8"/>
        <v/>
      </c>
      <c r="AA41" s="11" t="str">
        <f t="shared" si="8"/>
        <v/>
      </c>
      <c r="AB41" s="11" t="str">
        <f t="shared" si="8"/>
        <v/>
      </c>
      <c r="AC41" s="11" t="str">
        <f t="shared" si="8"/>
        <v/>
      </c>
      <c r="AD41" s="11" t="str">
        <f t="shared" si="8"/>
        <v/>
      </c>
      <c r="AE41" s="40">
        <f>SUM(D41:AD41)</f>
        <v>54</v>
      </c>
    </row>
    <row r="42" spans="1:31">
      <c r="A42"/>
      <c r="B42" s="25" t="s">
        <v>53</v>
      </c>
      <c r="C42" s="11" t="s">
        <v>55</v>
      </c>
      <c r="D42" s="11" t="str">
        <f t="shared" ref="D42:AD42" si="9">IF(IF(_xlfn.FLOOR.MATH(D11,$C$34)=0,D11,_xlfn.FLOOR.MATH(D11,$C$34))=0,"",IF(_xlfn.FLOOR.MATH(D11,$C$34)=0,D11,_xlfn.FLOOR.MATH(D11,$C$34)))</f>
        <v/>
      </c>
      <c r="E42" s="11" t="str">
        <f t="shared" si="9"/>
        <v/>
      </c>
      <c r="F42" s="11" t="str">
        <f t="shared" si="9"/>
        <v/>
      </c>
      <c r="G42" s="11" t="str">
        <f t="shared" si="9"/>
        <v/>
      </c>
      <c r="H42" s="11" t="str">
        <f t="shared" si="9"/>
        <v/>
      </c>
      <c r="I42" s="11" t="str">
        <f t="shared" si="9"/>
        <v/>
      </c>
      <c r="J42" s="11" t="str">
        <f t="shared" si="9"/>
        <v/>
      </c>
      <c r="K42" s="11" t="str">
        <f t="shared" si="9"/>
        <v/>
      </c>
      <c r="L42" s="11">
        <f t="shared" si="9"/>
        <v>6</v>
      </c>
      <c r="M42" s="11">
        <f t="shared" si="9"/>
        <v>6</v>
      </c>
      <c r="N42" s="11">
        <f t="shared" si="9"/>
        <v>6</v>
      </c>
      <c r="O42" s="11">
        <f t="shared" si="9"/>
        <v>6</v>
      </c>
      <c r="P42" s="11">
        <f t="shared" si="9"/>
        <v>6</v>
      </c>
      <c r="Q42" s="11">
        <f t="shared" si="9"/>
        <v>18</v>
      </c>
      <c r="R42" s="11">
        <f t="shared" si="9"/>
        <v>18</v>
      </c>
      <c r="S42" s="11">
        <f t="shared" si="9"/>
        <v>24</v>
      </c>
      <c r="T42" s="11">
        <f t="shared" si="9"/>
        <v>24</v>
      </c>
      <c r="U42" s="11">
        <f t="shared" si="9"/>
        <v>12</v>
      </c>
      <c r="V42" s="11">
        <f t="shared" si="9"/>
        <v>24</v>
      </c>
      <c r="W42" s="11" t="str">
        <f t="shared" si="9"/>
        <v/>
      </c>
      <c r="X42" s="11">
        <f t="shared" si="9"/>
        <v>12</v>
      </c>
      <c r="Y42" s="11" t="str">
        <f t="shared" si="9"/>
        <v/>
      </c>
      <c r="Z42" s="11">
        <f t="shared" si="9"/>
        <v>6</v>
      </c>
      <c r="AA42" s="11" t="str">
        <f t="shared" si="9"/>
        <v/>
      </c>
      <c r="AB42" s="11" t="str">
        <f t="shared" si="9"/>
        <v/>
      </c>
      <c r="AC42" s="11" t="str">
        <f t="shared" si="9"/>
        <v/>
      </c>
      <c r="AD42" s="11" t="str">
        <f t="shared" si="9"/>
        <v/>
      </c>
      <c r="AE42" s="40">
        <f t="shared" si="5"/>
        <v>168</v>
      </c>
    </row>
    <row r="43" spans="1:31">
      <c r="A43"/>
      <c r="B43" s="25" t="s">
        <v>53</v>
      </c>
      <c r="C43" s="11" t="s">
        <v>61</v>
      </c>
      <c r="D43" s="11" t="str">
        <f t="shared" ref="D43:AD43" si="10">IF(IF(_xlfn.FLOOR.MATH(D12,$C$34)=0,D12,_xlfn.FLOOR.MATH(D12,$C$34))=0,"",IF(_xlfn.FLOOR.MATH(D12,$C$34)=0,D12,_xlfn.FLOOR.MATH(D12,$C$34)))</f>
        <v/>
      </c>
      <c r="E43" s="11" t="str">
        <f t="shared" si="10"/>
        <v/>
      </c>
      <c r="F43" s="11" t="str">
        <f t="shared" si="10"/>
        <v/>
      </c>
      <c r="G43" s="11" t="str">
        <f t="shared" si="10"/>
        <v/>
      </c>
      <c r="H43" s="11" t="str">
        <f t="shared" si="10"/>
        <v/>
      </c>
      <c r="I43" s="11" t="str">
        <f t="shared" si="10"/>
        <v/>
      </c>
      <c r="J43" s="11" t="str">
        <f t="shared" si="10"/>
        <v/>
      </c>
      <c r="K43" s="11" t="str">
        <f t="shared" si="10"/>
        <v/>
      </c>
      <c r="L43" s="11">
        <f t="shared" si="10"/>
        <v>6</v>
      </c>
      <c r="M43" s="11">
        <f t="shared" si="10"/>
        <v>6</v>
      </c>
      <c r="N43" s="11">
        <f t="shared" si="10"/>
        <v>6</v>
      </c>
      <c r="O43" s="11">
        <f t="shared" si="10"/>
        <v>6</v>
      </c>
      <c r="P43" s="11">
        <f t="shared" si="10"/>
        <v>12</v>
      </c>
      <c r="Q43" s="11">
        <f t="shared" si="10"/>
        <v>18</v>
      </c>
      <c r="R43" s="11">
        <f t="shared" si="10"/>
        <v>24</v>
      </c>
      <c r="S43" s="11">
        <f t="shared" si="10"/>
        <v>30</v>
      </c>
      <c r="T43" s="11">
        <f t="shared" si="10"/>
        <v>24</v>
      </c>
      <c r="U43" s="11">
        <f t="shared" si="10"/>
        <v>12</v>
      </c>
      <c r="V43" s="11">
        <f t="shared" si="10"/>
        <v>24</v>
      </c>
      <c r="W43" s="11" t="str">
        <f t="shared" si="10"/>
        <v/>
      </c>
      <c r="X43" s="11">
        <f t="shared" si="10"/>
        <v>12</v>
      </c>
      <c r="Y43" s="11" t="str">
        <f t="shared" si="10"/>
        <v/>
      </c>
      <c r="Z43" s="11">
        <f t="shared" si="10"/>
        <v>6</v>
      </c>
      <c r="AA43" s="11" t="str">
        <f t="shared" si="10"/>
        <v/>
      </c>
      <c r="AB43" s="11" t="str">
        <f t="shared" si="10"/>
        <v/>
      </c>
      <c r="AC43" s="11" t="str">
        <f t="shared" si="10"/>
        <v/>
      </c>
      <c r="AD43" s="11" t="str">
        <f t="shared" si="10"/>
        <v/>
      </c>
      <c r="AE43" s="40">
        <f t="shared" si="5"/>
        <v>186</v>
      </c>
    </row>
    <row r="44" spans="1:31">
      <c r="B44" s="25" t="s">
        <v>53</v>
      </c>
      <c r="C44" s="11" t="s">
        <v>64</v>
      </c>
      <c r="D44" s="11" t="str">
        <f t="shared" ref="D44:AD44" si="11">IF(IF(_xlfn.FLOOR.MATH(D13,$C$34)=0,D13,_xlfn.FLOOR.MATH(D13,$C$34))=0,"",IF(_xlfn.FLOOR.MATH(D13,$C$34)=0,D13,_xlfn.FLOOR.MATH(D13,$C$34)))</f>
        <v/>
      </c>
      <c r="E44" s="11" t="str">
        <f t="shared" si="11"/>
        <v/>
      </c>
      <c r="F44" s="11" t="str">
        <f t="shared" si="11"/>
        <v/>
      </c>
      <c r="G44" s="11" t="str">
        <f t="shared" si="11"/>
        <v/>
      </c>
      <c r="H44" s="11" t="str">
        <f t="shared" si="11"/>
        <v/>
      </c>
      <c r="I44" s="11" t="str">
        <f t="shared" si="11"/>
        <v/>
      </c>
      <c r="J44" s="11" t="str">
        <f t="shared" si="11"/>
        <v/>
      </c>
      <c r="K44" s="11" t="str">
        <f t="shared" si="11"/>
        <v/>
      </c>
      <c r="L44" s="11">
        <f t="shared" si="11"/>
        <v>3</v>
      </c>
      <c r="M44" s="11">
        <f t="shared" si="11"/>
        <v>3</v>
      </c>
      <c r="N44" s="11">
        <f t="shared" si="11"/>
        <v>3</v>
      </c>
      <c r="O44" s="11">
        <f t="shared" si="11"/>
        <v>3</v>
      </c>
      <c r="P44" s="11">
        <f t="shared" si="11"/>
        <v>3</v>
      </c>
      <c r="Q44" s="11">
        <f t="shared" si="11"/>
        <v>3</v>
      </c>
      <c r="R44" s="11">
        <f t="shared" si="11"/>
        <v>3</v>
      </c>
      <c r="S44" s="11">
        <f t="shared" si="11"/>
        <v>3</v>
      </c>
      <c r="T44" s="11">
        <f t="shared" si="11"/>
        <v>3</v>
      </c>
      <c r="U44" s="11">
        <f t="shared" si="11"/>
        <v>3</v>
      </c>
      <c r="V44" s="11">
        <f t="shared" si="11"/>
        <v>3</v>
      </c>
      <c r="W44" s="11" t="str">
        <f t="shared" si="11"/>
        <v/>
      </c>
      <c r="X44" s="11">
        <f t="shared" si="11"/>
        <v>3</v>
      </c>
      <c r="Y44" s="11" t="str">
        <f t="shared" si="11"/>
        <v/>
      </c>
      <c r="Z44" s="11">
        <f t="shared" si="11"/>
        <v>3</v>
      </c>
      <c r="AA44" s="11" t="str">
        <f t="shared" si="11"/>
        <v/>
      </c>
      <c r="AB44" s="11" t="str">
        <f t="shared" si="11"/>
        <v/>
      </c>
      <c r="AC44" s="11" t="str">
        <f t="shared" si="11"/>
        <v/>
      </c>
      <c r="AD44" s="11" t="str">
        <f t="shared" si="11"/>
        <v/>
      </c>
      <c r="AE44" s="40">
        <f t="shared" si="5"/>
        <v>39</v>
      </c>
    </row>
    <row r="45" spans="1:31">
      <c r="B45" s="25" t="s">
        <v>53</v>
      </c>
      <c r="C45" s="11" t="s">
        <v>59</v>
      </c>
      <c r="D45" s="11" t="str">
        <f t="shared" ref="D45:AD45" si="12">IF(IF(_xlfn.FLOOR.MATH(D14,$C$34)=0,D14,_xlfn.FLOOR.MATH(D14,$C$34))=0,"",IF(_xlfn.FLOOR.MATH(D14,$C$34)=0,D14,_xlfn.FLOOR.MATH(D14,$C$34)))</f>
        <v/>
      </c>
      <c r="E45" s="11" t="str">
        <f t="shared" si="12"/>
        <v/>
      </c>
      <c r="F45" s="11" t="str">
        <f t="shared" si="12"/>
        <v/>
      </c>
      <c r="G45" s="11" t="str">
        <f t="shared" si="12"/>
        <v/>
      </c>
      <c r="H45" s="11">
        <f t="shared" si="12"/>
        <v>3</v>
      </c>
      <c r="I45" s="11">
        <f t="shared" si="12"/>
        <v>3</v>
      </c>
      <c r="J45" s="11">
        <f t="shared" si="12"/>
        <v>6</v>
      </c>
      <c r="K45" s="11">
        <f t="shared" si="12"/>
        <v>6</v>
      </c>
      <c r="L45" s="11">
        <f t="shared" si="12"/>
        <v>6</v>
      </c>
      <c r="M45" s="11">
        <f t="shared" si="12"/>
        <v>6</v>
      </c>
      <c r="N45" s="11">
        <f t="shared" si="12"/>
        <v>6</v>
      </c>
      <c r="O45" s="11">
        <f t="shared" si="12"/>
        <v>6</v>
      </c>
      <c r="P45" s="11">
        <f t="shared" si="12"/>
        <v>6</v>
      </c>
      <c r="Q45" s="11">
        <f t="shared" si="12"/>
        <v>6</v>
      </c>
      <c r="R45" s="11">
        <f t="shared" si="12"/>
        <v>12</v>
      </c>
      <c r="S45" s="11">
        <f t="shared" si="12"/>
        <v>12</v>
      </c>
      <c r="T45" s="11">
        <f t="shared" si="12"/>
        <v>12</v>
      </c>
      <c r="U45" s="11">
        <f t="shared" si="12"/>
        <v>6</v>
      </c>
      <c r="V45" s="11">
        <f t="shared" si="12"/>
        <v>12</v>
      </c>
      <c r="W45" s="11" t="str">
        <f t="shared" si="12"/>
        <v/>
      </c>
      <c r="X45" s="11">
        <f t="shared" si="12"/>
        <v>6</v>
      </c>
      <c r="Y45" s="11" t="str">
        <f t="shared" si="12"/>
        <v/>
      </c>
      <c r="Z45" s="11">
        <f t="shared" si="12"/>
        <v>6</v>
      </c>
      <c r="AA45" s="11" t="str">
        <f t="shared" si="12"/>
        <v/>
      </c>
      <c r="AB45" s="11">
        <f t="shared" si="12"/>
        <v>6</v>
      </c>
      <c r="AC45" s="11" t="str">
        <f t="shared" si="12"/>
        <v/>
      </c>
      <c r="AD45" s="11" t="str">
        <f t="shared" si="12"/>
        <v/>
      </c>
      <c r="AE45" s="40">
        <f t="shared" si="5"/>
        <v>126</v>
      </c>
    </row>
    <row r="46" spans="1:31">
      <c r="B46" s="25" t="s">
        <v>53</v>
      </c>
      <c r="C46" s="11" t="s">
        <v>68</v>
      </c>
      <c r="D46" s="11" t="str">
        <f t="shared" ref="D46:AD46" si="13">IF(IF(_xlfn.FLOOR.MATH(D15,$C$34)=0,D15,_xlfn.FLOOR.MATH(D15,$C$34))=0,"",IF(_xlfn.FLOOR.MATH(D15,$C$34)=0,D15,_xlfn.FLOOR.MATH(D15,$C$34)))</f>
        <v/>
      </c>
      <c r="E46" s="11" t="str">
        <f t="shared" si="13"/>
        <v/>
      </c>
      <c r="F46" s="11" t="str">
        <f t="shared" si="13"/>
        <v/>
      </c>
      <c r="G46" s="11" t="str">
        <f t="shared" si="13"/>
        <v/>
      </c>
      <c r="H46" s="11" t="str">
        <f t="shared" si="13"/>
        <v/>
      </c>
      <c r="I46" s="11" t="str">
        <f t="shared" si="13"/>
        <v/>
      </c>
      <c r="J46" s="11" t="str">
        <f t="shared" si="13"/>
        <v/>
      </c>
      <c r="K46" s="11" t="str">
        <f t="shared" si="13"/>
        <v/>
      </c>
      <c r="L46" s="11">
        <f t="shared" si="13"/>
        <v>6</v>
      </c>
      <c r="M46" s="11">
        <f t="shared" si="13"/>
        <v>6</v>
      </c>
      <c r="N46" s="11">
        <f t="shared" si="13"/>
        <v>6</v>
      </c>
      <c r="O46" s="11">
        <f t="shared" si="13"/>
        <v>6</v>
      </c>
      <c r="P46" s="11">
        <f t="shared" si="13"/>
        <v>6</v>
      </c>
      <c r="Q46" s="11">
        <f t="shared" si="13"/>
        <v>6</v>
      </c>
      <c r="R46" s="11">
        <f t="shared" si="13"/>
        <v>6</v>
      </c>
      <c r="S46" s="11">
        <f t="shared" si="13"/>
        <v>12</v>
      </c>
      <c r="T46" s="11">
        <f t="shared" si="13"/>
        <v>6</v>
      </c>
      <c r="U46" s="11">
        <f t="shared" si="13"/>
        <v>6</v>
      </c>
      <c r="V46" s="11">
        <f t="shared" si="13"/>
        <v>6</v>
      </c>
      <c r="W46" s="11" t="str">
        <f t="shared" si="13"/>
        <v/>
      </c>
      <c r="X46" s="11">
        <f t="shared" si="13"/>
        <v>6</v>
      </c>
      <c r="Y46" s="11" t="str">
        <f t="shared" si="13"/>
        <v/>
      </c>
      <c r="Z46" s="11">
        <f t="shared" si="13"/>
        <v>6</v>
      </c>
      <c r="AA46" s="11" t="str">
        <f t="shared" si="13"/>
        <v/>
      </c>
      <c r="AB46" s="11" t="str">
        <f t="shared" si="13"/>
        <v/>
      </c>
      <c r="AC46" s="11" t="str">
        <f t="shared" si="13"/>
        <v/>
      </c>
      <c r="AD46" s="11" t="str">
        <f t="shared" si="13"/>
        <v/>
      </c>
      <c r="AE46" s="40">
        <f t="shared" si="5"/>
        <v>84</v>
      </c>
    </row>
    <row r="47" spans="1:31">
      <c r="B47" s="25" t="s">
        <v>53</v>
      </c>
      <c r="C47" s="11" t="s">
        <v>57</v>
      </c>
      <c r="D47" s="11" t="str">
        <f t="shared" ref="D47:AD47" si="14">IF(IF(_xlfn.FLOOR.MATH(D16,$C$34)=0,D16,_xlfn.FLOOR.MATH(D16,$C$34))=0,"",IF(_xlfn.FLOOR.MATH(D16,$C$34)=0,D16,_xlfn.FLOOR.MATH(D16,$C$34)))</f>
        <v/>
      </c>
      <c r="E47" s="11" t="str">
        <f t="shared" si="14"/>
        <v/>
      </c>
      <c r="F47" s="11" t="str">
        <f t="shared" si="14"/>
        <v/>
      </c>
      <c r="G47" s="11" t="str">
        <f t="shared" si="14"/>
        <v/>
      </c>
      <c r="H47" s="11" t="str">
        <f t="shared" si="14"/>
        <v/>
      </c>
      <c r="I47" s="11" t="str">
        <f t="shared" si="14"/>
        <v/>
      </c>
      <c r="J47" s="11" t="str">
        <f t="shared" si="14"/>
        <v/>
      </c>
      <c r="K47" s="11" t="str">
        <f t="shared" si="14"/>
        <v/>
      </c>
      <c r="L47" s="11">
        <f t="shared" si="14"/>
        <v>6</v>
      </c>
      <c r="M47" s="11">
        <f t="shared" si="14"/>
        <v>6</v>
      </c>
      <c r="N47" s="11">
        <f t="shared" si="14"/>
        <v>6</v>
      </c>
      <c r="O47" s="11">
        <f t="shared" si="14"/>
        <v>6</v>
      </c>
      <c r="P47" s="11">
        <f t="shared" si="14"/>
        <v>6</v>
      </c>
      <c r="Q47" s="11">
        <f t="shared" si="14"/>
        <v>6</v>
      </c>
      <c r="R47" s="11">
        <f t="shared" si="14"/>
        <v>12</v>
      </c>
      <c r="S47" s="11">
        <f t="shared" si="14"/>
        <v>12</v>
      </c>
      <c r="T47" s="11">
        <f t="shared" si="14"/>
        <v>12</v>
      </c>
      <c r="U47" s="11">
        <f t="shared" si="14"/>
        <v>6</v>
      </c>
      <c r="V47" s="11">
        <f t="shared" si="14"/>
        <v>12</v>
      </c>
      <c r="W47" s="11" t="str">
        <f t="shared" si="14"/>
        <v/>
      </c>
      <c r="X47" s="11">
        <f t="shared" si="14"/>
        <v>6</v>
      </c>
      <c r="Y47" s="11" t="str">
        <f t="shared" si="14"/>
        <v/>
      </c>
      <c r="Z47" s="11">
        <f t="shared" si="14"/>
        <v>6</v>
      </c>
      <c r="AA47" s="11" t="str">
        <f t="shared" si="14"/>
        <v/>
      </c>
      <c r="AB47" s="11" t="str">
        <f t="shared" si="14"/>
        <v/>
      </c>
      <c r="AC47" s="11" t="str">
        <f t="shared" si="14"/>
        <v/>
      </c>
      <c r="AD47" s="11" t="str">
        <f t="shared" si="14"/>
        <v/>
      </c>
      <c r="AE47" s="40">
        <f t="shared" si="5"/>
        <v>102</v>
      </c>
    </row>
    <row r="48" spans="1:31">
      <c r="B48" s="25" t="s">
        <v>70</v>
      </c>
      <c r="C48" s="11" t="s">
        <v>71</v>
      </c>
      <c r="D48" s="11">
        <f t="shared" ref="D48:AD48" si="15">IF(IF(_xlfn.FLOOR.MATH(D17,$C$34)=0,D17,_xlfn.FLOOR.MATH(D17,$C$34))=0,"",IF(_xlfn.FLOOR.MATH(D17,$C$34)=0,D17,_xlfn.FLOOR.MATH(D17,$C$34)))</f>
        <v>6</v>
      </c>
      <c r="E48" s="11">
        <f t="shared" si="15"/>
        <v>6</v>
      </c>
      <c r="F48" s="11">
        <f t="shared" si="15"/>
        <v>6</v>
      </c>
      <c r="G48" s="11">
        <f t="shared" si="15"/>
        <v>6</v>
      </c>
      <c r="H48" s="11">
        <f t="shared" si="15"/>
        <v>6</v>
      </c>
      <c r="I48" s="11">
        <f t="shared" si="15"/>
        <v>6</v>
      </c>
      <c r="J48" s="11">
        <f t="shared" si="15"/>
        <v>6</v>
      </c>
      <c r="K48" s="11">
        <f t="shared" si="15"/>
        <v>6</v>
      </c>
      <c r="L48" s="11">
        <f t="shared" si="15"/>
        <v>6</v>
      </c>
      <c r="M48" s="11">
        <f t="shared" si="15"/>
        <v>6</v>
      </c>
      <c r="N48" s="11">
        <f t="shared" si="15"/>
        <v>6</v>
      </c>
      <c r="O48" s="11">
        <f t="shared" si="15"/>
        <v>6</v>
      </c>
      <c r="P48" s="11">
        <f t="shared" si="15"/>
        <v>12</v>
      </c>
      <c r="Q48" s="11">
        <f t="shared" si="15"/>
        <v>12</v>
      </c>
      <c r="R48" s="11">
        <f t="shared" si="15"/>
        <v>12</v>
      </c>
      <c r="S48" s="11">
        <f t="shared" si="15"/>
        <v>12</v>
      </c>
      <c r="T48" s="11">
        <f t="shared" si="15"/>
        <v>12</v>
      </c>
      <c r="U48" s="11">
        <f t="shared" si="15"/>
        <v>12</v>
      </c>
      <c r="V48" s="11">
        <f t="shared" si="15"/>
        <v>12</v>
      </c>
      <c r="W48" s="11">
        <f t="shared" si="15"/>
        <v>6</v>
      </c>
      <c r="X48" s="11">
        <f t="shared" si="15"/>
        <v>12</v>
      </c>
      <c r="Y48" s="11">
        <f t="shared" si="15"/>
        <v>6</v>
      </c>
      <c r="Z48" s="11">
        <f t="shared" si="15"/>
        <v>6</v>
      </c>
      <c r="AA48" s="11">
        <f t="shared" si="15"/>
        <v>6</v>
      </c>
      <c r="AB48" s="11">
        <f t="shared" si="15"/>
        <v>6</v>
      </c>
      <c r="AC48" s="11">
        <f t="shared" si="15"/>
        <v>2</v>
      </c>
      <c r="AD48" s="11">
        <f t="shared" si="15"/>
        <v>6</v>
      </c>
      <c r="AE48" s="40">
        <f t="shared" si="5"/>
        <v>206</v>
      </c>
    </row>
    <row r="49" spans="2:31">
      <c r="B49" s="25" t="s">
        <v>70</v>
      </c>
      <c r="C49" s="11" t="s">
        <v>73</v>
      </c>
      <c r="D49" s="11" t="str">
        <f t="shared" ref="D49:AD49" si="16">IF(IF(_xlfn.FLOOR.MATH(D18,$C$34)=0,D18,_xlfn.FLOOR.MATH(D18,$C$34))=0,"",IF(_xlfn.FLOOR.MATH(D18,$C$34)=0,D18,_xlfn.FLOOR.MATH(D18,$C$34)))</f>
        <v/>
      </c>
      <c r="E49" s="11" t="str">
        <f t="shared" si="16"/>
        <v/>
      </c>
      <c r="F49" s="11" t="str">
        <f t="shared" si="16"/>
        <v/>
      </c>
      <c r="G49" s="11" t="str">
        <f t="shared" si="16"/>
        <v/>
      </c>
      <c r="H49" s="11">
        <f t="shared" si="16"/>
        <v>6</v>
      </c>
      <c r="I49" s="11">
        <f t="shared" si="16"/>
        <v>6</v>
      </c>
      <c r="J49" s="11">
        <f t="shared" si="16"/>
        <v>6</v>
      </c>
      <c r="K49" s="11">
        <f t="shared" si="16"/>
        <v>6</v>
      </c>
      <c r="L49" s="11">
        <f t="shared" si="16"/>
        <v>6</v>
      </c>
      <c r="M49" s="11">
        <f t="shared" si="16"/>
        <v>6</v>
      </c>
      <c r="N49" s="11">
        <f t="shared" si="16"/>
        <v>6</v>
      </c>
      <c r="O49" s="11">
        <f t="shared" si="16"/>
        <v>6</v>
      </c>
      <c r="P49" s="11">
        <f t="shared" si="16"/>
        <v>6</v>
      </c>
      <c r="Q49" s="11">
        <f t="shared" si="16"/>
        <v>6</v>
      </c>
      <c r="R49" s="11">
        <f t="shared" si="16"/>
        <v>6</v>
      </c>
      <c r="S49" s="11">
        <f t="shared" si="16"/>
        <v>6</v>
      </c>
      <c r="T49" s="11">
        <f t="shared" si="16"/>
        <v>6</v>
      </c>
      <c r="U49" s="11">
        <f t="shared" si="16"/>
        <v>6</v>
      </c>
      <c r="V49" s="11">
        <f t="shared" si="16"/>
        <v>6</v>
      </c>
      <c r="W49" s="11">
        <f t="shared" si="16"/>
        <v>6</v>
      </c>
      <c r="X49" s="11">
        <f t="shared" si="16"/>
        <v>6</v>
      </c>
      <c r="Y49" s="11">
        <f t="shared" si="16"/>
        <v>6</v>
      </c>
      <c r="Z49" s="11">
        <f t="shared" si="16"/>
        <v>6</v>
      </c>
      <c r="AA49" s="11">
        <f t="shared" si="16"/>
        <v>6</v>
      </c>
      <c r="AB49" s="11">
        <f t="shared" si="16"/>
        <v>6</v>
      </c>
      <c r="AC49" s="11">
        <f t="shared" si="16"/>
        <v>2</v>
      </c>
      <c r="AD49" s="11">
        <f t="shared" si="16"/>
        <v>2</v>
      </c>
      <c r="AE49" s="40">
        <f t="shared" si="5"/>
        <v>130</v>
      </c>
    </row>
    <row r="50" spans="2:31">
      <c r="B50" s="25" t="s">
        <v>70</v>
      </c>
      <c r="C50" s="11" t="s">
        <v>74</v>
      </c>
      <c r="D50" s="11" t="str">
        <f t="shared" ref="D50:AD50" si="17">IF(IF(_xlfn.FLOOR.MATH(D19,$C$34)=0,D19,_xlfn.FLOOR.MATH(D19,$C$34))=0,"",IF(_xlfn.FLOOR.MATH(D19,$C$34)=0,D19,_xlfn.FLOOR.MATH(D19,$C$34)))</f>
        <v/>
      </c>
      <c r="E50" s="11" t="str">
        <f t="shared" si="17"/>
        <v/>
      </c>
      <c r="F50" s="11" t="str">
        <f t="shared" si="17"/>
        <v/>
      </c>
      <c r="G50" s="11" t="str">
        <f t="shared" si="17"/>
        <v/>
      </c>
      <c r="H50" s="11" t="str">
        <f t="shared" si="17"/>
        <v/>
      </c>
      <c r="I50" s="11" t="str">
        <f t="shared" si="17"/>
        <v/>
      </c>
      <c r="J50" s="11" t="str">
        <f t="shared" si="17"/>
        <v/>
      </c>
      <c r="K50" s="11" t="str">
        <f t="shared" si="17"/>
        <v/>
      </c>
      <c r="L50" s="11">
        <f t="shared" si="17"/>
        <v>6</v>
      </c>
      <c r="M50" s="11">
        <f t="shared" si="17"/>
        <v>4</v>
      </c>
      <c r="N50" s="11">
        <f t="shared" si="17"/>
        <v>6</v>
      </c>
      <c r="O50" s="11">
        <f t="shared" si="17"/>
        <v>4</v>
      </c>
      <c r="P50" s="11">
        <f t="shared" si="17"/>
        <v>6</v>
      </c>
      <c r="Q50" s="11">
        <f t="shared" si="17"/>
        <v>6</v>
      </c>
      <c r="R50" s="11">
        <f t="shared" si="17"/>
        <v>6</v>
      </c>
      <c r="S50" s="11">
        <f t="shared" si="17"/>
        <v>6</v>
      </c>
      <c r="T50" s="11">
        <f t="shared" si="17"/>
        <v>6</v>
      </c>
      <c r="U50" s="11">
        <f t="shared" si="17"/>
        <v>6</v>
      </c>
      <c r="V50" s="11">
        <f t="shared" si="17"/>
        <v>6</v>
      </c>
      <c r="W50" s="11">
        <f t="shared" si="17"/>
        <v>6</v>
      </c>
      <c r="X50" s="11">
        <f t="shared" si="17"/>
        <v>6</v>
      </c>
      <c r="Y50" s="11">
        <f t="shared" si="17"/>
        <v>3</v>
      </c>
      <c r="Z50" s="11">
        <f t="shared" si="17"/>
        <v>3</v>
      </c>
      <c r="AA50" s="11" t="str">
        <f t="shared" si="17"/>
        <v/>
      </c>
      <c r="AB50" s="11" t="str">
        <f t="shared" si="17"/>
        <v/>
      </c>
      <c r="AC50" s="11" t="str">
        <f t="shared" si="17"/>
        <v/>
      </c>
      <c r="AD50" s="11" t="str">
        <f t="shared" si="17"/>
        <v/>
      </c>
      <c r="AE50" s="40">
        <f t="shared" si="5"/>
        <v>80</v>
      </c>
    </row>
    <row r="51" spans="2:31">
      <c r="B51" s="25" t="s">
        <v>48</v>
      </c>
      <c r="C51" s="11" t="s">
        <v>52</v>
      </c>
      <c r="D51" s="11" t="str">
        <f t="shared" ref="D51:AD51" si="18">IF(IF(_xlfn.FLOOR.MATH(D20,$C$34)=0,D20,_xlfn.FLOOR.MATH(D20,$C$34))=0,"",IF(_xlfn.FLOOR.MATH(D20,$C$34)=0,D20,_xlfn.FLOOR.MATH(D20,$C$34)))</f>
        <v/>
      </c>
      <c r="E51" s="11" t="str">
        <f t="shared" si="18"/>
        <v/>
      </c>
      <c r="F51" s="11" t="str">
        <f t="shared" si="18"/>
        <v/>
      </c>
      <c r="G51" s="11" t="str">
        <f t="shared" si="18"/>
        <v/>
      </c>
      <c r="H51" s="11" t="str">
        <f t="shared" si="18"/>
        <v/>
      </c>
      <c r="I51" s="11" t="str">
        <f t="shared" si="18"/>
        <v/>
      </c>
      <c r="J51" s="11" t="str">
        <f t="shared" si="18"/>
        <v/>
      </c>
      <c r="K51" s="11">
        <f t="shared" si="18"/>
        <v>6</v>
      </c>
      <c r="L51" s="11">
        <f t="shared" si="18"/>
        <v>6</v>
      </c>
      <c r="M51" s="11">
        <f t="shared" si="18"/>
        <v>6</v>
      </c>
      <c r="N51" s="11">
        <f t="shared" si="18"/>
        <v>6</v>
      </c>
      <c r="O51" s="11">
        <f t="shared" si="18"/>
        <v>12</v>
      </c>
      <c r="P51" s="11">
        <f t="shared" si="18"/>
        <v>6</v>
      </c>
      <c r="Q51" s="11">
        <f t="shared" si="18"/>
        <v>6</v>
      </c>
      <c r="R51" s="11">
        <f t="shared" si="18"/>
        <v>6</v>
      </c>
      <c r="S51" s="11">
        <f t="shared" si="18"/>
        <v>6</v>
      </c>
      <c r="T51" s="11" t="str">
        <f t="shared" si="18"/>
        <v/>
      </c>
      <c r="U51" s="11">
        <f t="shared" si="18"/>
        <v>6</v>
      </c>
      <c r="V51" s="11" t="str">
        <f t="shared" si="18"/>
        <v/>
      </c>
      <c r="W51" s="11" t="str">
        <f t="shared" si="18"/>
        <v/>
      </c>
      <c r="X51" s="11" t="str">
        <f t="shared" si="18"/>
        <v/>
      </c>
      <c r="Y51" s="11" t="str">
        <f t="shared" si="18"/>
        <v/>
      </c>
      <c r="Z51" s="11" t="str">
        <f t="shared" si="18"/>
        <v/>
      </c>
      <c r="AA51" s="11" t="str">
        <f t="shared" si="18"/>
        <v/>
      </c>
      <c r="AB51" s="11" t="str">
        <f t="shared" si="18"/>
        <v/>
      </c>
      <c r="AC51" s="11" t="str">
        <f t="shared" si="18"/>
        <v/>
      </c>
      <c r="AD51" s="11" t="str">
        <f t="shared" si="18"/>
        <v/>
      </c>
      <c r="AE51" s="40">
        <f t="shared" si="5"/>
        <v>66</v>
      </c>
    </row>
    <row r="52" spans="2:31">
      <c r="B52" s="25" t="s">
        <v>48</v>
      </c>
      <c r="C52" s="11" t="s">
        <v>50</v>
      </c>
      <c r="D52" s="11" t="str">
        <f t="shared" ref="D52:AD52" si="19">IF(IF(_xlfn.FLOOR.MATH(D21,$C$34)=0,D21,_xlfn.FLOOR.MATH(D21,$C$34))=0,"",IF(_xlfn.FLOOR.MATH(D21,$C$34)=0,D21,_xlfn.FLOOR.MATH(D21,$C$34)))</f>
        <v/>
      </c>
      <c r="E52" s="11" t="str">
        <f t="shared" si="19"/>
        <v/>
      </c>
      <c r="F52" s="11" t="str">
        <f t="shared" si="19"/>
        <v/>
      </c>
      <c r="G52" s="11" t="str">
        <f t="shared" si="19"/>
        <v/>
      </c>
      <c r="H52" s="11" t="str">
        <f t="shared" si="19"/>
        <v/>
      </c>
      <c r="I52" s="11" t="str">
        <f t="shared" si="19"/>
        <v/>
      </c>
      <c r="J52" s="11" t="str">
        <f t="shared" si="19"/>
        <v/>
      </c>
      <c r="K52" s="11" t="str">
        <f t="shared" si="19"/>
        <v/>
      </c>
      <c r="L52" s="11" t="str">
        <f t="shared" si="19"/>
        <v/>
      </c>
      <c r="M52" s="11" t="str">
        <f t="shared" si="19"/>
        <v/>
      </c>
      <c r="N52" s="11">
        <f t="shared" si="19"/>
        <v>6</v>
      </c>
      <c r="O52" s="11">
        <f t="shared" si="19"/>
        <v>6</v>
      </c>
      <c r="P52" s="11">
        <f t="shared" si="19"/>
        <v>6</v>
      </c>
      <c r="Q52" s="11">
        <f t="shared" si="19"/>
        <v>6</v>
      </c>
      <c r="R52" s="11">
        <f t="shared" si="19"/>
        <v>12</v>
      </c>
      <c r="S52" s="11">
        <f t="shared" si="19"/>
        <v>12</v>
      </c>
      <c r="T52" s="11">
        <f t="shared" si="19"/>
        <v>12</v>
      </c>
      <c r="U52" s="11">
        <f t="shared" si="19"/>
        <v>6</v>
      </c>
      <c r="V52" s="11">
        <f t="shared" si="19"/>
        <v>6</v>
      </c>
      <c r="W52" s="11">
        <f t="shared" si="19"/>
        <v>6</v>
      </c>
      <c r="X52" s="11" t="str">
        <f t="shared" si="19"/>
        <v/>
      </c>
      <c r="Y52" s="11" t="str">
        <f t="shared" si="19"/>
        <v/>
      </c>
      <c r="Z52" s="11" t="str">
        <f t="shared" si="19"/>
        <v/>
      </c>
      <c r="AA52" s="11" t="str">
        <f t="shared" si="19"/>
        <v/>
      </c>
      <c r="AB52" s="11" t="str">
        <f t="shared" si="19"/>
        <v/>
      </c>
      <c r="AC52" s="11" t="str">
        <f t="shared" si="19"/>
        <v/>
      </c>
      <c r="AD52" s="11" t="str">
        <f t="shared" si="19"/>
        <v/>
      </c>
      <c r="AE52" s="40">
        <f t="shared" si="5"/>
        <v>78</v>
      </c>
    </row>
    <row r="53" spans="2:31">
      <c r="B53" s="25" t="s">
        <v>31</v>
      </c>
      <c r="C53" s="11" t="s">
        <v>32</v>
      </c>
      <c r="D53" s="11" t="str">
        <f t="shared" ref="D53:AD53" si="20">IF(IF(_xlfn.FLOOR.MATH(D22,$C$34)=0,D22,_xlfn.FLOOR.MATH(D22,$C$34))=0,"",IF(_xlfn.FLOOR.MATH(D22,$C$34)=0,D22,_xlfn.FLOOR.MATH(D22,$C$34)))</f>
        <v/>
      </c>
      <c r="E53" s="11" t="str">
        <f t="shared" si="20"/>
        <v/>
      </c>
      <c r="F53" s="11" t="str">
        <f t="shared" si="20"/>
        <v/>
      </c>
      <c r="G53" s="11" t="str">
        <f t="shared" si="20"/>
        <v/>
      </c>
      <c r="H53" s="11" t="str">
        <f t="shared" si="20"/>
        <v/>
      </c>
      <c r="I53" s="11" t="str">
        <f t="shared" si="20"/>
        <v/>
      </c>
      <c r="J53" s="11" t="str">
        <f t="shared" si="20"/>
        <v/>
      </c>
      <c r="K53" s="11" t="str">
        <f t="shared" si="20"/>
        <v/>
      </c>
      <c r="L53" s="11">
        <f t="shared" si="20"/>
        <v>12</v>
      </c>
      <c r="M53" s="11">
        <f t="shared" si="20"/>
        <v>12</v>
      </c>
      <c r="N53" s="11">
        <f t="shared" si="20"/>
        <v>12</v>
      </c>
      <c r="O53" s="11">
        <f t="shared" si="20"/>
        <v>12</v>
      </c>
      <c r="P53" s="11">
        <f t="shared" si="20"/>
        <v>18</v>
      </c>
      <c r="Q53" s="11">
        <f t="shared" si="20"/>
        <v>24</v>
      </c>
      <c r="R53" s="11">
        <f t="shared" si="20"/>
        <v>24</v>
      </c>
      <c r="S53" s="11">
        <f t="shared" si="20"/>
        <v>30</v>
      </c>
      <c r="T53" s="11">
        <f t="shared" si="20"/>
        <v>30</v>
      </c>
      <c r="U53" s="11">
        <f t="shared" si="20"/>
        <v>24</v>
      </c>
      <c r="V53" s="11">
        <f t="shared" si="20"/>
        <v>30</v>
      </c>
      <c r="W53" s="11" t="str">
        <f t="shared" si="20"/>
        <v/>
      </c>
      <c r="X53" s="11">
        <f t="shared" si="20"/>
        <v>24</v>
      </c>
      <c r="Y53" s="11" t="str">
        <f t="shared" si="20"/>
        <v/>
      </c>
      <c r="Z53" s="11">
        <f t="shared" si="20"/>
        <v>12</v>
      </c>
      <c r="AA53" s="11" t="str">
        <f t="shared" si="20"/>
        <v/>
      </c>
      <c r="AB53" s="11" t="str">
        <f t="shared" si="20"/>
        <v/>
      </c>
      <c r="AC53" s="11" t="str">
        <f t="shared" si="20"/>
        <v/>
      </c>
      <c r="AD53" s="11" t="str">
        <f t="shared" si="20"/>
        <v/>
      </c>
      <c r="AE53" s="40">
        <f t="shared" si="5"/>
        <v>264</v>
      </c>
    </row>
    <row r="54" spans="2:31">
      <c r="B54" s="25" t="s">
        <v>31</v>
      </c>
      <c r="C54" s="11" t="s">
        <v>34</v>
      </c>
      <c r="D54" s="11" t="str">
        <f t="shared" ref="D54:AD54" si="21">IF(IF(_xlfn.FLOOR.MATH(D23,$C$34)=0,D23,_xlfn.FLOOR.MATH(D23,$C$34))=0,"",IF(_xlfn.FLOOR.MATH(D23,$C$34)=0,D23,_xlfn.FLOOR.MATH(D23,$C$34)))</f>
        <v/>
      </c>
      <c r="E54" s="11" t="str">
        <f t="shared" si="21"/>
        <v/>
      </c>
      <c r="F54" s="11" t="str">
        <f t="shared" si="21"/>
        <v/>
      </c>
      <c r="G54" s="11" t="str">
        <f t="shared" si="21"/>
        <v/>
      </c>
      <c r="H54" s="11" t="str">
        <f t="shared" si="21"/>
        <v/>
      </c>
      <c r="I54" s="11" t="str">
        <f t="shared" si="21"/>
        <v/>
      </c>
      <c r="J54" s="11" t="str">
        <f t="shared" si="21"/>
        <v/>
      </c>
      <c r="K54" s="11" t="str">
        <f t="shared" si="21"/>
        <v/>
      </c>
      <c r="L54" s="11">
        <f t="shared" si="21"/>
        <v>12</v>
      </c>
      <c r="M54" s="11">
        <f t="shared" si="21"/>
        <v>12</v>
      </c>
      <c r="N54" s="11">
        <f t="shared" si="21"/>
        <v>18</v>
      </c>
      <c r="O54" s="11">
        <f t="shared" si="21"/>
        <v>12</v>
      </c>
      <c r="P54" s="11">
        <f t="shared" si="21"/>
        <v>24</v>
      </c>
      <c r="Q54" s="11">
        <f t="shared" si="21"/>
        <v>24</v>
      </c>
      <c r="R54" s="11">
        <f t="shared" si="21"/>
        <v>30</v>
      </c>
      <c r="S54" s="11">
        <f t="shared" si="21"/>
        <v>30</v>
      </c>
      <c r="T54" s="11">
        <f t="shared" si="21"/>
        <v>30</v>
      </c>
      <c r="U54" s="11">
        <f t="shared" si="21"/>
        <v>24</v>
      </c>
      <c r="V54" s="11">
        <f t="shared" si="21"/>
        <v>30</v>
      </c>
      <c r="W54" s="11" t="str">
        <f t="shared" si="21"/>
        <v/>
      </c>
      <c r="X54" s="11">
        <f t="shared" si="21"/>
        <v>30</v>
      </c>
      <c r="Y54" s="11" t="str">
        <f t="shared" si="21"/>
        <v/>
      </c>
      <c r="Z54" s="11">
        <f t="shared" si="21"/>
        <v>12</v>
      </c>
      <c r="AA54" s="11" t="str">
        <f t="shared" si="21"/>
        <v/>
      </c>
      <c r="AB54" s="11" t="str">
        <f t="shared" si="21"/>
        <v/>
      </c>
      <c r="AC54" s="11" t="str">
        <f t="shared" si="21"/>
        <v/>
      </c>
      <c r="AD54" s="11" t="str">
        <f t="shared" si="21"/>
        <v/>
      </c>
      <c r="AE54" s="40">
        <f t="shared" si="5"/>
        <v>288</v>
      </c>
    </row>
    <row r="55" spans="2:31">
      <c r="B55" s="25" t="s">
        <v>42</v>
      </c>
      <c r="C55" s="11" t="s">
        <v>43</v>
      </c>
      <c r="D55" s="11">
        <f t="shared" ref="D55:AD55" si="22">IF(IF(_xlfn.FLOOR.MATH(D24,$C$34)=0,D24,_xlfn.FLOOR.MATH(D24,$C$34))=0,"",IF(_xlfn.FLOOR.MATH(D24,$C$34)=0,D24,_xlfn.FLOOR.MATH(D24,$C$34)))</f>
        <v>6</v>
      </c>
      <c r="E55" s="11">
        <f t="shared" si="22"/>
        <v>6</v>
      </c>
      <c r="F55" s="11">
        <f t="shared" si="22"/>
        <v>6</v>
      </c>
      <c r="G55" s="11">
        <f t="shared" si="22"/>
        <v>6</v>
      </c>
      <c r="H55" s="11">
        <f t="shared" si="22"/>
        <v>6</v>
      </c>
      <c r="I55" s="11">
        <f t="shared" si="22"/>
        <v>6</v>
      </c>
      <c r="J55" s="11">
        <f t="shared" si="22"/>
        <v>12</v>
      </c>
      <c r="K55" s="11">
        <f t="shared" si="22"/>
        <v>6</v>
      </c>
      <c r="L55" s="11">
        <f t="shared" si="22"/>
        <v>6</v>
      </c>
      <c r="M55" s="11">
        <f t="shared" si="22"/>
        <v>6</v>
      </c>
      <c r="N55" s="11">
        <f t="shared" si="22"/>
        <v>18</v>
      </c>
      <c r="O55" s="11">
        <f t="shared" si="22"/>
        <v>18</v>
      </c>
      <c r="P55" s="11">
        <f t="shared" si="22"/>
        <v>18</v>
      </c>
      <c r="Q55" s="11">
        <f t="shared" si="22"/>
        <v>18</v>
      </c>
      <c r="R55" s="11">
        <f t="shared" si="22"/>
        <v>18</v>
      </c>
      <c r="S55" s="11">
        <f t="shared" si="22"/>
        <v>6</v>
      </c>
      <c r="T55" s="11">
        <f t="shared" si="22"/>
        <v>18</v>
      </c>
      <c r="U55" s="11">
        <f t="shared" si="22"/>
        <v>12</v>
      </c>
      <c r="V55" s="11">
        <f t="shared" si="22"/>
        <v>6</v>
      </c>
      <c r="W55" s="11">
        <f t="shared" si="22"/>
        <v>6</v>
      </c>
      <c r="X55" s="11">
        <f t="shared" si="22"/>
        <v>12</v>
      </c>
      <c r="Y55" s="11">
        <f t="shared" si="22"/>
        <v>6</v>
      </c>
      <c r="Z55" s="11">
        <f t="shared" si="22"/>
        <v>6</v>
      </c>
      <c r="AA55" s="11" t="str">
        <f t="shared" si="22"/>
        <v/>
      </c>
      <c r="AB55" s="11">
        <f t="shared" si="22"/>
        <v>6</v>
      </c>
      <c r="AC55" s="11" t="str">
        <f t="shared" si="22"/>
        <v/>
      </c>
      <c r="AD55" s="11">
        <f t="shared" si="22"/>
        <v>6</v>
      </c>
      <c r="AE55" s="40">
        <f t="shared" si="5"/>
        <v>240</v>
      </c>
    </row>
    <row r="56" spans="2:31">
      <c r="B56" s="25" t="s">
        <v>42</v>
      </c>
      <c r="C56" s="11" t="s">
        <v>45</v>
      </c>
      <c r="D56" s="11" t="str">
        <f t="shared" ref="D56:AD56" si="23">IF(IF(_xlfn.FLOOR.MATH(D25,$C$34)=0,D25,_xlfn.FLOOR.MATH(D25,$C$34))=0,"",IF(_xlfn.FLOOR.MATH(D25,$C$34)=0,D25,_xlfn.FLOOR.MATH(D25,$C$34)))</f>
        <v/>
      </c>
      <c r="E56" s="11" t="str">
        <f t="shared" si="23"/>
        <v/>
      </c>
      <c r="F56" s="11">
        <f t="shared" si="23"/>
        <v>6</v>
      </c>
      <c r="G56" s="11">
        <f t="shared" si="23"/>
        <v>6</v>
      </c>
      <c r="H56" s="11">
        <f t="shared" si="23"/>
        <v>6</v>
      </c>
      <c r="I56" s="11">
        <f t="shared" si="23"/>
        <v>6</v>
      </c>
      <c r="J56" s="11">
        <f t="shared" si="23"/>
        <v>6</v>
      </c>
      <c r="K56" s="11">
        <f t="shared" si="23"/>
        <v>6</v>
      </c>
      <c r="L56" s="11">
        <f t="shared" si="23"/>
        <v>6</v>
      </c>
      <c r="M56" s="11">
        <f t="shared" si="23"/>
        <v>6</v>
      </c>
      <c r="N56" s="11">
        <f t="shared" si="23"/>
        <v>12</v>
      </c>
      <c r="O56" s="11">
        <f t="shared" si="23"/>
        <v>12</v>
      </c>
      <c r="P56" s="11">
        <f t="shared" si="23"/>
        <v>12</v>
      </c>
      <c r="Q56" s="11">
        <f t="shared" si="23"/>
        <v>12</v>
      </c>
      <c r="R56" s="11">
        <f t="shared" si="23"/>
        <v>18</v>
      </c>
      <c r="S56" s="11">
        <f t="shared" si="23"/>
        <v>12</v>
      </c>
      <c r="T56" s="11">
        <f t="shared" si="23"/>
        <v>18</v>
      </c>
      <c r="U56" s="11">
        <f t="shared" si="23"/>
        <v>12</v>
      </c>
      <c r="V56" s="11">
        <f t="shared" si="23"/>
        <v>12</v>
      </c>
      <c r="W56" s="11">
        <f t="shared" si="23"/>
        <v>6</v>
      </c>
      <c r="X56" s="11">
        <f t="shared" si="23"/>
        <v>12</v>
      </c>
      <c r="Y56" s="11">
        <f t="shared" si="23"/>
        <v>6</v>
      </c>
      <c r="Z56" s="11">
        <f t="shared" si="23"/>
        <v>6</v>
      </c>
      <c r="AA56" s="11" t="str">
        <f t="shared" si="23"/>
        <v/>
      </c>
      <c r="AB56" s="11">
        <f t="shared" si="23"/>
        <v>6</v>
      </c>
      <c r="AC56" s="11" t="str">
        <f t="shared" si="23"/>
        <v/>
      </c>
      <c r="AD56" s="11">
        <f t="shared" si="23"/>
        <v>6</v>
      </c>
      <c r="AE56" s="40">
        <f t="shared" si="5"/>
        <v>210</v>
      </c>
    </row>
    <row r="57" spans="2:31">
      <c r="B57" s="25" t="s">
        <v>42</v>
      </c>
      <c r="C57" s="41" t="s">
        <v>46</v>
      </c>
      <c r="D57" s="41" t="str">
        <f t="shared" ref="D57:AD57" si="24">IF(IF(_xlfn.FLOOR.MATH(D26,$C$34)=0,D26,_xlfn.FLOOR.MATH(D26,$C$34))=0,"",IF(_xlfn.FLOOR.MATH(D26,$C$34)=0,D26,_xlfn.FLOOR.MATH(D26,$C$34)))</f>
        <v/>
      </c>
      <c r="E57" s="41" t="str">
        <f t="shared" si="24"/>
        <v/>
      </c>
      <c r="F57" s="41" t="str">
        <f t="shared" si="24"/>
        <v/>
      </c>
      <c r="G57" s="41" t="str">
        <f t="shared" si="24"/>
        <v/>
      </c>
      <c r="H57" s="41" t="str">
        <f t="shared" si="24"/>
        <v/>
      </c>
      <c r="I57" s="41" t="str">
        <f t="shared" si="24"/>
        <v/>
      </c>
      <c r="J57" s="41" t="str">
        <f t="shared" si="24"/>
        <v/>
      </c>
      <c r="K57" s="41" t="str">
        <f t="shared" si="24"/>
        <v/>
      </c>
      <c r="L57" s="41" t="str">
        <f t="shared" si="24"/>
        <v/>
      </c>
      <c r="M57" s="41" t="str">
        <f t="shared" si="24"/>
        <v/>
      </c>
      <c r="N57" s="41">
        <f t="shared" si="24"/>
        <v>6</v>
      </c>
      <c r="O57" s="41">
        <f t="shared" si="24"/>
        <v>6</v>
      </c>
      <c r="P57" s="41">
        <f t="shared" si="24"/>
        <v>6</v>
      </c>
      <c r="Q57" s="41">
        <f t="shared" si="24"/>
        <v>6</v>
      </c>
      <c r="R57" s="41">
        <f t="shared" si="24"/>
        <v>6</v>
      </c>
      <c r="S57" s="41">
        <f t="shared" si="24"/>
        <v>6</v>
      </c>
      <c r="T57" s="41">
        <f t="shared" si="24"/>
        <v>6</v>
      </c>
      <c r="U57" s="41">
        <f t="shared" si="24"/>
        <v>6</v>
      </c>
      <c r="V57" s="41">
        <f t="shared" si="24"/>
        <v>6</v>
      </c>
      <c r="W57" s="41">
        <f t="shared" si="24"/>
        <v>6</v>
      </c>
      <c r="X57" s="41">
        <f t="shared" si="24"/>
        <v>6</v>
      </c>
      <c r="Y57" s="41">
        <f t="shared" si="24"/>
        <v>6</v>
      </c>
      <c r="Z57" s="41">
        <f t="shared" si="24"/>
        <v>12</v>
      </c>
      <c r="AA57" s="41" t="str">
        <f t="shared" si="24"/>
        <v/>
      </c>
      <c r="AB57" s="41">
        <f t="shared" si="24"/>
        <v>1</v>
      </c>
      <c r="AC57" s="41" t="str">
        <f t="shared" si="24"/>
        <v/>
      </c>
      <c r="AD57" s="41">
        <f t="shared" si="24"/>
        <v>1</v>
      </c>
      <c r="AE57" s="42">
        <f t="shared" si="5"/>
        <v>86</v>
      </c>
    </row>
    <row r="58" spans="2:31">
      <c r="B58" s="84" t="s">
        <v>248</v>
      </c>
      <c r="C58" s="41" t="s">
        <v>248</v>
      </c>
      <c r="D58" s="41" t="str">
        <f t="shared" ref="D58:AD58" si="25">IF(IF(_xlfn.FLOOR.MATH(D27,$C$34)=0,D27,_xlfn.FLOOR.MATH(D27,$C$34))=0,"",IF(_xlfn.FLOOR.MATH(D27,$C$34)=0,D27,_xlfn.FLOOR.MATH(D27,$C$34)))</f>
        <v/>
      </c>
      <c r="E58" s="41" t="str">
        <f t="shared" si="25"/>
        <v/>
      </c>
      <c r="F58" s="41" t="str">
        <f t="shared" si="25"/>
        <v/>
      </c>
      <c r="G58" s="41" t="str">
        <f t="shared" si="25"/>
        <v/>
      </c>
      <c r="H58" s="41" t="str">
        <f t="shared" si="25"/>
        <v/>
      </c>
      <c r="I58" s="41" t="str">
        <f t="shared" si="25"/>
        <v/>
      </c>
      <c r="J58" s="41" t="str">
        <f t="shared" si="25"/>
        <v/>
      </c>
      <c r="K58" s="41" t="str">
        <f t="shared" si="25"/>
        <v/>
      </c>
      <c r="L58" s="41">
        <f t="shared" si="25"/>
        <v>6</v>
      </c>
      <c r="M58" s="41">
        <f t="shared" si="25"/>
        <v>6</v>
      </c>
      <c r="N58" s="41">
        <f t="shared" si="25"/>
        <v>6</v>
      </c>
      <c r="O58" s="41">
        <f t="shared" si="25"/>
        <v>6</v>
      </c>
      <c r="P58" s="41">
        <f t="shared" si="25"/>
        <v>12</v>
      </c>
      <c r="Q58" s="41">
        <f t="shared" si="25"/>
        <v>18</v>
      </c>
      <c r="R58" s="41">
        <f t="shared" si="25"/>
        <v>24</v>
      </c>
      <c r="S58" s="41">
        <f t="shared" si="25"/>
        <v>30</v>
      </c>
      <c r="T58" s="41">
        <f t="shared" si="25"/>
        <v>24</v>
      </c>
      <c r="U58" s="41">
        <f t="shared" si="25"/>
        <v>12</v>
      </c>
      <c r="V58" s="41">
        <f t="shared" si="25"/>
        <v>24</v>
      </c>
      <c r="W58" s="41" t="str">
        <f t="shared" si="25"/>
        <v/>
      </c>
      <c r="X58" s="41">
        <f t="shared" si="25"/>
        <v>12</v>
      </c>
      <c r="Y58" s="41" t="str">
        <f t="shared" si="25"/>
        <v/>
      </c>
      <c r="Z58" s="41">
        <f t="shared" si="25"/>
        <v>6</v>
      </c>
      <c r="AA58" s="41" t="str">
        <f t="shared" si="25"/>
        <v/>
      </c>
      <c r="AB58" s="41" t="str">
        <f t="shared" si="25"/>
        <v/>
      </c>
      <c r="AC58" s="41" t="str">
        <f t="shared" si="25"/>
        <v/>
      </c>
      <c r="AD58" s="41" t="str">
        <f t="shared" si="25"/>
        <v/>
      </c>
      <c r="AE58" s="42">
        <f>SUM(D58:AD58)</f>
        <v>186</v>
      </c>
    </row>
    <row r="62" spans="2:31">
      <c r="C62" s="5"/>
    </row>
    <row r="63" spans="2:31">
      <c r="C63" s="55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D5B6D-DDF4-BC4B-8F3A-CF66DD405324}">
  <sheetPr codeName="Sheet4">
    <tabColor rgb="FF0070C0"/>
    <pageSetUpPr fitToPage="1"/>
  </sheetPr>
  <dimension ref="A2:BV72"/>
  <sheetViews>
    <sheetView tabSelected="1" zoomScale="80" zoomScaleNormal="80" workbookViewId="0">
      <selection activeCell="I5" sqref="I5:AI5"/>
    </sheetView>
  </sheetViews>
  <sheetFormatPr baseColWidth="10" defaultColWidth="10.83203125" defaultRowHeight="16"/>
  <cols>
    <col min="1" max="1" width="10.83203125" style="1" customWidth="1"/>
    <col min="2" max="2" width="12.1640625" style="1" customWidth="1"/>
    <col min="3" max="3" width="33.6640625" style="1" customWidth="1"/>
    <col min="4" max="4" width="10.83203125" style="1" customWidth="1"/>
    <col min="5" max="5" width="9.5" style="1" customWidth="1"/>
    <col min="6" max="6" width="7.83203125" style="1" customWidth="1"/>
    <col min="7" max="7" width="25.33203125" style="1" customWidth="1"/>
    <col min="8" max="8" width="10.83203125" style="1"/>
    <col min="9" max="35" width="7.5" style="1" customWidth="1"/>
    <col min="36" max="38" width="10.83203125" style="1"/>
    <col min="39" max="39" width="20" style="1" customWidth="1"/>
    <col min="40" max="16384" width="10.83203125" style="1"/>
  </cols>
  <sheetData>
    <row r="2" spans="1:74">
      <c r="B2" s="7"/>
    </row>
    <row r="4" spans="1:74" ht="30">
      <c r="B4" s="13" t="s">
        <v>305</v>
      </c>
      <c r="C4" s="27"/>
      <c r="I4" s="28" t="str">
        <f>C6&amp;" PO "&amp;C5&amp;" "&amp;C7&amp;" "&amp;AJ5&amp;" Pairs"</f>
        <v>US Boot PO 175 Condor Wellington 432 Pairs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30"/>
    </row>
    <row r="5" spans="1:74" ht="18">
      <c r="B5" s="13" t="s">
        <v>108</v>
      </c>
      <c r="C5" s="27" t="s">
        <v>306</v>
      </c>
      <c r="E5" s="37" t="s">
        <v>109</v>
      </c>
      <c r="F5" s="38"/>
      <c r="G5" s="38"/>
      <c r="H5" s="39"/>
      <c r="I5" s="69"/>
      <c r="J5" s="69"/>
      <c r="K5" s="69"/>
      <c r="L5" s="69"/>
      <c r="M5" s="69"/>
      <c r="N5" s="69"/>
      <c r="O5" s="69"/>
      <c r="P5" s="69"/>
      <c r="Q5" s="69"/>
      <c r="R5" s="69"/>
      <c r="S5" s="69">
        <v>24</v>
      </c>
      <c r="T5" s="69">
        <v>24</v>
      </c>
      <c r="U5" s="69">
        <v>60</v>
      </c>
      <c r="V5" s="69">
        <v>54</v>
      </c>
      <c r="W5" s="69">
        <v>84</v>
      </c>
      <c r="X5" s="69">
        <v>24</v>
      </c>
      <c r="Y5" s="69"/>
      <c r="Z5" s="69">
        <v>42</v>
      </c>
      <c r="AA5" s="69">
        <v>60</v>
      </c>
      <c r="AB5" s="69"/>
      <c r="AC5" s="69">
        <v>42</v>
      </c>
      <c r="AD5" s="69"/>
      <c r="AE5" s="69">
        <v>18</v>
      </c>
      <c r="AF5" s="69"/>
      <c r="AG5" s="69"/>
      <c r="AH5" s="69"/>
      <c r="AI5" s="69"/>
      <c r="AJ5" s="59">
        <f>SUM(I5:AI5)</f>
        <v>432</v>
      </c>
      <c r="AM5" s="13"/>
    </row>
    <row r="6" spans="1:74" ht="18">
      <c r="B6" s="13" t="s">
        <v>110</v>
      </c>
      <c r="C6" s="26" t="s">
        <v>53</v>
      </c>
      <c r="E6" s="31" t="s">
        <v>111</v>
      </c>
      <c r="F6" s="32"/>
      <c r="G6" s="32"/>
      <c r="H6" s="33"/>
      <c r="I6" s="60">
        <f>I5-I15-I21-I27-I33-I39</f>
        <v>0</v>
      </c>
      <c r="J6" s="60">
        <f t="shared" ref="J6:AG6" si="0">J5-J15-J21-J27-J33-J39</f>
        <v>0</v>
      </c>
      <c r="K6" s="60">
        <f t="shared" si="0"/>
        <v>0</v>
      </c>
      <c r="L6" s="60">
        <f t="shared" si="0"/>
        <v>0</v>
      </c>
      <c r="M6" s="60">
        <f t="shared" si="0"/>
        <v>0</v>
      </c>
      <c r="N6" s="60">
        <f t="shared" si="0"/>
        <v>0</v>
      </c>
      <c r="O6" s="60">
        <f t="shared" si="0"/>
        <v>0</v>
      </c>
      <c r="P6" s="60">
        <f t="shared" si="0"/>
        <v>0</v>
      </c>
      <c r="Q6" s="60">
        <f t="shared" si="0"/>
        <v>0</v>
      </c>
      <c r="R6" s="60">
        <f t="shared" si="0"/>
        <v>0</v>
      </c>
      <c r="S6" s="60">
        <f t="shared" si="0"/>
        <v>0</v>
      </c>
      <c r="T6" s="60">
        <f t="shared" si="0"/>
        <v>0</v>
      </c>
      <c r="U6" s="60">
        <f t="shared" si="0"/>
        <v>0</v>
      </c>
      <c r="V6" s="60">
        <f t="shared" si="0"/>
        <v>0</v>
      </c>
      <c r="W6" s="60">
        <f t="shared" si="0"/>
        <v>0</v>
      </c>
      <c r="X6" s="60">
        <f t="shared" si="0"/>
        <v>0</v>
      </c>
      <c r="Y6" s="60">
        <f t="shared" si="0"/>
        <v>0</v>
      </c>
      <c r="Z6" s="60">
        <f t="shared" si="0"/>
        <v>0</v>
      </c>
      <c r="AA6" s="60">
        <f t="shared" si="0"/>
        <v>0</v>
      </c>
      <c r="AB6" s="60">
        <f t="shared" si="0"/>
        <v>0</v>
      </c>
      <c r="AC6" s="60">
        <f t="shared" si="0"/>
        <v>0</v>
      </c>
      <c r="AD6" s="60">
        <f t="shared" si="0"/>
        <v>0</v>
      </c>
      <c r="AE6" s="60">
        <f t="shared" si="0"/>
        <v>0</v>
      </c>
      <c r="AF6" s="60">
        <f t="shared" si="0"/>
        <v>0</v>
      </c>
      <c r="AG6" s="60">
        <f t="shared" si="0"/>
        <v>0</v>
      </c>
      <c r="AH6" s="60">
        <f>AH5-AH15-AH21-AH27-AH33-AH39</f>
        <v>0</v>
      </c>
      <c r="AI6" s="60">
        <f>AI5-AI15-AI21-AI27-AI33-AI39</f>
        <v>0</v>
      </c>
      <c r="AJ6" s="60">
        <f>SUM(I6:AI6)</f>
        <v>0</v>
      </c>
      <c r="AM6" s="13"/>
    </row>
    <row r="7" spans="1:74" ht="18">
      <c r="B7" s="13" t="s">
        <v>112</v>
      </c>
      <c r="C7" s="26" t="s">
        <v>56</v>
      </c>
      <c r="E7" s="31" t="s">
        <v>113</v>
      </c>
      <c r="F7" s="32"/>
      <c r="G7" s="32"/>
      <c r="H7" s="33"/>
      <c r="I7" s="61">
        <f>IFERROR(CEILING(I6/I8,1),0)</f>
        <v>0</v>
      </c>
      <c r="J7" s="61">
        <f t="shared" ref="J7:AI7" si="1">IFERROR(CEILING(J6/J8,1),0)</f>
        <v>0</v>
      </c>
      <c r="K7" s="61">
        <f t="shared" si="1"/>
        <v>0</v>
      </c>
      <c r="L7" s="61">
        <f t="shared" si="1"/>
        <v>0</v>
      </c>
      <c r="M7" s="61">
        <f t="shared" si="1"/>
        <v>0</v>
      </c>
      <c r="N7" s="61">
        <f t="shared" si="1"/>
        <v>0</v>
      </c>
      <c r="O7" s="61">
        <f t="shared" si="1"/>
        <v>0</v>
      </c>
      <c r="P7" s="61">
        <f t="shared" si="1"/>
        <v>0</v>
      </c>
      <c r="Q7" s="61">
        <f t="shared" si="1"/>
        <v>0</v>
      </c>
      <c r="R7" s="61">
        <f t="shared" si="1"/>
        <v>0</v>
      </c>
      <c r="S7" s="61">
        <f t="shared" si="1"/>
        <v>0</v>
      </c>
      <c r="T7" s="61">
        <f t="shared" si="1"/>
        <v>0</v>
      </c>
      <c r="U7" s="61">
        <f t="shared" si="1"/>
        <v>0</v>
      </c>
      <c r="V7" s="61">
        <f t="shared" si="1"/>
        <v>0</v>
      </c>
      <c r="W7" s="61">
        <f t="shared" si="1"/>
        <v>0</v>
      </c>
      <c r="X7" s="61">
        <f t="shared" si="1"/>
        <v>0</v>
      </c>
      <c r="Y7" s="61">
        <f t="shared" si="1"/>
        <v>0</v>
      </c>
      <c r="Z7" s="61">
        <f t="shared" si="1"/>
        <v>0</v>
      </c>
      <c r="AA7" s="61">
        <f t="shared" si="1"/>
        <v>0</v>
      </c>
      <c r="AB7" s="61">
        <f t="shared" si="1"/>
        <v>0</v>
      </c>
      <c r="AC7" s="61">
        <f t="shared" si="1"/>
        <v>0</v>
      </c>
      <c r="AD7" s="61">
        <f t="shared" si="1"/>
        <v>0</v>
      </c>
      <c r="AE7" s="61">
        <f t="shared" si="1"/>
        <v>0</v>
      </c>
      <c r="AF7" s="61">
        <f t="shared" si="1"/>
        <v>0</v>
      </c>
      <c r="AG7" s="61">
        <f t="shared" si="1"/>
        <v>0</v>
      </c>
      <c r="AH7" s="61">
        <f t="shared" si="1"/>
        <v>0</v>
      </c>
      <c r="AI7" s="61">
        <f t="shared" si="1"/>
        <v>0</v>
      </c>
      <c r="AJ7" s="60">
        <f t="shared" ref="AJ7:AJ8" si="2">SUM(I7:AI7)</f>
        <v>0</v>
      </c>
      <c r="AM7" s="13"/>
    </row>
    <row r="8" spans="1:74" ht="18">
      <c r="B8" s="13" t="s">
        <v>114</v>
      </c>
      <c r="C8" s="4" t="str" cm="1">
        <f t="array" ref="C8">_xlfn._xlws.FILTER(StyleNameTable[Last Number],StyleNameTable[Style Name]=Template!C7)</f>
        <v>USB004CTS</v>
      </c>
      <c r="E8" s="34" t="s">
        <v>115</v>
      </c>
      <c r="F8" s="35"/>
      <c r="G8" s="35"/>
      <c r="H8" s="36"/>
      <c r="I8" s="57" t="str">
        <f>INDEX(LastTable[[3]:[16]],MATCH(Template!$C$8,LastTable[Last Number],0),MATCH(Template!I$9,LastTable[[#Headers],[3]:[16]],0))</f>
        <v/>
      </c>
      <c r="J8" s="59" t="str">
        <f>INDEX(LastTable[[3]:[16]],MATCH(Template!$C$8,LastTable[Last Number],0),MATCH(Template!J$9,LastTable[[#Headers],[3]:[16]],0))</f>
        <v/>
      </c>
      <c r="K8" s="59" t="str">
        <f>INDEX(LastTable[[3]:[16]],MATCH(Template!$C$8,LastTable[Last Number],0),MATCH(Template!K$9,LastTable[[#Headers],[3]:[16]],0))</f>
        <v/>
      </c>
      <c r="L8" s="59" t="str">
        <f>INDEX(LastTable[[3]:[16]],MATCH(Template!$C$8,LastTable[Last Number],0),MATCH(Template!L$9,LastTable[[#Headers],[3]:[16]],0))</f>
        <v/>
      </c>
      <c r="M8" s="59" t="str">
        <f>INDEX(LastTable[[3]:[16]],MATCH(Template!$C$8,LastTable[Last Number],0),MATCH(Template!M$9,LastTable[[#Headers],[3]:[16]],0))</f>
        <v/>
      </c>
      <c r="N8" s="59" t="str">
        <f>INDEX(LastTable[[3]:[16]],MATCH(Template!$C$8,LastTable[Last Number],0),MATCH(Template!N$9,LastTable[[#Headers],[3]:[16]],0))</f>
        <v/>
      </c>
      <c r="O8" s="59" t="str">
        <f>INDEX(LastTable[[3]:[16]],MATCH(Template!$C$8,LastTable[Last Number],0),MATCH(Template!O$9,LastTable[[#Headers],[3]:[16]],0))</f>
        <v/>
      </c>
      <c r="P8" s="59" t="str">
        <f>INDEX(LastTable[[3]:[16]],MATCH(Template!$C$8,LastTable[Last Number],0),MATCH(Template!P$9,LastTable[[#Headers],[3]:[16]],0))</f>
        <v/>
      </c>
      <c r="Q8" s="59">
        <f>INDEX(LastTable[[3]:[16]],MATCH(Template!$C$8,LastTable[Last Number],0),MATCH(Template!Q$9,LastTable[[#Headers],[3]:[16]],0))</f>
        <v>6</v>
      </c>
      <c r="R8" s="59">
        <f>INDEX(LastTable[[3]:[16]],MATCH(Template!$C$8,LastTable[Last Number],0),MATCH(Template!R$9,LastTable[[#Headers],[3]:[16]],0))</f>
        <v>6</v>
      </c>
      <c r="S8" s="59">
        <f>INDEX(LastTable[[3]:[16]],MATCH(Template!$C$8,LastTable[Last Number],0),MATCH(Template!S$9,LastTable[[#Headers],[3]:[16]],0))</f>
        <v>6</v>
      </c>
      <c r="T8" s="59">
        <f>INDEX(LastTable[[3]:[16]],MATCH(Template!$C$8,LastTable[Last Number],0),MATCH(Template!T$9,LastTable[[#Headers],[3]:[16]],0))</f>
        <v>6</v>
      </c>
      <c r="U8" s="59">
        <f>INDEX(LastTable[[3]:[16]],MATCH(Template!$C$8,LastTable[Last Number],0),MATCH(Template!U$9,LastTable[[#Headers],[3]:[16]],0))</f>
        <v>6</v>
      </c>
      <c r="V8" s="59">
        <f>INDEX(LastTable[[3]:[16]],MATCH(Template!$C$8,LastTable[Last Number],0),MATCH(Template!V$9,LastTable[[#Headers],[3]:[16]],0))</f>
        <v>6</v>
      </c>
      <c r="W8" s="59">
        <f>INDEX(LastTable[[3]:[16]],MATCH(Template!$C$8,LastTable[Last Number],0),MATCH(Template!W$9,LastTable[[#Headers],[3]:[16]],0))</f>
        <v>12</v>
      </c>
      <c r="X8" s="59">
        <f>INDEX(LastTable[[3]:[16]],MATCH(Template!$C$8,LastTable[Last Number],0),MATCH(Template!X$9,LastTable[[#Headers],[3]:[16]],0))</f>
        <v>12</v>
      </c>
      <c r="Y8" s="59">
        <f>INDEX(LastTable[[3]:[16]],MATCH(Template!$C$8,LastTable[Last Number],0),MATCH(Template!Y$9,LastTable[[#Headers],[3]:[16]],0))</f>
        <v>12</v>
      </c>
      <c r="Z8" s="59">
        <f>INDEX(LastTable[[3]:[16]],MATCH(Template!$C$8,LastTable[Last Number],0),MATCH(Template!Z$9,LastTable[[#Headers],[3]:[16]],0))</f>
        <v>6</v>
      </c>
      <c r="AA8" s="59">
        <f>INDEX(LastTable[[3]:[16]],MATCH(Template!$C$8,LastTable[Last Number],0),MATCH(Template!AA$9,LastTable[[#Headers],[3]:[16]],0))</f>
        <v>12</v>
      </c>
      <c r="AB8" s="59" t="str">
        <f>INDEX(LastTable[[3]:[16]],MATCH(Template!$C$8,LastTable[Last Number],0),MATCH(Template!AB$9,LastTable[[#Headers],[3]:[16]],0))</f>
        <v/>
      </c>
      <c r="AC8" s="59">
        <f>INDEX(LastTable[[3]:[16]],MATCH(Template!$C$8,LastTable[Last Number],0),MATCH(Template!AC$9,LastTable[[#Headers],[3]:[16]],0))</f>
        <v>6</v>
      </c>
      <c r="AD8" s="59" t="str">
        <f>INDEX(LastTable[[3]:[16]],MATCH(Template!$C$8,LastTable[Last Number],0),MATCH(Template!AD$9,LastTable[[#Headers],[3]:[16]],0))</f>
        <v/>
      </c>
      <c r="AE8" s="59">
        <f>INDEX(LastTable[[3]:[16]],MATCH(Template!$C$8,LastTable[Last Number],0),MATCH(Template!AE$9,LastTable[[#Headers],[3]:[16]],0))</f>
        <v>6</v>
      </c>
      <c r="AF8" s="59" t="str">
        <f>INDEX(LastTable[[3]:[16]],MATCH(Template!$C$8,LastTable[Last Number],0),MATCH(Template!AF$9,LastTable[[#Headers],[3]:[16]],0))</f>
        <v/>
      </c>
      <c r="AG8" s="59" t="str">
        <f>INDEX(LastTable[[3]:[16]],MATCH(Template!$C$8,LastTable[Last Number],0),MATCH(Template!AG$9,LastTable[[#Headers],[3]:[16]],0))</f>
        <v/>
      </c>
      <c r="AH8" s="59" t="str">
        <f>INDEX(LastTable[[3]:[16]],MATCH(Template!$C$8,LastTable[Last Number],0),MATCH(Template!AH$9,LastTable[[#Headers],[3]:[16]],0))</f>
        <v/>
      </c>
      <c r="AI8" s="59" t="str">
        <f>INDEX(LastTable[[3]:[16]],MATCH(Template!$C$8,LastTable[Last Number],0),MATCH(Template!AI$9,LastTable[[#Headers],[3]:[16]],0))</f>
        <v/>
      </c>
      <c r="AJ8" s="59">
        <f t="shared" si="2"/>
        <v>102</v>
      </c>
    </row>
    <row r="9" spans="1:74" ht="30" customHeight="1">
      <c r="B9" s="13" t="s">
        <v>116</v>
      </c>
      <c r="C9" s="62" t="str" cm="1">
        <f t="array" ref="C9">_xlfn._xlws.FILTER(StyleNameTable[Style Number],StyleNameTable[Style Name]=Template!C7)</f>
        <v>27291</v>
      </c>
      <c r="E9" s="3" t="s">
        <v>4</v>
      </c>
      <c r="F9" s="3" t="s">
        <v>117</v>
      </c>
      <c r="G9" s="3" t="s">
        <v>118</v>
      </c>
      <c r="H9" s="3" t="s">
        <v>119</v>
      </c>
      <c r="I9" s="56" t="s">
        <v>78</v>
      </c>
      <c r="J9" s="56" t="s">
        <v>79</v>
      </c>
      <c r="K9" s="56" t="s">
        <v>80</v>
      </c>
      <c r="L9" s="56" t="s">
        <v>81</v>
      </c>
      <c r="M9" s="56" t="s">
        <v>82</v>
      </c>
      <c r="N9" s="56" t="s">
        <v>83</v>
      </c>
      <c r="O9" s="56" t="s">
        <v>84</v>
      </c>
      <c r="P9" s="56" t="s">
        <v>85</v>
      </c>
      <c r="Q9" s="56" t="s">
        <v>86</v>
      </c>
      <c r="R9" s="56" t="s">
        <v>87</v>
      </c>
      <c r="S9" s="56" t="s">
        <v>88</v>
      </c>
      <c r="T9" s="56" t="s">
        <v>89</v>
      </c>
      <c r="U9" s="56" t="s">
        <v>90</v>
      </c>
      <c r="V9" s="56" t="s">
        <v>91</v>
      </c>
      <c r="W9" s="56" t="s">
        <v>92</v>
      </c>
      <c r="X9" s="56" t="s">
        <v>93</v>
      </c>
      <c r="Y9" s="56" t="s">
        <v>94</v>
      </c>
      <c r="Z9" s="56" t="s">
        <v>95</v>
      </c>
      <c r="AA9" s="56" t="s">
        <v>96</v>
      </c>
      <c r="AB9" s="56" t="s">
        <v>97</v>
      </c>
      <c r="AC9" s="56" t="s">
        <v>98</v>
      </c>
      <c r="AD9" s="56" t="s">
        <v>99</v>
      </c>
      <c r="AE9" s="56" t="s">
        <v>100</v>
      </c>
      <c r="AF9" s="56" t="s">
        <v>101</v>
      </c>
      <c r="AG9" s="56" t="s">
        <v>102</v>
      </c>
      <c r="AH9" s="56" t="s">
        <v>103</v>
      </c>
      <c r="AI9" s="56" t="s">
        <v>104</v>
      </c>
      <c r="AJ9" s="3" t="s">
        <v>105</v>
      </c>
    </row>
    <row r="10" spans="1:74" ht="25" customHeight="1">
      <c r="B10" s="13" t="s">
        <v>120</v>
      </c>
      <c r="C10" s="2">
        <f>VLOOKUP($C$8,StyleNameTable[[#All],[Last Number]:[Note]],6,0)</f>
        <v>0</v>
      </c>
      <c r="E10" s="41"/>
      <c r="F10" s="41"/>
      <c r="G10" s="41"/>
      <c r="H10" s="46" t="s">
        <v>121</v>
      </c>
      <c r="I10" s="59"/>
      <c r="J10" s="59"/>
      <c r="K10" s="59"/>
      <c r="L10" s="87"/>
      <c r="M10" s="87"/>
      <c r="N10" s="87"/>
      <c r="O10" s="87"/>
      <c r="P10" s="87"/>
      <c r="Q10" s="87"/>
      <c r="R10" s="87"/>
      <c r="S10" s="87">
        <v>6</v>
      </c>
      <c r="T10" s="91"/>
      <c r="U10" s="66">
        <v>12</v>
      </c>
      <c r="V10" s="87"/>
      <c r="W10" s="87">
        <v>12</v>
      </c>
      <c r="X10" s="87">
        <v>6</v>
      </c>
      <c r="Y10" s="88"/>
      <c r="Z10" s="88">
        <v>6</v>
      </c>
      <c r="AA10" s="87">
        <v>12</v>
      </c>
      <c r="AB10" s="88"/>
      <c r="AC10" s="88">
        <v>6</v>
      </c>
      <c r="AD10" s="87"/>
      <c r="AE10" s="87"/>
      <c r="AF10" s="87"/>
      <c r="AG10" s="87"/>
      <c r="AH10" s="87"/>
      <c r="AI10" s="87"/>
      <c r="AJ10" s="47">
        <f t="shared" ref="AJ10:AJ39" si="3">SUM(I10:AI10)</f>
        <v>60</v>
      </c>
      <c r="AM10" s="7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</row>
    <row r="11" spans="1:74" ht="25" customHeight="1">
      <c r="B11" s="13" t="s">
        <v>304</v>
      </c>
      <c r="C11" s="26"/>
      <c r="E11" s="51"/>
      <c r="F11" s="51"/>
      <c r="G11" s="58" t="str">
        <f>$C$6</f>
        <v>US Boot</v>
      </c>
      <c r="H11" s="48" t="s">
        <v>124</v>
      </c>
      <c r="I11" s="59"/>
      <c r="J11" s="59"/>
      <c r="K11" s="59"/>
      <c r="L11" s="87"/>
      <c r="M11" s="87"/>
      <c r="N11" s="87"/>
      <c r="O11" s="87"/>
      <c r="P11" s="87"/>
      <c r="Q11" s="87"/>
      <c r="R11" s="87"/>
      <c r="S11" s="87">
        <v>6</v>
      </c>
      <c r="T11" s="91"/>
      <c r="U11" s="66">
        <v>12</v>
      </c>
      <c r="V11" s="87"/>
      <c r="W11" s="87">
        <v>12</v>
      </c>
      <c r="X11" s="87">
        <v>6</v>
      </c>
      <c r="Y11" s="88"/>
      <c r="Z11" s="88">
        <v>6</v>
      </c>
      <c r="AA11" s="87">
        <v>12</v>
      </c>
      <c r="AB11" s="88"/>
      <c r="AC11" s="88">
        <v>6</v>
      </c>
      <c r="AD11" s="87"/>
      <c r="AE11" s="87"/>
      <c r="AF11" s="87"/>
      <c r="AG11" s="87"/>
      <c r="AH11" s="87"/>
      <c r="AI11" s="89"/>
      <c r="AJ11" s="47">
        <f t="shared" si="3"/>
        <v>60</v>
      </c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</row>
    <row r="12" spans="1:74" ht="25" customHeight="1">
      <c r="B12" s="13" t="s">
        <v>308</v>
      </c>
      <c r="C12" s="94" cm="1">
        <f t="array" ref="C12">_xlfn._xlws.FILTER(StyleNameTable[Targetted daily production],StyleNameTable[Style Name]=Template!C7)</f>
        <v>600</v>
      </c>
      <c r="E12" s="53" t="str">
        <f>TEXT(C4,"mmm dd")</f>
        <v>Jan 00</v>
      </c>
      <c r="F12" s="53" t="str">
        <f>TEXT(WEEKDAY(E12),"ddd")</f>
        <v>Sat</v>
      </c>
      <c r="G12" s="58" t="str">
        <f>$C$7</f>
        <v>Condor Wellington</v>
      </c>
      <c r="H12" s="46" t="s">
        <v>126</v>
      </c>
      <c r="I12" s="59"/>
      <c r="J12" s="59"/>
      <c r="K12" s="59"/>
      <c r="L12" s="87"/>
      <c r="M12" s="87"/>
      <c r="N12" s="87"/>
      <c r="O12" s="87"/>
      <c r="P12" s="87"/>
      <c r="Q12" s="87"/>
      <c r="R12" s="87"/>
      <c r="S12" s="87">
        <v>6</v>
      </c>
      <c r="T12" s="91"/>
      <c r="U12" s="66">
        <v>12</v>
      </c>
      <c r="V12" s="87"/>
      <c r="W12" s="87">
        <v>12</v>
      </c>
      <c r="X12" s="87">
        <v>6</v>
      </c>
      <c r="Y12" s="88"/>
      <c r="Z12" s="88">
        <v>6</v>
      </c>
      <c r="AA12" s="88">
        <v>6</v>
      </c>
      <c r="AB12" s="88"/>
      <c r="AC12" s="88">
        <v>6</v>
      </c>
      <c r="AD12" s="87"/>
      <c r="AE12" s="87"/>
      <c r="AF12" s="87"/>
      <c r="AG12" s="87"/>
      <c r="AH12" s="87"/>
      <c r="AI12" s="87"/>
      <c r="AJ12" s="47">
        <f t="shared" si="3"/>
        <v>54</v>
      </c>
      <c r="BR12"/>
      <c r="BS12"/>
      <c r="BT12"/>
      <c r="BU12"/>
      <c r="BV12"/>
    </row>
    <row r="13" spans="1:74" ht="25" customHeight="1">
      <c r="A13" s="12" t="s">
        <v>122</v>
      </c>
      <c r="B13" s="8" t="s">
        <v>123</v>
      </c>
      <c r="E13" s="51"/>
      <c r="F13" s="51"/>
      <c r="G13" s="58" t="str">
        <f>"Style#: "&amp;$C$9</f>
        <v>Style#: 27291</v>
      </c>
      <c r="H13" s="46" t="s">
        <v>127</v>
      </c>
      <c r="I13" s="59"/>
      <c r="J13" s="59"/>
      <c r="K13" s="59"/>
      <c r="L13" s="87"/>
      <c r="M13" s="87"/>
      <c r="N13" s="87"/>
      <c r="O13" s="87"/>
      <c r="P13" s="87"/>
      <c r="Q13" s="87"/>
      <c r="R13" s="87"/>
      <c r="S13" s="87">
        <v>6</v>
      </c>
      <c r="T13" s="91"/>
      <c r="U13" s="66">
        <v>12</v>
      </c>
      <c r="V13" s="87"/>
      <c r="W13" s="87">
        <v>12</v>
      </c>
      <c r="X13" s="87">
        <v>6</v>
      </c>
      <c r="Y13" s="88"/>
      <c r="Z13" s="88">
        <v>6</v>
      </c>
      <c r="AA13" s="88">
        <v>6</v>
      </c>
      <c r="AB13" s="88"/>
      <c r="AC13" s="88">
        <v>6</v>
      </c>
      <c r="AD13" s="87"/>
      <c r="AE13" s="87"/>
      <c r="AF13" s="87"/>
      <c r="AG13" s="87"/>
      <c r="AH13" s="87"/>
      <c r="AI13" s="87"/>
      <c r="AJ13" s="47">
        <f t="shared" si="3"/>
        <v>54</v>
      </c>
      <c r="BR13"/>
      <c r="BS13"/>
      <c r="BT13"/>
      <c r="BU13"/>
      <c r="BV13"/>
    </row>
    <row r="14" spans="1:74" ht="25" customHeight="1">
      <c r="B14" s="8" t="s">
        <v>125</v>
      </c>
      <c r="E14" s="51"/>
      <c r="F14" s="51"/>
      <c r="G14" s="58" t="str">
        <f>"Last: "&amp;$C$8</f>
        <v>Last: USB004CTS</v>
      </c>
      <c r="H14" s="48" t="s">
        <v>129</v>
      </c>
      <c r="I14" s="59"/>
      <c r="J14" s="59"/>
      <c r="K14" s="59"/>
      <c r="L14" s="87"/>
      <c r="M14" s="87"/>
      <c r="N14" s="87"/>
      <c r="O14" s="87"/>
      <c r="P14" s="87"/>
      <c r="Q14" s="87"/>
      <c r="R14" s="87"/>
      <c r="S14" s="87"/>
      <c r="T14" s="91"/>
      <c r="U14" s="66">
        <v>12</v>
      </c>
      <c r="V14" s="87"/>
      <c r="W14" s="87">
        <v>6</v>
      </c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47">
        <f t="shared" si="3"/>
        <v>18</v>
      </c>
      <c r="BR14"/>
      <c r="BS14"/>
      <c r="BT14"/>
      <c r="BU14"/>
      <c r="BV14"/>
    </row>
    <row r="15" spans="1:74" ht="25" customHeight="1">
      <c r="E15" s="52"/>
      <c r="F15" s="52"/>
      <c r="G15" s="52"/>
      <c r="H15" s="49" t="s">
        <v>105</v>
      </c>
      <c r="I15" s="50">
        <f t="shared" ref="I15:AI15" si="4">SUM(I10:I14)</f>
        <v>0</v>
      </c>
      <c r="J15" s="50">
        <f t="shared" si="4"/>
        <v>0</v>
      </c>
      <c r="K15" s="50">
        <f t="shared" si="4"/>
        <v>0</v>
      </c>
      <c r="L15" s="50">
        <f t="shared" si="4"/>
        <v>0</v>
      </c>
      <c r="M15" s="50">
        <f t="shared" si="4"/>
        <v>0</v>
      </c>
      <c r="N15" s="50">
        <f t="shared" si="4"/>
        <v>0</v>
      </c>
      <c r="O15" s="50">
        <f t="shared" si="4"/>
        <v>0</v>
      </c>
      <c r="P15" s="50">
        <f t="shared" si="4"/>
        <v>0</v>
      </c>
      <c r="Q15" s="50">
        <f t="shared" si="4"/>
        <v>0</v>
      </c>
      <c r="R15" s="50">
        <f t="shared" si="4"/>
        <v>0</v>
      </c>
      <c r="S15" s="50">
        <f t="shared" si="4"/>
        <v>24</v>
      </c>
      <c r="T15" s="50">
        <f t="shared" si="4"/>
        <v>0</v>
      </c>
      <c r="U15" s="50">
        <f t="shared" si="4"/>
        <v>60</v>
      </c>
      <c r="V15" s="50">
        <f t="shared" si="4"/>
        <v>0</v>
      </c>
      <c r="W15" s="50">
        <f t="shared" si="4"/>
        <v>54</v>
      </c>
      <c r="X15" s="50">
        <f t="shared" si="4"/>
        <v>24</v>
      </c>
      <c r="Y15" s="50">
        <f t="shared" si="4"/>
        <v>0</v>
      </c>
      <c r="Z15" s="50">
        <f t="shared" si="4"/>
        <v>24</v>
      </c>
      <c r="AA15" s="50">
        <f t="shared" si="4"/>
        <v>36</v>
      </c>
      <c r="AB15" s="50">
        <f t="shared" si="4"/>
        <v>0</v>
      </c>
      <c r="AC15" s="50">
        <f t="shared" si="4"/>
        <v>24</v>
      </c>
      <c r="AD15" s="50">
        <f t="shared" si="4"/>
        <v>0</v>
      </c>
      <c r="AE15" s="50">
        <f t="shared" si="4"/>
        <v>0</v>
      </c>
      <c r="AF15" s="50">
        <f t="shared" si="4"/>
        <v>0</v>
      </c>
      <c r="AG15" s="50">
        <f t="shared" si="4"/>
        <v>0</v>
      </c>
      <c r="AH15" s="50">
        <f t="shared" si="4"/>
        <v>0</v>
      </c>
      <c r="AI15" s="50">
        <f t="shared" si="4"/>
        <v>0</v>
      </c>
      <c r="AJ15" s="50">
        <f t="shared" si="3"/>
        <v>246</v>
      </c>
      <c r="BR15"/>
      <c r="BS15"/>
      <c r="BT15"/>
      <c r="BU15"/>
      <c r="BV15"/>
    </row>
    <row r="16" spans="1:74" ht="25" customHeight="1">
      <c r="B16" s="62" t="s">
        <v>128</v>
      </c>
      <c r="E16" s="41"/>
      <c r="F16" s="41"/>
      <c r="G16" s="41"/>
      <c r="H16" s="46" t="s">
        <v>121</v>
      </c>
      <c r="I16" s="57"/>
      <c r="J16" s="57"/>
      <c r="K16" s="57"/>
      <c r="L16" s="87"/>
      <c r="M16" s="87"/>
      <c r="N16" s="87"/>
      <c r="O16" s="87"/>
      <c r="P16" s="87"/>
      <c r="Q16" s="87"/>
      <c r="R16" s="87"/>
      <c r="S16" s="87"/>
      <c r="T16" s="87">
        <v>6</v>
      </c>
      <c r="U16" s="91"/>
      <c r="V16" s="66">
        <v>12</v>
      </c>
      <c r="W16" s="87">
        <v>6</v>
      </c>
      <c r="X16" s="87"/>
      <c r="Y16" s="88"/>
      <c r="Z16" s="88">
        <v>6</v>
      </c>
      <c r="AA16" s="88">
        <v>6</v>
      </c>
      <c r="AB16" s="88"/>
      <c r="AC16" s="88">
        <v>6</v>
      </c>
      <c r="AD16" s="87"/>
      <c r="AE16" s="87">
        <v>6</v>
      </c>
      <c r="AF16" s="87"/>
      <c r="AG16" s="87"/>
      <c r="AH16" s="87"/>
      <c r="AI16" s="90"/>
      <c r="AJ16" s="47">
        <f t="shared" si="3"/>
        <v>48</v>
      </c>
      <c r="BR16"/>
      <c r="BS16"/>
      <c r="BT16"/>
      <c r="BU16"/>
      <c r="BV16"/>
    </row>
    <row r="17" spans="2:74" ht="25" customHeight="1">
      <c r="B17" s="68"/>
      <c r="C17" s="1" t="s">
        <v>130</v>
      </c>
      <c r="E17" s="51"/>
      <c r="F17" s="51"/>
      <c r="G17" s="58" t="str">
        <f>$C$6</f>
        <v>US Boot</v>
      </c>
      <c r="H17" s="48" t="s">
        <v>124</v>
      </c>
      <c r="I17" s="57"/>
      <c r="J17" s="57"/>
      <c r="K17" s="57"/>
      <c r="L17" s="87"/>
      <c r="M17" s="87"/>
      <c r="N17" s="87"/>
      <c r="O17" s="87"/>
      <c r="P17" s="87"/>
      <c r="Q17" s="87"/>
      <c r="R17" s="87"/>
      <c r="S17" s="87"/>
      <c r="T17" s="87">
        <v>6</v>
      </c>
      <c r="U17" s="91"/>
      <c r="V17" s="66">
        <v>12</v>
      </c>
      <c r="W17" s="87">
        <v>6</v>
      </c>
      <c r="X17" s="87"/>
      <c r="Y17" s="88"/>
      <c r="Z17" s="88">
        <v>6</v>
      </c>
      <c r="AA17" s="88">
        <v>6</v>
      </c>
      <c r="AB17" s="88"/>
      <c r="AC17" s="88">
        <v>6</v>
      </c>
      <c r="AD17" s="87"/>
      <c r="AE17" s="87">
        <v>6</v>
      </c>
      <c r="AF17" s="87"/>
      <c r="AG17" s="87"/>
      <c r="AH17" s="87"/>
      <c r="AI17" s="90"/>
      <c r="AJ17" s="47">
        <f t="shared" si="3"/>
        <v>48</v>
      </c>
      <c r="BR17"/>
      <c r="BS17"/>
      <c r="BT17"/>
      <c r="BU17"/>
      <c r="BV17"/>
    </row>
    <row r="18" spans="2:74" ht="25" customHeight="1">
      <c r="B18" s="66">
        <v>6</v>
      </c>
      <c r="C18" s="1" t="s">
        <v>131</v>
      </c>
      <c r="E18" s="53" t="str">
        <f>TEXT(IF(WEEKDAY(E12)=6,E12+3,E12+1),"mmm dd")</f>
        <v>Jan 02</v>
      </c>
      <c r="F18" s="53" t="str">
        <f>TEXT(WEEKDAY(E18),"ddd")</f>
        <v>Fri</v>
      </c>
      <c r="G18" s="58" t="str">
        <f>$C$7</f>
        <v>Condor Wellington</v>
      </c>
      <c r="H18" s="46" t="s">
        <v>126</v>
      </c>
      <c r="I18" s="57"/>
      <c r="J18" s="57"/>
      <c r="K18" s="57"/>
      <c r="L18" s="87"/>
      <c r="M18" s="87"/>
      <c r="N18" s="87"/>
      <c r="O18" s="87"/>
      <c r="P18" s="87"/>
      <c r="Q18" s="87"/>
      <c r="R18" s="87"/>
      <c r="S18" s="87"/>
      <c r="T18" s="87">
        <v>6</v>
      </c>
      <c r="U18" s="91"/>
      <c r="V18" s="66">
        <v>12</v>
      </c>
      <c r="W18" s="87">
        <v>6</v>
      </c>
      <c r="X18" s="87"/>
      <c r="Y18" s="88"/>
      <c r="Z18" s="88">
        <v>6</v>
      </c>
      <c r="AA18" s="88">
        <v>6</v>
      </c>
      <c r="AB18" s="88"/>
      <c r="AC18" s="88">
        <v>6</v>
      </c>
      <c r="AD18" s="87"/>
      <c r="AE18" s="87">
        <v>6</v>
      </c>
      <c r="AF18" s="87"/>
      <c r="AG18" s="87"/>
      <c r="AH18" s="87"/>
      <c r="AI18" s="87"/>
      <c r="AJ18" s="47">
        <f t="shared" si="3"/>
        <v>48</v>
      </c>
      <c r="BR18"/>
      <c r="BS18"/>
      <c r="BT18"/>
      <c r="BU18"/>
      <c r="BV18"/>
    </row>
    <row r="19" spans="2:74" ht="25" customHeight="1">
      <c r="E19" s="51"/>
      <c r="F19" s="51"/>
      <c r="G19" s="58" t="str">
        <f>"Style#: "&amp;$C$9</f>
        <v>Style#: 27291</v>
      </c>
      <c r="H19" s="46" t="s">
        <v>127</v>
      </c>
      <c r="I19" s="57"/>
      <c r="J19" s="57"/>
      <c r="K19" s="57"/>
      <c r="L19" s="87"/>
      <c r="M19" s="87"/>
      <c r="N19" s="87"/>
      <c r="O19" s="87"/>
      <c r="P19" s="87"/>
      <c r="Q19" s="87"/>
      <c r="R19" s="87"/>
      <c r="S19" s="87"/>
      <c r="T19" s="87">
        <v>6</v>
      </c>
      <c r="U19" s="91"/>
      <c r="V19" s="66">
        <v>12</v>
      </c>
      <c r="W19" s="87">
        <v>6</v>
      </c>
      <c r="X19" s="87"/>
      <c r="Y19" s="88"/>
      <c r="Z19" s="88"/>
      <c r="AA19" s="88">
        <v>6</v>
      </c>
      <c r="AB19" s="88"/>
      <c r="AC19" s="88"/>
      <c r="AD19" s="87"/>
      <c r="AE19" s="87"/>
      <c r="AF19" s="87"/>
      <c r="AG19" s="87"/>
      <c r="AH19" s="87"/>
      <c r="AI19" s="87"/>
      <c r="AJ19" s="47">
        <f t="shared" si="3"/>
        <v>30</v>
      </c>
      <c r="BR19"/>
      <c r="BS19"/>
      <c r="BT19"/>
      <c r="BU19"/>
      <c r="BV19"/>
    </row>
    <row r="20" spans="2:74" ht="25" customHeight="1">
      <c r="E20" s="51"/>
      <c r="F20" s="51"/>
      <c r="G20" s="58" t="str">
        <f>"Last: "&amp;$C$8</f>
        <v>Last: USB004CTS</v>
      </c>
      <c r="H20" s="48" t="s">
        <v>129</v>
      </c>
      <c r="I20" s="57"/>
      <c r="J20" s="57"/>
      <c r="K20" s="5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>
        <v>6</v>
      </c>
      <c r="W20" s="87">
        <v>6</v>
      </c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47">
        <f t="shared" si="3"/>
        <v>12</v>
      </c>
      <c r="BR20"/>
      <c r="BS20"/>
      <c r="BT20"/>
      <c r="BU20"/>
      <c r="BV20"/>
    </row>
    <row r="21" spans="2:74" ht="25" customHeight="1">
      <c r="E21" s="52"/>
      <c r="F21" s="52"/>
      <c r="G21" s="52"/>
      <c r="H21" s="49" t="s">
        <v>105</v>
      </c>
      <c r="I21" s="50">
        <f t="shared" ref="I21:AI21" si="5">SUM(I16:I20)</f>
        <v>0</v>
      </c>
      <c r="J21" s="50">
        <f t="shared" si="5"/>
        <v>0</v>
      </c>
      <c r="K21" s="50">
        <f t="shared" si="5"/>
        <v>0</v>
      </c>
      <c r="L21" s="50">
        <f t="shared" si="5"/>
        <v>0</v>
      </c>
      <c r="M21" s="50">
        <f t="shared" si="5"/>
        <v>0</v>
      </c>
      <c r="N21" s="50">
        <f t="shared" si="5"/>
        <v>0</v>
      </c>
      <c r="O21" s="50">
        <f t="shared" si="5"/>
        <v>0</v>
      </c>
      <c r="P21" s="50">
        <f t="shared" si="5"/>
        <v>0</v>
      </c>
      <c r="Q21" s="50">
        <f t="shared" si="5"/>
        <v>0</v>
      </c>
      <c r="R21" s="50">
        <f t="shared" si="5"/>
        <v>0</v>
      </c>
      <c r="S21" s="50">
        <f t="shared" si="5"/>
        <v>0</v>
      </c>
      <c r="T21" s="50">
        <f t="shared" si="5"/>
        <v>24</v>
      </c>
      <c r="U21" s="50">
        <f t="shared" si="5"/>
        <v>0</v>
      </c>
      <c r="V21" s="50">
        <f t="shared" si="5"/>
        <v>54</v>
      </c>
      <c r="W21" s="50">
        <f t="shared" si="5"/>
        <v>30</v>
      </c>
      <c r="X21" s="50">
        <f t="shared" si="5"/>
        <v>0</v>
      </c>
      <c r="Y21" s="50">
        <f t="shared" si="5"/>
        <v>0</v>
      </c>
      <c r="Z21" s="50">
        <f t="shared" si="5"/>
        <v>18</v>
      </c>
      <c r="AA21" s="50">
        <f t="shared" si="5"/>
        <v>24</v>
      </c>
      <c r="AB21" s="50">
        <f t="shared" si="5"/>
        <v>0</v>
      </c>
      <c r="AC21" s="50">
        <f t="shared" si="5"/>
        <v>18</v>
      </c>
      <c r="AD21" s="50">
        <f t="shared" si="5"/>
        <v>0</v>
      </c>
      <c r="AE21" s="50">
        <f t="shared" si="5"/>
        <v>18</v>
      </c>
      <c r="AF21" s="50">
        <f t="shared" si="5"/>
        <v>0</v>
      </c>
      <c r="AG21" s="50">
        <f t="shared" si="5"/>
        <v>0</v>
      </c>
      <c r="AH21" s="50">
        <f t="shared" si="5"/>
        <v>0</v>
      </c>
      <c r="AI21" s="50">
        <f t="shared" si="5"/>
        <v>0</v>
      </c>
      <c r="AJ21" s="50">
        <f t="shared" si="3"/>
        <v>186</v>
      </c>
      <c r="BR21"/>
      <c r="BS21"/>
      <c r="BT21"/>
      <c r="BU21"/>
      <c r="BV21"/>
    </row>
    <row r="22" spans="2:74" ht="25" customHeight="1">
      <c r="E22" s="41"/>
      <c r="F22" s="41"/>
      <c r="G22" s="41"/>
      <c r="H22" s="46" t="s">
        <v>121</v>
      </c>
      <c r="I22" s="57"/>
      <c r="J22" s="57"/>
      <c r="K22" s="5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8"/>
      <c r="Z22" s="88"/>
      <c r="AA22" s="88"/>
      <c r="AB22" s="88"/>
      <c r="AC22" s="88"/>
      <c r="AD22" s="87"/>
      <c r="AE22" s="87"/>
      <c r="AF22" s="87"/>
      <c r="AG22" s="87"/>
      <c r="AH22" s="87"/>
      <c r="AI22" s="90"/>
      <c r="AJ22" s="47">
        <f t="shared" si="3"/>
        <v>0</v>
      </c>
      <c r="BR22"/>
      <c r="BS22"/>
      <c r="BT22"/>
      <c r="BU22"/>
      <c r="BV22"/>
    </row>
    <row r="23" spans="2:74" ht="25" customHeight="1">
      <c r="E23" s="51"/>
      <c r="F23" s="51"/>
      <c r="G23" s="58" t="str">
        <f>$C$6</f>
        <v>US Boot</v>
      </c>
      <c r="H23" s="48" t="s">
        <v>124</v>
      </c>
      <c r="I23" s="57"/>
      <c r="J23" s="57"/>
      <c r="K23" s="5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8"/>
      <c r="Z23" s="88"/>
      <c r="AA23" s="88"/>
      <c r="AB23" s="88"/>
      <c r="AC23" s="88"/>
      <c r="AD23" s="87"/>
      <c r="AE23" s="87"/>
      <c r="AF23" s="87"/>
      <c r="AG23" s="87"/>
      <c r="AH23" s="87"/>
      <c r="AI23" s="90"/>
      <c r="AJ23" s="47">
        <f t="shared" si="3"/>
        <v>0</v>
      </c>
      <c r="BR23"/>
      <c r="BS23"/>
      <c r="BT23"/>
      <c r="BU23"/>
      <c r="BV23"/>
    </row>
    <row r="24" spans="2:74" ht="25" customHeight="1">
      <c r="E24" s="53" t="str">
        <f>TEXT(IF(WEEKDAY(E18)=6,E18+3,E18+1),"mmm dd")</f>
        <v>Jan 05</v>
      </c>
      <c r="F24" s="53" t="str">
        <f>TEXT(WEEKDAY(E24),"ddd")</f>
        <v>Mon</v>
      </c>
      <c r="G24" s="58" t="str">
        <f>$C$7</f>
        <v>Condor Wellington</v>
      </c>
      <c r="H24" s="46" t="s">
        <v>126</v>
      </c>
      <c r="I24" s="57"/>
      <c r="J24" s="57"/>
      <c r="K24" s="5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8"/>
      <c r="Z24" s="88"/>
      <c r="AA24" s="88"/>
      <c r="AB24" s="88"/>
      <c r="AC24" s="88"/>
      <c r="AD24" s="87"/>
      <c r="AE24" s="87"/>
      <c r="AF24" s="87"/>
      <c r="AG24" s="87"/>
      <c r="AH24" s="87"/>
      <c r="AI24" s="87"/>
      <c r="AJ24" s="47">
        <f t="shared" si="3"/>
        <v>0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</row>
    <row r="25" spans="2:74" ht="25" customHeight="1">
      <c r="E25" s="51"/>
      <c r="F25" s="51"/>
      <c r="G25" s="58" t="str">
        <f>"Style#: "&amp;$C$9</f>
        <v>Style#: 27291</v>
      </c>
      <c r="H25" s="46" t="s">
        <v>127</v>
      </c>
      <c r="I25" s="57"/>
      <c r="J25" s="57"/>
      <c r="K25" s="5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8"/>
      <c r="Z25" s="88"/>
      <c r="AA25" s="88"/>
      <c r="AB25" s="88"/>
      <c r="AC25" s="88"/>
      <c r="AD25" s="87"/>
      <c r="AE25" s="87"/>
      <c r="AF25" s="87"/>
      <c r="AG25" s="87"/>
      <c r="AH25" s="87"/>
      <c r="AI25" s="87"/>
      <c r="AJ25" s="47">
        <f t="shared" si="3"/>
        <v>0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</row>
    <row r="26" spans="2:74" ht="25" customHeight="1">
      <c r="E26" s="51"/>
      <c r="F26" s="51"/>
      <c r="G26" s="58" t="str">
        <f>"Last: "&amp;$C$8</f>
        <v>Last: USB004CTS</v>
      </c>
      <c r="H26" s="48" t="s">
        <v>129</v>
      </c>
      <c r="I26" s="57"/>
      <c r="J26" s="57"/>
      <c r="K26" s="5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47">
        <f t="shared" si="3"/>
        <v>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</row>
    <row r="27" spans="2:74" ht="25" customHeight="1">
      <c r="E27" s="52"/>
      <c r="F27" s="52"/>
      <c r="G27" s="52"/>
      <c r="H27" s="49" t="s">
        <v>105</v>
      </c>
      <c r="I27" s="50">
        <f t="shared" ref="I27:AI27" si="6">SUM(I22:I26)</f>
        <v>0</v>
      </c>
      <c r="J27" s="50">
        <f t="shared" si="6"/>
        <v>0</v>
      </c>
      <c r="K27" s="50">
        <f t="shared" si="6"/>
        <v>0</v>
      </c>
      <c r="L27" s="50">
        <f t="shared" si="6"/>
        <v>0</v>
      </c>
      <c r="M27" s="50">
        <f t="shared" si="6"/>
        <v>0</v>
      </c>
      <c r="N27" s="50">
        <f t="shared" si="6"/>
        <v>0</v>
      </c>
      <c r="O27" s="50">
        <f t="shared" si="6"/>
        <v>0</v>
      </c>
      <c r="P27" s="50">
        <f t="shared" si="6"/>
        <v>0</v>
      </c>
      <c r="Q27" s="50">
        <f t="shared" si="6"/>
        <v>0</v>
      </c>
      <c r="R27" s="50">
        <f t="shared" si="6"/>
        <v>0</v>
      </c>
      <c r="S27" s="50">
        <f t="shared" si="6"/>
        <v>0</v>
      </c>
      <c r="T27" s="50">
        <f t="shared" si="6"/>
        <v>0</v>
      </c>
      <c r="U27" s="50">
        <f t="shared" si="6"/>
        <v>0</v>
      </c>
      <c r="V27" s="50">
        <f t="shared" si="6"/>
        <v>0</v>
      </c>
      <c r="W27" s="50">
        <f t="shared" si="6"/>
        <v>0</v>
      </c>
      <c r="X27" s="50">
        <f t="shared" si="6"/>
        <v>0</v>
      </c>
      <c r="Y27" s="50">
        <f t="shared" si="6"/>
        <v>0</v>
      </c>
      <c r="Z27" s="50">
        <f t="shared" si="6"/>
        <v>0</v>
      </c>
      <c r="AA27" s="50">
        <f t="shared" si="6"/>
        <v>0</v>
      </c>
      <c r="AB27" s="50">
        <f t="shared" si="6"/>
        <v>0</v>
      </c>
      <c r="AC27" s="50">
        <f t="shared" si="6"/>
        <v>0</v>
      </c>
      <c r="AD27" s="50">
        <f t="shared" si="6"/>
        <v>0</v>
      </c>
      <c r="AE27" s="50">
        <f t="shared" si="6"/>
        <v>0</v>
      </c>
      <c r="AF27" s="50">
        <f t="shared" si="6"/>
        <v>0</v>
      </c>
      <c r="AG27" s="50">
        <f t="shared" si="6"/>
        <v>0</v>
      </c>
      <c r="AH27" s="50">
        <f t="shared" si="6"/>
        <v>0</v>
      </c>
      <c r="AI27" s="50">
        <f t="shared" si="6"/>
        <v>0</v>
      </c>
      <c r="AJ27" s="50">
        <f t="shared" si="3"/>
        <v>0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</row>
    <row r="28" spans="2:74" ht="25" customHeight="1">
      <c r="E28" s="41"/>
      <c r="F28" s="41"/>
      <c r="G28" s="41"/>
      <c r="H28" s="46" t="s">
        <v>121</v>
      </c>
      <c r="I28" s="57"/>
      <c r="J28" s="57"/>
      <c r="K28" s="5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8"/>
      <c r="Z28" s="88"/>
      <c r="AA28" s="88"/>
      <c r="AB28" s="88"/>
      <c r="AC28" s="88"/>
      <c r="AD28" s="87"/>
      <c r="AE28" s="87"/>
      <c r="AF28" s="87"/>
      <c r="AG28" s="87"/>
      <c r="AH28" s="87"/>
      <c r="AI28" s="90"/>
      <c r="AJ28" s="47">
        <f t="shared" si="3"/>
        <v>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</row>
    <row r="29" spans="2:74" ht="25" customHeight="1">
      <c r="B29" s="2"/>
      <c r="E29" s="51"/>
      <c r="F29" s="51"/>
      <c r="G29" s="58" t="str">
        <f>$C$6</f>
        <v>US Boot</v>
      </c>
      <c r="H29" s="48" t="s">
        <v>124</v>
      </c>
      <c r="I29" s="57"/>
      <c r="J29" s="57"/>
      <c r="K29" s="5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8"/>
      <c r="Z29" s="88"/>
      <c r="AA29" s="88"/>
      <c r="AB29" s="88"/>
      <c r="AC29" s="88"/>
      <c r="AD29" s="87"/>
      <c r="AE29" s="87"/>
      <c r="AF29" s="87"/>
      <c r="AG29" s="87"/>
      <c r="AH29" s="87"/>
      <c r="AI29" s="90"/>
      <c r="AJ29" s="47">
        <f t="shared" si="3"/>
        <v>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</row>
    <row r="30" spans="2:74" ht="25" customHeight="1">
      <c r="E30" s="53" t="str">
        <f>TEXT(IF(WEEKDAY(E24)=6,E24+3,E24+1),"mmm dd")</f>
        <v>Jan 06</v>
      </c>
      <c r="F30" s="53" t="str">
        <f>TEXT(WEEKDAY(E30),"ddd")</f>
        <v>Tue</v>
      </c>
      <c r="G30" s="58" t="str">
        <f>$C$7</f>
        <v>Condor Wellington</v>
      </c>
      <c r="H30" s="46" t="s">
        <v>126</v>
      </c>
      <c r="I30" s="57"/>
      <c r="J30" s="57"/>
      <c r="K30" s="5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  <c r="Z30" s="88"/>
      <c r="AA30" s="88"/>
      <c r="AB30" s="88"/>
      <c r="AC30" s="88"/>
      <c r="AD30" s="87"/>
      <c r="AE30" s="87"/>
      <c r="AF30" s="87"/>
      <c r="AG30" s="87"/>
      <c r="AH30" s="87"/>
      <c r="AI30" s="87"/>
      <c r="AJ30" s="47">
        <f t="shared" si="3"/>
        <v>0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</row>
    <row r="31" spans="2:74" ht="25" customHeight="1">
      <c r="E31" s="51"/>
      <c r="F31" s="51"/>
      <c r="G31" s="58" t="str">
        <f>"Style#: "&amp;$C$9</f>
        <v>Style#: 27291</v>
      </c>
      <c r="H31" s="46" t="s">
        <v>127</v>
      </c>
      <c r="I31" s="57"/>
      <c r="J31" s="57"/>
      <c r="K31" s="5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8"/>
      <c r="Z31" s="88"/>
      <c r="AA31" s="88"/>
      <c r="AB31" s="88"/>
      <c r="AC31" s="88"/>
      <c r="AD31" s="87"/>
      <c r="AE31" s="87"/>
      <c r="AF31" s="87"/>
      <c r="AG31" s="87"/>
      <c r="AH31" s="87"/>
      <c r="AI31" s="87"/>
      <c r="AJ31" s="47">
        <f t="shared" si="3"/>
        <v>0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</row>
    <row r="32" spans="2:74" ht="25" customHeight="1">
      <c r="E32" s="51"/>
      <c r="F32" s="51"/>
      <c r="G32" s="58" t="str">
        <f>"Last: "&amp;$C$8</f>
        <v>Last: USB004CTS</v>
      </c>
      <c r="H32" s="48" t="s">
        <v>129</v>
      </c>
      <c r="I32" s="57"/>
      <c r="J32" s="57"/>
      <c r="K32" s="5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47">
        <f t="shared" si="3"/>
        <v>0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</row>
    <row r="33" spans="5:74" ht="25" customHeight="1">
      <c r="E33" s="52"/>
      <c r="F33" s="52"/>
      <c r="G33" s="52"/>
      <c r="H33" s="49" t="s">
        <v>105</v>
      </c>
      <c r="I33" s="50">
        <f t="shared" ref="I33:AI33" si="7">SUM(I28:I32)</f>
        <v>0</v>
      </c>
      <c r="J33" s="50">
        <f t="shared" si="7"/>
        <v>0</v>
      </c>
      <c r="K33" s="50">
        <f t="shared" si="7"/>
        <v>0</v>
      </c>
      <c r="L33" s="50">
        <f t="shared" si="7"/>
        <v>0</v>
      </c>
      <c r="M33" s="50">
        <f t="shared" si="7"/>
        <v>0</v>
      </c>
      <c r="N33" s="50">
        <f t="shared" si="7"/>
        <v>0</v>
      </c>
      <c r="O33" s="50">
        <f t="shared" si="7"/>
        <v>0</v>
      </c>
      <c r="P33" s="50">
        <f t="shared" si="7"/>
        <v>0</v>
      </c>
      <c r="Q33" s="50">
        <f t="shared" si="7"/>
        <v>0</v>
      </c>
      <c r="R33" s="50">
        <f t="shared" si="7"/>
        <v>0</v>
      </c>
      <c r="S33" s="50">
        <f t="shared" si="7"/>
        <v>0</v>
      </c>
      <c r="T33" s="50">
        <f t="shared" si="7"/>
        <v>0</v>
      </c>
      <c r="U33" s="50">
        <f t="shared" si="7"/>
        <v>0</v>
      </c>
      <c r="V33" s="50">
        <f t="shared" si="7"/>
        <v>0</v>
      </c>
      <c r="W33" s="50">
        <f t="shared" si="7"/>
        <v>0</v>
      </c>
      <c r="X33" s="50">
        <f t="shared" si="7"/>
        <v>0</v>
      </c>
      <c r="Y33" s="50">
        <f t="shared" si="7"/>
        <v>0</v>
      </c>
      <c r="Z33" s="50">
        <f t="shared" si="7"/>
        <v>0</v>
      </c>
      <c r="AA33" s="50">
        <f t="shared" si="7"/>
        <v>0</v>
      </c>
      <c r="AB33" s="50">
        <f t="shared" si="7"/>
        <v>0</v>
      </c>
      <c r="AC33" s="50">
        <f t="shared" si="7"/>
        <v>0</v>
      </c>
      <c r="AD33" s="50">
        <f t="shared" si="7"/>
        <v>0</v>
      </c>
      <c r="AE33" s="50">
        <f t="shared" si="7"/>
        <v>0</v>
      </c>
      <c r="AF33" s="50">
        <f t="shared" si="7"/>
        <v>0</v>
      </c>
      <c r="AG33" s="50">
        <f t="shared" si="7"/>
        <v>0</v>
      </c>
      <c r="AH33" s="50">
        <f t="shared" si="7"/>
        <v>0</v>
      </c>
      <c r="AI33" s="50">
        <f t="shared" si="7"/>
        <v>0</v>
      </c>
      <c r="AJ33" s="50">
        <f t="shared" si="3"/>
        <v>0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</row>
    <row r="34" spans="5:74" ht="27" customHeight="1">
      <c r="E34" s="41"/>
      <c r="F34" s="41"/>
      <c r="G34" s="41"/>
      <c r="H34" s="46" t="s">
        <v>121</v>
      </c>
      <c r="I34" s="57"/>
      <c r="J34" s="57"/>
      <c r="K34" s="5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8"/>
      <c r="Z34" s="88"/>
      <c r="AA34" s="88"/>
      <c r="AB34" s="88"/>
      <c r="AC34" s="88"/>
      <c r="AD34" s="87"/>
      <c r="AE34" s="87"/>
      <c r="AF34" s="87"/>
      <c r="AG34" s="87"/>
      <c r="AH34" s="87"/>
      <c r="AI34" s="90"/>
      <c r="AJ34" s="47">
        <f t="shared" si="3"/>
        <v>0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</row>
    <row r="35" spans="5:74" ht="25" customHeight="1">
      <c r="E35" s="51"/>
      <c r="F35" s="51"/>
      <c r="G35" s="58" t="str">
        <f>$C$6</f>
        <v>US Boot</v>
      </c>
      <c r="H35" s="48" t="s">
        <v>124</v>
      </c>
      <c r="I35" s="57"/>
      <c r="J35" s="57"/>
      <c r="K35" s="5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8"/>
      <c r="Z35" s="88"/>
      <c r="AA35" s="88"/>
      <c r="AB35" s="88"/>
      <c r="AC35" s="88"/>
      <c r="AD35" s="87"/>
      <c r="AE35" s="87"/>
      <c r="AF35" s="87"/>
      <c r="AG35" s="87"/>
      <c r="AH35" s="87"/>
      <c r="AI35" s="90"/>
      <c r="AJ35" s="47">
        <f t="shared" si="3"/>
        <v>0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</row>
    <row r="36" spans="5:74" ht="25" customHeight="1">
      <c r="E36" s="53" t="str">
        <f>TEXT(IF(WEEKDAY(E30)=6,E30+3,E30+1),"mmm dd")</f>
        <v>Jan 07</v>
      </c>
      <c r="F36" s="53" t="str">
        <f>TEXT(WEEKDAY(E36),"ddd")</f>
        <v>Wed</v>
      </c>
      <c r="G36" s="58" t="str">
        <f>$C$7</f>
        <v>Condor Wellington</v>
      </c>
      <c r="H36" s="46" t="s">
        <v>126</v>
      </c>
      <c r="I36" s="57"/>
      <c r="J36" s="57"/>
      <c r="K36" s="5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8"/>
      <c r="Z36" s="88"/>
      <c r="AA36" s="88"/>
      <c r="AB36" s="88"/>
      <c r="AC36" s="88"/>
      <c r="AD36" s="87"/>
      <c r="AE36" s="87"/>
      <c r="AF36" s="87"/>
      <c r="AG36" s="87"/>
      <c r="AH36" s="87"/>
      <c r="AI36" s="87"/>
      <c r="AJ36" s="47">
        <f t="shared" si="3"/>
        <v>0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</row>
    <row r="37" spans="5:74" ht="25" customHeight="1">
      <c r="E37" s="51"/>
      <c r="F37" s="51"/>
      <c r="G37" s="58" t="str">
        <f>"Style#: "&amp;$C$9</f>
        <v>Style#: 27291</v>
      </c>
      <c r="H37" s="46" t="s">
        <v>127</v>
      </c>
      <c r="I37" s="57"/>
      <c r="J37" s="57"/>
      <c r="K37" s="5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8"/>
      <c r="Z37" s="88"/>
      <c r="AA37" s="88"/>
      <c r="AB37" s="88"/>
      <c r="AC37" s="88"/>
      <c r="AD37" s="87"/>
      <c r="AE37" s="87"/>
      <c r="AF37" s="87"/>
      <c r="AG37" s="87"/>
      <c r="AH37" s="87"/>
      <c r="AI37" s="87"/>
      <c r="AJ37" s="47">
        <f t="shared" si="3"/>
        <v>0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</row>
    <row r="38" spans="5:74" ht="25" customHeight="1">
      <c r="E38" s="51"/>
      <c r="F38" s="51"/>
      <c r="G38" s="58" t="str">
        <f>"Last: "&amp;$C$8</f>
        <v>Last: USB004CTS</v>
      </c>
      <c r="H38" s="48" t="s">
        <v>129</v>
      </c>
      <c r="I38" s="57"/>
      <c r="J38" s="57"/>
      <c r="K38" s="5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47">
        <f t="shared" si="3"/>
        <v>0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</row>
    <row r="39" spans="5:74" ht="25" customHeight="1">
      <c r="E39" s="52"/>
      <c r="F39" s="52"/>
      <c r="G39" s="52"/>
      <c r="H39" s="49" t="s">
        <v>105</v>
      </c>
      <c r="I39" s="50">
        <f t="shared" ref="I39:AI39" si="8">SUM(I34:I38)</f>
        <v>0</v>
      </c>
      <c r="J39" s="50">
        <f t="shared" si="8"/>
        <v>0</v>
      </c>
      <c r="K39" s="50">
        <f t="shared" si="8"/>
        <v>0</v>
      </c>
      <c r="L39" s="50">
        <f t="shared" si="8"/>
        <v>0</v>
      </c>
      <c r="M39" s="50">
        <f t="shared" si="8"/>
        <v>0</v>
      </c>
      <c r="N39" s="50">
        <f t="shared" si="8"/>
        <v>0</v>
      </c>
      <c r="O39" s="50">
        <f t="shared" si="8"/>
        <v>0</v>
      </c>
      <c r="P39" s="50">
        <f t="shared" si="8"/>
        <v>0</v>
      </c>
      <c r="Q39" s="50">
        <f t="shared" si="8"/>
        <v>0</v>
      </c>
      <c r="R39" s="50">
        <f t="shared" si="8"/>
        <v>0</v>
      </c>
      <c r="S39" s="50">
        <f t="shared" si="8"/>
        <v>0</v>
      </c>
      <c r="T39" s="50">
        <f t="shared" si="8"/>
        <v>0</v>
      </c>
      <c r="U39" s="50">
        <f t="shared" si="8"/>
        <v>0</v>
      </c>
      <c r="V39" s="50">
        <f t="shared" si="8"/>
        <v>0</v>
      </c>
      <c r="W39" s="50">
        <f t="shared" si="8"/>
        <v>0</v>
      </c>
      <c r="X39" s="50">
        <f t="shared" si="8"/>
        <v>0</v>
      </c>
      <c r="Y39" s="50">
        <f t="shared" si="8"/>
        <v>0</v>
      </c>
      <c r="Z39" s="50">
        <f t="shared" si="8"/>
        <v>0</v>
      </c>
      <c r="AA39" s="50">
        <f t="shared" si="8"/>
        <v>0</v>
      </c>
      <c r="AB39" s="50">
        <f t="shared" si="8"/>
        <v>0</v>
      </c>
      <c r="AC39" s="50">
        <f t="shared" si="8"/>
        <v>0</v>
      </c>
      <c r="AD39" s="50">
        <f t="shared" si="8"/>
        <v>0</v>
      </c>
      <c r="AE39" s="50">
        <f t="shared" si="8"/>
        <v>0</v>
      </c>
      <c r="AF39" s="50">
        <f t="shared" si="8"/>
        <v>0</v>
      </c>
      <c r="AG39" s="50">
        <f t="shared" si="8"/>
        <v>0</v>
      </c>
      <c r="AH39" s="50">
        <f t="shared" si="8"/>
        <v>0</v>
      </c>
      <c r="AI39" s="50">
        <f t="shared" si="8"/>
        <v>0</v>
      </c>
      <c r="AJ39" s="50">
        <f t="shared" si="3"/>
        <v>0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</row>
    <row r="40" spans="5:74"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</row>
    <row r="41" spans="5:74"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</row>
    <row r="42" spans="5:74"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</row>
    <row r="43" spans="5:74"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</row>
    <row r="44" spans="5:74" ht="15" customHeight="1">
      <c r="H44" s="72" t="s">
        <v>148</v>
      </c>
      <c r="I44" s="71"/>
      <c r="J44" s="78">
        <v>6</v>
      </c>
      <c r="K44" s="72" t="s">
        <v>181</v>
      </c>
      <c r="L44" s="71"/>
      <c r="M44" s="78">
        <v>5</v>
      </c>
      <c r="N44" s="72" t="s">
        <v>149</v>
      </c>
      <c r="O44" s="71"/>
      <c r="P44" s="71">
        <f>AJ5</f>
        <v>432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</row>
    <row r="45" spans="5:74">
      <c r="H45" s="72" t="s">
        <v>150</v>
      </c>
      <c r="I45" s="71"/>
      <c r="J45" s="78">
        <v>22</v>
      </c>
      <c r="K45" s="72" t="s">
        <v>182</v>
      </c>
      <c r="M45" s="79">
        <v>3</v>
      </c>
      <c r="N45" s="72" t="s">
        <v>151</v>
      </c>
      <c r="O45" s="71"/>
      <c r="P45" s="71">
        <f>AJ72</f>
        <v>246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</row>
    <row r="46" spans="5:74">
      <c r="K46" s="72" t="s">
        <v>152</v>
      </c>
      <c r="L46" s="71"/>
      <c r="M46" s="71">
        <f>M44*MaxLayer</f>
        <v>15</v>
      </c>
      <c r="N46" s="72" t="s">
        <v>153</v>
      </c>
      <c r="O46" s="71"/>
      <c r="P46" s="71">
        <f>COUNTIF($AJ$50:$AJ$71,"&lt;&gt;0")</f>
        <v>1</v>
      </c>
      <c r="Q46" s="7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</row>
    <row r="47" spans="5:74">
      <c r="K47" s="72"/>
      <c r="L47" s="71"/>
      <c r="M47" s="71"/>
      <c r="N47" s="72"/>
      <c r="O47" s="71"/>
      <c r="P47" s="71"/>
      <c r="Q47" s="7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</row>
    <row r="48" spans="5:74">
      <c r="H48" s="76" t="s">
        <v>156</v>
      </c>
      <c r="I48" s="80">
        <f>I5</f>
        <v>0</v>
      </c>
      <c r="J48" s="80">
        <f t="shared" ref="J48:AI48" si="9">J5</f>
        <v>0</v>
      </c>
      <c r="K48" s="80">
        <f t="shared" si="9"/>
        <v>0</v>
      </c>
      <c r="L48" s="80">
        <f t="shared" si="9"/>
        <v>0</v>
      </c>
      <c r="M48" s="80">
        <f t="shared" si="9"/>
        <v>0</v>
      </c>
      <c r="N48" s="80">
        <f t="shared" si="9"/>
        <v>0</v>
      </c>
      <c r="O48" s="80">
        <f t="shared" si="9"/>
        <v>0</v>
      </c>
      <c r="P48" s="80">
        <f t="shared" si="9"/>
        <v>0</v>
      </c>
      <c r="Q48" s="80">
        <f t="shared" si="9"/>
        <v>0</v>
      </c>
      <c r="R48" s="80">
        <f t="shared" si="9"/>
        <v>0</v>
      </c>
      <c r="S48" s="80">
        <f t="shared" si="9"/>
        <v>24</v>
      </c>
      <c r="T48" s="80">
        <f t="shared" si="9"/>
        <v>24</v>
      </c>
      <c r="U48" s="80">
        <f t="shared" si="9"/>
        <v>60</v>
      </c>
      <c r="V48" s="80">
        <f t="shared" si="9"/>
        <v>54</v>
      </c>
      <c r="W48" s="80">
        <f t="shared" si="9"/>
        <v>84</v>
      </c>
      <c r="X48" s="80">
        <f t="shared" si="9"/>
        <v>24</v>
      </c>
      <c r="Y48" s="80">
        <f t="shared" si="9"/>
        <v>0</v>
      </c>
      <c r="Z48" s="80">
        <f t="shared" si="9"/>
        <v>42</v>
      </c>
      <c r="AA48" s="80">
        <f t="shared" si="9"/>
        <v>60</v>
      </c>
      <c r="AB48" s="80">
        <f t="shared" si="9"/>
        <v>0</v>
      </c>
      <c r="AC48" s="80">
        <f t="shared" si="9"/>
        <v>42</v>
      </c>
      <c r="AD48" s="80">
        <f t="shared" si="9"/>
        <v>0</v>
      </c>
      <c r="AE48" s="80">
        <f t="shared" si="9"/>
        <v>18</v>
      </c>
      <c r="AF48" s="80">
        <f t="shared" si="9"/>
        <v>0</v>
      </c>
      <c r="AG48" s="80">
        <f t="shared" si="9"/>
        <v>0</v>
      </c>
      <c r="AH48" s="80">
        <f t="shared" si="9"/>
        <v>0</v>
      </c>
      <c r="AI48" s="80">
        <f t="shared" si="9"/>
        <v>0</v>
      </c>
      <c r="AJ48" s="81"/>
      <c r="AK48" s="82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</row>
    <row r="49" spans="7:74">
      <c r="H49" s="73" t="s">
        <v>154</v>
      </c>
      <c r="I49" s="77">
        <v>3</v>
      </c>
      <c r="J49" s="77">
        <v>3.5</v>
      </c>
      <c r="K49" s="77">
        <v>4</v>
      </c>
      <c r="L49" s="77">
        <v>4.5</v>
      </c>
      <c r="M49" s="77">
        <v>5</v>
      </c>
      <c r="N49" s="77">
        <v>5.5</v>
      </c>
      <c r="O49" s="77">
        <v>6</v>
      </c>
      <c r="P49" s="77">
        <v>6.5</v>
      </c>
      <c r="Q49" s="77">
        <v>7</v>
      </c>
      <c r="R49" s="77">
        <v>7.5</v>
      </c>
      <c r="S49" s="77">
        <v>8</v>
      </c>
      <c r="T49" s="77">
        <v>8.5</v>
      </c>
      <c r="U49" s="77">
        <v>9</v>
      </c>
      <c r="V49" s="77">
        <v>9.5</v>
      </c>
      <c r="W49" s="77">
        <v>10</v>
      </c>
      <c r="X49" s="77">
        <v>10.5</v>
      </c>
      <c r="Y49" s="77">
        <v>11</v>
      </c>
      <c r="Z49" s="77">
        <v>11.5</v>
      </c>
      <c r="AA49" s="77">
        <v>12</v>
      </c>
      <c r="AB49" s="77">
        <v>12.5</v>
      </c>
      <c r="AC49" s="77">
        <v>13</v>
      </c>
      <c r="AD49" s="77">
        <v>13.5</v>
      </c>
      <c r="AE49" s="77">
        <v>14</v>
      </c>
      <c r="AF49" s="77">
        <v>14.5</v>
      </c>
      <c r="AG49" s="77">
        <v>15</v>
      </c>
      <c r="AH49" s="77">
        <v>15.5</v>
      </c>
      <c r="AI49" s="77">
        <v>16</v>
      </c>
      <c r="AJ49" s="77" t="s">
        <v>155</v>
      </c>
      <c r="AK49" s="73" t="s">
        <v>156</v>
      </c>
      <c r="AL49" s="73" t="s">
        <v>157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</row>
    <row r="50" spans="7:74">
      <c r="G50" s="74" t="str">
        <f>E12</f>
        <v>Jan 00</v>
      </c>
      <c r="H50" s="74" t="str">
        <f>F12</f>
        <v>Sat</v>
      </c>
      <c r="I50" s="75">
        <f>SUM(I10:I14)</f>
        <v>0</v>
      </c>
      <c r="J50" s="75">
        <f t="shared" ref="J50:AI50" si="10">SUM(J10:J14)</f>
        <v>0</v>
      </c>
      <c r="K50" s="75">
        <f t="shared" si="10"/>
        <v>0</v>
      </c>
      <c r="L50" s="75">
        <f t="shared" si="10"/>
        <v>0</v>
      </c>
      <c r="M50" s="75">
        <f t="shared" si="10"/>
        <v>0</v>
      </c>
      <c r="N50" s="75">
        <f t="shared" si="10"/>
        <v>0</v>
      </c>
      <c r="O50" s="75">
        <f t="shared" si="10"/>
        <v>0</v>
      </c>
      <c r="P50" s="75">
        <f t="shared" si="10"/>
        <v>0</v>
      </c>
      <c r="Q50" s="75">
        <f t="shared" si="10"/>
        <v>0</v>
      </c>
      <c r="R50" s="75">
        <f t="shared" si="10"/>
        <v>0</v>
      </c>
      <c r="S50" s="75">
        <f t="shared" si="10"/>
        <v>24</v>
      </c>
      <c r="T50" s="75">
        <f t="shared" si="10"/>
        <v>0</v>
      </c>
      <c r="U50" s="75">
        <f t="shared" si="10"/>
        <v>60</v>
      </c>
      <c r="V50" s="75">
        <f t="shared" si="10"/>
        <v>0</v>
      </c>
      <c r="W50" s="75">
        <f t="shared" si="10"/>
        <v>54</v>
      </c>
      <c r="X50" s="75">
        <f t="shared" si="10"/>
        <v>24</v>
      </c>
      <c r="Y50" s="75">
        <f t="shared" si="10"/>
        <v>0</v>
      </c>
      <c r="Z50" s="75">
        <f t="shared" si="10"/>
        <v>24</v>
      </c>
      <c r="AA50" s="75">
        <f t="shared" si="10"/>
        <v>36</v>
      </c>
      <c r="AB50" s="75">
        <f t="shared" si="10"/>
        <v>0</v>
      </c>
      <c r="AC50" s="75">
        <f t="shared" si="10"/>
        <v>24</v>
      </c>
      <c r="AD50" s="75">
        <f t="shared" si="10"/>
        <v>0</v>
      </c>
      <c r="AE50" s="75">
        <f t="shared" si="10"/>
        <v>0</v>
      </c>
      <c r="AF50" s="75">
        <f t="shared" si="10"/>
        <v>0</v>
      </c>
      <c r="AG50" s="75">
        <f t="shared" si="10"/>
        <v>0</v>
      </c>
      <c r="AH50" s="75">
        <f t="shared" si="10"/>
        <v>0</v>
      </c>
      <c r="AI50" s="75">
        <f t="shared" si="10"/>
        <v>0</v>
      </c>
      <c r="AJ50" s="75">
        <f>SUM(I50:AI50)</f>
        <v>246</v>
      </c>
      <c r="AK50" s="75"/>
      <c r="AL50" s="75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</row>
    <row r="51" spans="7:74">
      <c r="G51" s="74" t="str">
        <f>E18</f>
        <v>Jan 02</v>
      </c>
      <c r="H51" s="74" t="str">
        <f>F18</f>
        <v>Fri</v>
      </c>
      <c r="I51" s="75">
        <f>SUM(I16:I20)</f>
        <v>0</v>
      </c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>
        <f t="shared" ref="AJ51:AJ71" si="11">SUM(I51:AI51)</f>
        <v>0</v>
      </c>
      <c r="AK51" s="75"/>
      <c r="AL51" s="75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</row>
    <row r="52" spans="7:74">
      <c r="G52" s="74" t="str">
        <f>E24</f>
        <v>Jan 05</v>
      </c>
      <c r="H52" s="74" t="str">
        <f>F24</f>
        <v>Mon</v>
      </c>
      <c r="I52" s="75">
        <f>SUM(I22:I26)</f>
        <v>0</v>
      </c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>
        <f t="shared" si="11"/>
        <v>0</v>
      </c>
      <c r="AK52" s="75"/>
      <c r="AL52" s="75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</row>
    <row r="53" spans="7:74">
      <c r="G53" s="74" t="str">
        <f>E30</f>
        <v>Jan 06</v>
      </c>
      <c r="H53" s="74" t="str">
        <f>F30</f>
        <v>Tue</v>
      </c>
      <c r="I53" s="75">
        <f>SUM(I28:I32)</f>
        <v>0</v>
      </c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>
        <f t="shared" si="11"/>
        <v>0</v>
      </c>
      <c r="AK53" s="75"/>
      <c r="AL53" s="75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</row>
    <row r="54" spans="7:74">
      <c r="G54" s="74" t="str">
        <f>E36</f>
        <v>Jan 07</v>
      </c>
      <c r="H54" s="74" t="str">
        <f>F36</f>
        <v>Wed</v>
      </c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>
        <f t="shared" si="11"/>
        <v>0</v>
      </c>
      <c r="AK54" s="75"/>
      <c r="AL54" s="75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</row>
    <row r="55" spans="7:74">
      <c r="G55" s="74" t="s">
        <v>163</v>
      </c>
      <c r="H55" s="74" t="s">
        <v>163</v>
      </c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>
        <f t="shared" si="11"/>
        <v>0</v>
      </c>
      <c r="AK55" s="75"/>
      <c r="AL55" s="7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</row>
    <row r="56" spans="7:74">
      <c r="G56" s="74" t="s">
        <v>165</v>
      </c>
      <c r="H56" s="74" t="s">
        <v>165</v>
      </c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>
        <f t="shared" si="11"/>
        <v>0</v>
      </c>
      <c r="AK56" s="75"/>
      <c r="AL56" s="75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</row>
    <row r="57" spans="7:74">
      <c r="G57" s="74" t="s">
        <v>166</v>
      </c>
      <c r="H57" s="74" t="s">
        <v>166</v>
      </c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>
        <f t="shared" si="11"/>
        <v>0</v>
      </c>
      <c r="AK57" s="75"/>
      <c r="AL57" s="75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</row>
    <row r="58" spans="7:74">
      <c r="G58" s="74" t="s">
        <v>167</v>
      </c>
      <c r="H58" s="74" t="s">
        <v>167</v>
      </c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>
        <f t="shared" si="11"/>
        <v>0</v>
      </c>
      <c r="AK58" s="75"/>
      <c r="AL58" s="75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</row>
    <row r="59" spans="7:74">
      <c r="G59" s="74" t="s">
        <v>168</v>
      </c>
      <c r="H59" s="74" t="s">
        <v>168</v>
      </c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>
        <f t="shared" si="11"/>
        <v>0</v>
      </c>
      <c r="AK59" s="75"/>
      <c r="AL59" s="75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</row>
    <row r="60" spans="7:74">
      <c r="G60" s="74" t="s">
        <v>169</v>
      </c>
      <c r="H60" s="74" t="s">
        <v>169</v>
      </c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>
        <f t="shared" si="11"/>
        <v>0</v>
      </c>
      <c r="AK60" s="75"/>
      <c r="AL60" s="75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</row>
    <row r="61" spans="7:74">
      <c r="G61" s="74" t="s">
        <v>170</v>
      </c>
      <c r="H61" s="74" t="s">
        <v>170</v>
      </c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>
        <f t="shared" si="11"/>
        <v>0</v>
      </c>
      <c r="AK61" s="75"/>
      <c r="AL61" s="75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</row>
    <row r="62" spans="7:74">
      <c r="G62" s="74" t="s">
        <v>171</v>
      </c>
      <c r="H62" s="74" t="s">
        <v>171</v>
      </c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>
        <f t="shared" si="11"/>
        <v>0</v>
      </c>
      <c r="AK62" s="75"/>
      <c r="AL62" s="75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</row>
    <row r="63" spans="7:74">
      <c r="G63" s="74" t="s">
        <v>172</v>
      </c>
      <c r="H63" s="74" t="s">
        <v>172</v>
      </c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>
        <f t="shared" si="11"/>
        <v>0</v>
      </c>
      <c r="AK63" s="75"/>
      <c r="AL63" s="75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</row>
    <row r="64" spans="7:74">
      <c r="G64" s="74" t="s">
        <v>173</v>
      </c>
      <c r="H64" s="74" t="s">
        <v>173</v>
      </c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>
        <f t="shared" si="11"/>
        <v>0</v>
      </c>
      <c r="AK64" s="75"/>
      <c r="AL64" s="75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</row>
    <row r="65" spans="7:74">
      <c r="G65" s="74" t="s">
        <v>174</v>
      </c>
      <c r="H65" s="74" t="s">
        <v>174</v>
      </c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>
        <f t="shared" si="11"/>
        <v>0</v>
      </c>
      <c r="AK65" s="75"/>
      <c r="AL65" s="7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</row>
    <row r="66" spans="7:74">
      <c r="G66" s="74" t="s">
        <v>175</v>
      </c>
      <c r="H66" s="74" t="s">
        <v>175</v>
      </c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>
        <f t="shared" si="11"/>
        <v>0</v>
      </c>
      <c r="AK66" s="75"/>
      <c r="AL66" s="75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</row>
    <row r="67" spans="7:74">
      <c r="G67" s="74" t="s">
        <v>176</v>
      </c>
      <c r="H67" s="74" t="s">
        <v>176</v>
      </c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>
        <f t="shared" si="11"/>
        <v>0</v>
      </c>
      <c r="AK67" s="75"/>
      <c r="AL67" s="75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</row>
    <row r="68" spans="7:74">
      <c r="G68" s="74" t="s">
        <v>177</v>
      </c>
      <c r="H68" s="74" t="s">
        <v>177</v>
      </c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>
        <f t="shared" si="11"/>
        <v>0</v>
      </c>
      <c r="AK68" s="75"/>
      <c r="AL68" s="75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</row>
    <row r="69" spans="7:74">
      <c r="G69" s="74" t="s">
        <v>178</v>
      </c>
      <c r="H69" s="74" t="s">
        <v>178</v>
      </c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>
        <f t="shared" si="11"/>
        <v>0</v>
      </c>
      <c r="AK69" s="75"/>
      <c r="AL69" s="75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</row>
    <row r="70" spans="7:74">
      <c r="G70" s="74" t="s">
        <v>179</v>
      </c>
      <c r="H70" s="74" t="s">
        <v>179</v>
      </c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>
        <f t="shared" si="11"/>
        <v>0</v>
      </c>
      <c r="AK70" s="75"/>
      <c r="AL70" s="75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</row>
    <row r="71" spans="7:74">
      <c r="G71" s="74" t="s">
        <v>180</v>
      </c>
      <c r="H71" s="74" t="s">
        <v>180</v>
      </c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>
        <f t="shared" si="11"/>
        <v>0</v>
      </c>
      <c r="AK71" s="75"/>
      <c r="AL71" s="75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</row>
    <row r="72" spans="7:74">
      <c r="H72" s="74" t="s">
        <v>164</v>
      </c>
      <c r="I72" s="74">
        <f t="shared" ref="I72:AK72" si="12">SUM(I50:I71)</f>
        <v>0</v>
      </c>
      <c r="J72" s="74">
        <f t="shared" si="12"/>
        <v>0</v>
      </c>
      <c r="K72" s="74">
        <f t="shared" si="12"/>
        <v>0</v>
      </c>
      <c r="L72" s="74">
        <f t="shared" si="12"/>
        <v>0</v>
      </c>
      <c r="M72" s="74">
        <f t="shared" si="12"/>
        <v>0</v>
      </c>
      <c r="N72" s="74">
        <f t="shared" si="12"/>
        <v>0</v>
      </c>
      <c r="O72" s="74">
        <f t="shared" si="12"/>
        <v>0</v>
      </c>
      <c r="P72" s="74">
        <f t="shared" si="12"/>
        <v>0</v>
      </c>
      <c r="Q72" s="74">
        <f t="shared" si="12"/>
        <v>0</v>
      </c>
      <c r="R72" s="74">
        <f t="shared" si="12"/>
        <v>0</v>
      </c>
      <c r="S72" s="74">
        <f t="shared" si="12"/>
        <v>24</v>
      </c>
      <c r="T72" s="74">
        <f t="shared" si="12"/>
        <v>0</v>
      </c>
      <c r="U72" s="74">
        <f t="shared" si="12"/>
        <v>60</v>
      </c>
      <c r="V72" s="74">
        <f t="shared" si="12"/>
        <v>0</v>
      </c>
      <c r="W72" s="74">
        <f t="shared" si="12"/>
        <v>54</v>
      </c>
      <c r="X72" s="74">
        <f t="shared" si="12"/>
        <v>24</v>
      </c>
      <c r="Y72" s="74">
        <f t="shared" si="12"/>
        <v>0</v>
      </c>
      <c r="Z72" s="74">
        <f t="shared" si="12"/>
        <v>24</v>
      </c>
      <c r="AA72" s="74">
        <f t="shared" si="12"/>
        <v>36</v>
      </c>
      <c r="AB72" s="74">
        <f t="shared" si="12"/>
        <v>0</v>
      </c>
      <c r="AC72" s="74">
        <f t="shared" si="12"/>
        <v>24</v>
      </c>
      <c r="AD72" s="74">
        <f t="shared" si="12"/>
        <v>0</v>
      </c>
      <c r="AE72" s="74">
        <f t="shared" si="12"/>
        <v>0</v>
      </c>
      <c r="AF72" s="74">
        <f t="shared" si="12"/>
        <v>0</v>
      </c>
      <c r="AG72" s="74">
        <f t="shared" si="12"/>
        <v>0</v>
      </c>
      <c r="AH72" s="74">
        <f t="shared" si="12"/>
        <v>0</v>
      </c>
      <c r="AI72" s="74">
        <f t="shared" si="12"/>
        <v>0</v>
      </c>
      <c r="AJ72" s="74">
        <f t="shared" si="12"/>
        <v>246</v>
      </c>
      <c r="AK72" s="74">
        <f t="shared" si="12"/>
        <v>0</v>
      </c>
      <c r="AL72" s="74"/>
    </row>
  </sheetData>
  <pageMargins left="0.7" right="0.7" top="0.75" bottom="0.75" header="0.3" footer="0.3"/>
  <pageSetup scale="43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ProductionPlan">
                <anchor moveWithCells="1" sizeWithCells="1">
                  <from>
                    <xdr:col>1</xdr:col>
                    <xdr:colOff>584200</xdr:colOff>
                    <xdr:row>19</xdr:row>
                    <xdr:rowOff>139700</xdr:rowOff>
                  </from>
                  <to>
                    <xdr:col>2</xdr:col>
                    <xdr:colOff>1181100</xdr:colOff>
                    <xdr:row>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set">
                <anchor moveWithCells="1" sizeWithCells="1">
                  <from>
                    <xdr:col>1</xdr:col>
                    <xdr:colOff>584200</xdr:colOff>
                    <xdr:row>21</xdr:row>
                    <xdr:rowOff>88900</xdr:rowOff>
                  </from>
                  <to>
                    <xdr:col>2</xdr:col>
                    <xdr:colOff>1181100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alletizePlan.PalletizePlan">
                <anchor moveWithCells="1" sizeWithCells="1">
                  <from>
                    <xdr:col>1</xdr:col>
                    <xdr:colOff>571500</xdr:colOff>
                    <xdr:row>23</xdr:row>
                    <xdr:rowOff>38100</xdr:rowOff>
                  </from>
                  <to>
                    <xdr:col>2</xdr:col>
                    <xdr:colOff>1168400</xdr:colOff>
                    <xdr:row>24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E05F2F-58AD-6B4E-897B-0519881C85BB}">
          <x14:formula1>
            <xm:f>_xlfn.ANCHORARRAY(DataValidation!$B$17)</xm:f>
          </x14:formula1>
          <xm:sqref>C6</xm:sqref>
        </x14:dataValidation>
        <x14:dataValidation type="list" allowBlank="1" showInputMessage="1" showErrorMessage="1" xr:uid="{4EAF9D99-0956-4E45-BB11-E5A99FCFD0CC}">
          <x14:formula1>
            <xm:f>_xlfn.ANCHORARRAY(_xlfn.XLOOKUP($C$6,_xlfn.ANCHORARRAY(DataValidation!B17),DataValidation!B18:J18))</xm:f>
          </x14:formula1>
          <xm:sqref>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0E099-6642-594C-8073-BE9C242249ED}">
  <sheetPr codeName="Sheet5">
    <tabColor rgb="FF0070C0"/>
    <pageSetUpPr fitToPage="1"/>
  </sheetPr>
  <dimension ref="A2:BV72"/>
  <sheetViews>
    <sheetView zoomScale="80" zoomScaleNormal="80" workbookViewId="0">
      <selection activeCell="C9" sqref="C9"/>
    </sheetView>
  </sheetViews>
  <sheetFormatPr baseColWidth="10" defaultColWidth="10.83203125" defaultRowHeight="16"/>
  <cols>
    <col min="1" max="1" width="10.83203125" style="1" customWidth="1"/>
    <col min="2" max="2" width="12.1640625" style="1" customWidth="1"/>
    <col min="3" max="3" width="33.6640625" style="1" customWidth="1"/>
    <col min="4" max="4" width="10.83203125" style="1" customWidth="1"/>
    <col min="5" max="5" width="9.5" style="1" customWidth="1"/>
    <col min="6" max="6" width="7.83203125" style="1" customWidth="1"/>
    <col min="7" max="7" width="25.33203125" style="1" customWidth="1"/>
    <col min="8" max="8" width="10.83203125" style="1"/>
    <col min="9" max="35" width="7.5" style="1" customWidth="1"/>
    <col min="36" max="38" width="10.83203125" style="1"/>
    <col min="39" max="39" width="20" style="1" customWidth="1"/>
    <col min="40" max="16384" width="10.83203125" style="1"/>
  </cols>
  <sheetData>
    <row r="2" spans="1:74">
      <c r="B2" s="7"/>
    </row>
    <row r="4" spans="1:74" ht="30">
      <c r="B4" s="13" t="s">
        <v>305</v>
      </c>
      <c r="C4" s="27"/>
      <c r="I4" s="28" t="str">
        <f>C6&amp;" PO "&amp;C5&amp;" "&amp;C7&amp;" "&amp;AJ5&amp;" Pairs"</f>
        <v>US Boot PO 175 Driftlock 522 Pairs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30"/>
    </row>
    <row r="5" spans="1:74" ht="18">
      <c r="B5" s="13" t="s">
        <v>108</v>
      </c>
      <c r="C5" s="27" t="s">
        <v>306</v>
      </c>
      <c r="E5" s="37" t="s">
        <v>109</v>
      </c>
      <c r="F5" s="38"/>
      <c r="G5" s="38"/>
      <c r="H5" s="39"/>
      <c r="I5" s="69"/>
      <c r="J5" s="69"/>
      <c r="K5" s="69"/>
      <c r="L5" s="69"/>
      <c r="M5" s="69"/>
      <c r="N5" s="69"/>
      <c r="O5" s="69"/>
      <c r="P5" s="69"/>
      <c r="Q5" s="69"/>
      <c r="R5" s="69"/>
      <c r="S5" s="69">
        <v>18</v>
      </c>
      <c r="T5" s="69">
        <v>24</v>
      </c>
      <c r="U5" s="69">
        <v>36</v>
      </c>
      <c r="V5" s="69">
        <v>54</v>
      </c>
      <c r="W5" s="69">
        <v>84</v>
      </c>
      <c r="X5" s="69">
        <v>72</v>
      </c>
      <c r="Y5" s="69">
        <v>72</v>
      </c>
      <c r="Z5" s="69">
        <v>42</v>
      </c>
      <c r="AA5" s="69">
        <v>60</v>
      </c>
      <c r="AB5" s="69"/>
      <c r="AC5" s="69">
        <v>42</v>
      </c>
      <c r="AD5" s="69"/>
      <c r="AE5" s="69">
        <v>18</v>
      </c>
      <c r="AF5" s="69"/>
      <c r="AG5" s="69"/>
      <c r="AH5" s="69"/>
      <c r="AI5" s="69"/>
      <c r="AJ5" s="59">
        <f>SUM(I5:AI5)</f>
        <v>522</v>
      </c>
      <c r="AM5" s="13"/>
    </row>
    <row r="6" spans="1:74" ht="18">
      <c r="B6" s="13" t="s">
        <v>110</v>
      </c>
      <c r="C6" s="26" t="s">
        <v>53</v>
      </c>
      <c r="E6" s="31" t="s">
        <v>111</v>
      </c>
      <c r="F6" s="32"/>
      <c r="G6" s="32"/>
      <c r="H6" s="33"/>
      <c r="I6" s="60">
        <f>I5-I15-I21-I27-I33-I39</f>
        <v>0</v>
      </c>
      <c r="J6" s="60">
        <f t="shared" ref="J6:AG6" si="0">J5-J15-J21-J27-J33-J39</f>
        <v>0</v>
      </c>
      <c r="K6" s="60">
        <f t="shared" si="0"/>
        <v>0</v>
      </c>
      <c r="L6" s="60">
        <f t="shared" si="0"/>
        <v>0</v>
      </c>
      <c r="M6" s="60">
        <f t="shared" si="0"/>
        <v>0</v>
      </c>
      <c r="N6" s="60">
        <f t="shared" si="0"/>
        <v>0</v>
      </c>
      <c r="O6" s="60">
        <f t="shared" si="0"/>
        <v>0</v>
      </c>
      <c r="P6" s="60">
        <f t="shared" si="0"/>
        <v>0</v>
      </c>
      <c r="Q6" s="60">
        <f t="shared" si="0"/>
        <v>0</v>
      </c>
      <c r="R6" s="60">
        <f t="shared" si="0"/>
        <v>0</v>
      </c>
      <c r="S6" s="60">
        <f t="shared" si="0"/>
        <v>0</v>
      </c>
      <c r="T6" s="60">
        <f t="shared" si="0"/>
        <v>0</v>
      </c>
      <c r="U6" s="60">
        <f t="shared" si="0"/>
        <v>0</v>
      </c>
      <c r="V6" s="60">
        <f t="shared" si="0"/>
        <v>0</v>
      </c>
      <c r="W6" s="60">
        <f t="shared" si="0"/>
        <v>0</v>
      </c>
      <c r="X6" s="60">
        <f t="shared" si="0"/>
        <v>0</v>
      </c>
      <c r="Y6" s="60">
        <f t="shared" si="0"/>
        <v>0</v>
      </c>
      <c r="Z6" s="60">
        <f t="shared" si="0"/>
        <v>0</v>
      </c>
      <c r="AA6" s="60">
        <f t="shared" si="0"/>
        <v>0</v>
      </c>
      <c r="AB6" s="60">
        <f t="shared" si="0"/>
        <v>0</v>
      </c>
      <c r="AC6" s="60">
        <f t="shared" si="0"/>
        <v>0</v>
      </c>
      <c r="AD6" s="60">
        <f t="shared" si="0"/>
        <v>0</v>
      </c>
      <c r="AE6" s="60">
        <f t="shared" si="0"/>
        <v>0</v>
      </c>
      <c r="AF6" s="60">
        <f t="shared" si="0"/>
        <v>0</v>
      </c>
      <c r="AG6" s="60">
        <f t="shared" si="0"/>
        <v>0</v>
      </c>
      <c r="AH6" s="60">
        <f>AH5-AH15-AH21-AH27-AH33-AH39</f>
        <v>0</v>
      </c>
      <c r="AI6" s="60">
        <f>AI5-AI15-AI21-AI27-AI33-AI39</f>
        <v>0</v>
      </c>
      <c r="AJ6" s="60">
        <f>SUM(I6:AI6)</f>
        <v>0</v>
      </c>
      <c r="AM6" s="13"/>
    </row>
    <row r="7" spans="1:74" ht="18">
      <c r="B7" s="13" t="s">
        <v>112</v>
      </c>
      <c r="C7" s="26" t="s">
        <v>58</v>
      </c>
      <c r="E7" s="31" t="s">
        <v>113</v>
      </c>
      <c r="F7" s="32"/>
      <c r="G7" s="32"/>
      <c r="H7" s="33"/>
      <c r="I7" s="61">
        <f>IFERROR(CEILING(I6/I8,1),0)</f>
        <v>0</v>
      </c>
      <c r="J7" s="61">
        <f t="shared" ref="J7:AI7" si="1">IFERROR(CEILING(J6/J8,1),0)</f>
        <v>0</v>
      </c>
      <c r="K7" s="61">
        <f t="shared" si="1"/>
        <v>0</v>
      </c>
      <c r="L7" s="61">
        <f t="shared" si="1"/>
        <v>0</v>
      </c>
      <c r="M7" s="61">
        <f t="shared" si="1"/>
        <v>0</v>
      </c>
      <c r="N7" s="61">
        <f t="shared" si="1"/>
        <v>0</v>
      </c>
      <c r="O7" s="61">
        <f t="shared" si="1"/>
        <v>0</v>
      </c>
      <c r="P7" s="61">
        <f t="shared" si="1"/>
        <v>0</v>
      </c>
      <c r="Q7" s="61">
        <f t="shared" si="1"/>
        <v>0</v>
      </c>
      <c r="R7" s="61">
        <f t="shared" si="1"/>
        <v>0</v>
      </c>
      <c r="S7" s="61">
        <f t="shared" si="1"/>
        <v>0</v>
      </c>
      <c r="T7" s="61">
        <f t="shared" si="1"/>
        <v>0</v>
      </c>
      <c r="U7" s="61">
        <f t="shared" si="1"/>
        <v>0</v>
      </c>
      <c r="V7" s="61">
        <f t="shared" si="1"/>
        <v>0</v>
      </c>
      <c r="W7" s="61">
        <f t="shared" si="1"/>
        <v>0</v>
      </c>
      <c r="X7" s="61">
        <f t="shared" si="1"/>
        <v>0</v>
      </c>
      <c r="Y7" s="61">
        <f t="shared" si="1"/>
        <v>0</v>
      </c>
      <c r="Z7" s="61">
        <f t="shared" si="1"/>
        <v>0</v>
      </c>
      <c r="AA7" s="61">
        <f t="shared" si="1"/>
        <v>0</v>
      </c>
      <c r="AB7" s="61">
        <f t="shared" si="1"/>
        <v>0</v>
      </c>
      <c r="AC7" s="61">
        <f t="shared" si="1"/>
        <v>0</v>
      </c>
      <c r="AD7" s="61">
        <f t="shared" si="1"/>
        <v>0</v>
      </c>
      <c r="AE7" s="61">
        <f t="shared" si="1"/>
        <v>0</v>
      </c>
      <c r="AF7" s="61">
        <f t="shared" si="1"/>
        <v>0</v>
      </c>
      <c r="AG7" s="61">
        <f t="shared" si="1"/>
        <v>0</v>
      </c>
      <c r="AH7" s="61">
        <f t="shared" si="1"/>
        <v>0</v>
      </c>
      <c r="AI7" s="61">
        <f t="shared" si="1"/>
        <v>0</v>
      </c>
      <c r="AJ7" s="60">
        <f t="shared" ref="AJ7:AJ8" si="2">SUM(I7:AI7)</f>
        <v>0</v>
      </c>
      <c r="AM7" s="13"/>
    </row>
    <row r="8" spans="1:74" ht="18">
      <c r="B8" s="13" t="s">
        <v>114</v>
      </c>
      <c r="C8" s="4" t="str" cm="1">
        <f t="array" ref="C8">_xlfn._xlws.FILTER(StyleNameTable[Last Number],StyleNameTable[Style Name]='Driftlock 522 prs'!C7)</f>
        <v>USB0072EE</v>
      </c>
      <c r="E8" s="34" t="s">
        <v>115</v>
      </c>
      <c r="F8" s="35"/>
      <c r="G8" s="35"/>
      <c r="H8" s="36"/>
      <c r="I8" s="57" t="str">
        <f>INDEX(LastTable[[3]:[16]],MATCH('Driftlock 522 prs'!$C$8,LastTable[Last Number],0),MATCH('Driftlock 522 prs'!I$9,LastTable[[#Headers],[3]:[16]],0))</f>
        <v/>
      </c>
      <c r="J8" s="59" t="str">
        <f>INDEX(LastTable[[3]:[16]],MATCH('Driftlock 522 prs'!$C$8,LastTable[Last Number],0),MATCH('Driftlock 522 prs'!J$9,LastTable[[#Headers],[3]:[16]],0))</f>
        <v/>
      </c>
      <c r="K8" s="59" t="str">
        <f>INDEX(LastTable[[3]:[16]],MATCH('Driftlock 522 prs'!$C$8,LastTable[Last Number],0),MATCH('Driftlock 522 prs'!K$9,LastTable[[#Headers],[3]:[16]],0))</f>
        <v/>
      </c>
      <c r="L8" s="59" t="str">
        <f>INDEX(LastTable[[3]:[16]],MATCH('Driftlock 522 prs'!$C$8,LastTable[Last Number],0),MATCH('Driftlock 522 prs'!L$9,LastTable[[#Headers],[3]:[16]],0))</f>
        <v/>
      </c>
      <c r="M8" s="59">
        <f>INDEX(LastTable[[3]:[16]],MATCH('Driftlock 522 prs'!$C$8,LastTable[Last Number],0),MATCH('Driftlock 522 prs'!M$9,LastTable[[#Headers],[3]:[16]],0))</f>
        <v>3</v>
      </c>
      <c r="N8" s="59">
        <f>INDEX(LastTable[[3]:[16]],MATCH('Driftlock 522 prs'!$C$8,LastTable[Last Number],0),MATCH('Driftlock 522 prs'!N$9,LastTable[[#Headers],[3]:[16]],0))</f>
        <v>3</v>
      </c>
      <c r="O8" s="59">
        <f>INDEX(LastTable[[3]:[16]],MATCH('Driftlock 522 prs'!$C$8,LastTable[Last Number],0),MATCH('Driftlock 522 prs'!O$9,LastTable[[#Headers],[3]:[16]],0))</f>
        <v>6</v>
      </c>
      <c r="P8" s="59">
        <f>INDEX(LastTable[[3]:[16]],MATCH('Driftlock 522 prs'!$C$8,LastTable[Last Number],0),MATCH('Driftlock 522 prs'!P$9,LastTable[[#Headers],[3]:[16]],0))</f>
        <v>6</v>
      </c>
      <c r="Q8" s="59">
        <f>INDEX(LastTable[[3]:[16]],MATCH('Driftlock 522 prs'!$C$8,LastTable[Last Number],0),MATCH('Driftlock 522 prs'!Q$9,LastTable[[#Headers],[3]:[16]],0))</f>
        <v>6</v>
      </c>
      <c r="R8" s="59">
        <f>INDEX(LastTable[[3]:[16]],MATCH('Driftlock 522 prs'!$C$8,LastTable[Last Number],0),MATCH('Driftlock 522 prs'!R$9,LastTable[[#Headers],[3]:[16]],0))</f>
        <v>6</v>
      </c>
      <c r="S8" s="59">
        <f>INDEX(LastTable[[3]:[16]],MATCH('Driftlock 522 prs'!$C$8,LastTable[Last Number],0),MATCH('Driftlock 522 prs'!S$9,LastTable[[#Headers],[3]:[16]],0))</f>
        <v>6</v>
      </c>
      <c r="T8" s="59">
        <f>INDEX(LastTable[[3]:[16]],MATCH('Driftlock 522 prs'!$C$8,LastTable[Last Number],0),MATCH('Driftlock 522 prs'!T$9,LastTable[[#Headers],[3]:[16]],0))</f>
        <v>6</v>
      </c>
      <c r="U8" s="59">
        <f>INDEX(LastTable[[3]:[16]],MATCH('Driftlock 522 prs'!$C$8,LastTable[Last Number],0),MATCH('Driftlock 522 prs'!U$9,LastTable[[#Headers],[3]:[16]],0))</f>
        <v>6</v>
      </c>
      <c r="V8" s="59">
        <f>INDEX(LastTable[[3]:[16]],MATCH('Driftlock 522 prs'!$C$8,LastTable[Last Number],0),MATCH('Driftlock 522 prs'!V$9,LastTable[[#Headers],[3]:[16]],0))</f>
        <v>6</v>
      </c>
      <c r="W8" s="59">
        <f>INDEX(LastTable[[3]:[16]],MATCH('Driftlock 522 prs'!$C$8,LastTable[Last Number],0),MATCH('Driftlock 522 prs'!W$9,LastTable[[#Headers],[3]:[16]],0))</f>
        <v>12</v>
      </c>
      <c r="X8" s="59">
        <f>INDEX(LastTable[[3]:[16]],MATCH('Driftlock 522 prs'!$C$8,LastTable[Last Number],0),MATCH('Driftlock 522 prs'!X$9,LastTable[[#Headers],[3]:[16]],0))</f>
        <v>12</v>
      </c>
      <c r="Y8" s="59">
        <f>INDEX(LastTable[[3]:[16]],MATCH('Driftlock 522 prs'!$C$8,LastTable[Last Number],0),MATCH('Driftlock 522 prs'!Y$9,LastTable[[#Headers],[3]:[16]],0))</f>
        <v>12</v>
      </c>
      <c r="Z8" s="59">
        <f>INDEX(LastTable[[3]:[16]],MATCH('Driftlock 522 prs'!$C$8,LastTable[Last Number],0),MATCH('Driftlock 522 prs'!Z$9,LastTable[[#Headers],[3]:[16]],0))</f>
        <v>6</v>
      </c>
      <c r="AA8" s="59">
        <f>INDEX(LastTable[[3]:[16]],MATCH('Driftlock 522 prs'!$C$8,LastTable[Last Number],0),MATCH('Driftlock 522 prs'!AA$9,LastTable[[#Headers],[3]:[16]],0))</f>
        <v>12</v>
      </c>
      <c r="AB8" s="59" t="str">
        <f>INDEX(LastTable[[3]:[16]],MATCH('Driftlock 522 prs'!$C$8,LastTable[Last Number],0),MATCH('Driftlock 522 prs'!AB$9,LastTable[[#Headers],[3]:[16]],0))</f>
        <v/>
      </c>
      <c r="AC8" s="59">
        <f>INDEX(LastTable[[3]:[16]],MATCH('Driftlock 522 prs'!$C$8,LastTable[Last Number],0),MATCH('Driftlock 522 prs'!AC$9,LastTable[[#Headers],[3]:[16]],0))</f>
        <v>6</v>
      </c>
      <c r="AD8" s="59" t="str">
        <f>INDEX(LastTable[[3]:[16]],MATCH('Driftlock 522 prs'!$C$8,LastTable[Last Number],0),MATCH('Driftlock 522 prs'!AD$9,LastTable[[#Headers],[3]:[16]],0))</f>
        <v/>
      </c>
      <c r="AE8" s="59">
        <f>INDEX(LastTable[[3]:[16]],MATCH('Driftlock 522 prs'!$C$8,LastTable[Last Number],0),MATCH('Driftlock 522 prs'!AE$9,LastTable[[#Headers],[3]:[16]],0))</f>
        <v>6</v>
      </c>
      <c r="AF8" s="59" t="str">
        <f>INDEX(LastTable[[3]:[16]],MATCH('Driftlock 522 prs'!$C$8,LastTable[Last Number],0),MATCH('Driftlock 522 prs'!AF$9,LastTable[[#Headers],[3]:[16]],0))</f>
        <v/>
      </c>
      <c r="AG8" s="59">
        <f>INDEX(LastTable[[3]:[16]],MATCH('Driftlock 522 prs'!$C$8,LastTable[Last Number],0),MATCH('Driftlock 522 prs'!AG$9,LastTable[[#Headers],[3]:[16]],0))</f>
        <v>6</v>
      </c>
      <c r="AH8" s="59" t="str">
        <f>INDEX(LastTable[[3]:[16]],MATCH('Driftlock 522 prs'!$C$8,LastTable[Last Number],0),MATCH('Driftlock 522 prs'!AH$9,LastTable[[#Headers],[3]:[16]],0))</f>
        <v/>
      </c>
      <c r="AI8" s="59" t="str">
        <f>INDEX(LastTable[[3]:[16]],MATCH('Driftlock 522 prs'!$C$8,LastTable[Last Number],0),MATCH('Driftlock 522 prs'!AI$9,LastTable[[#Headers],[3]:[16]],0))</f>
        <v/>
      </c>
      <c r="AJ8" s="59">
        <f t="shared" si="2"/>
        <v>126</v>
      </c>
    </row>
    <row r="9" spans="1:74" ht="30" customHeight="1">
      <c r="B9" s="13" t="s">
        <v>116</v>
      </c>
      <c r="C9" s="62" t="str" cm="1">
        <f t="array" ref="C9">_xlfn._xlws.FILTER(StyleNameTable[Style Number],StyleNameTable[Style Name]='Driftlock 522 prs'!C7)</f>
        <v>27287</v>
      </c>
      <c r="E9" s="3" t="s">
        <v>4</v>
      </c>
      <c r="F9" s="3" t="s">
        <v>117</v>
      </c>
      <c r="G9" s="3" t="s">
        <v>118</v>
      </c>
      <c r="H9" s="3" t="s">
        <v>119</v>
      </c>
      <c r="I9" s="56" t="s">
        <v>78</v>
      </c>
      <c r="J9" s="56" t="s">
        <v>79</v>
      </c>
      <c r="K9" s="56" t="s">
        <v>80</v>
      </c>
      <c r="L9" s="56" t="s">
        <v>81</v>
      </c>
      <c r="M9" s="56" t="s">
        <v>82</v>
      </c>
      <c r="N9" s="56" t="s">
        <v>83</v>
      </c>
      <c r="O9" s="56" t="s">
        <v>84</v>
      </c>
      <c r="P9" s="56" t="s">
        <v>85</v>
      </c>
      <c r="Q9" s="56" t="s">
        <v>86</v>
      </c>
      <c r="R9" s="56" t="s">
        <v>87</v>
      </c>
      <c r="S9" s="56" t="s">
        <v>88</v>
      </c>
      <c r="T9" s="56" t="s">
        <v>89</v>
      </c>
      <c r="U9" s="56" t="s">
        <v>90</v>
      </c>
      <c r="V9" s="56" t="s">
        <v>91</v>
      </c>
      <c r="W9" s="56" t="s">
        <v>92</v>
      </c>
      <c r="X9" s="56" t="s">
        <v>93</v>
      </c>
      <c r="Y9" s="56" t="s">
        <v>94</v>
      </c>
      <c r="Z9" s="56" t="s">
        <v>95</v>
      </c>
      <c r="AA9" s="56" t="s">
        <v>96</v>
      </c>
      <c r="AB9" s="56" t="s">
        <v>97</v>
      </c>
      <c r="AC9" s="56" t="s">
        <v>98</v>
      </c>
      <c r="AD9" s="56" t="s">
        <v>99</v>
      </c>
      <c r="AE9" s="56" t="s">
        <v>100</v>
      </c>
      <c r="AF9" s="56" t="s">
        <v>101</v>
      </c>
      <c r="AG9" s="56" t="s">
        <v>102</v>
      </c>
      <c r="AH9" s="56" t="s">
        <v>103</v>
      </c>
      <c r="AI9" s="56" t="s">
        <v>104</v>
      </c>
      <c r="AJ9" s="3" t="s">
        <v>105</v>
      </c>
    </row>
    <row r="10" spans="1:74" ht="25" customHeight="1">
      <c r="B10" s="13" t="s">
        <v>120</v>
      </c>
      <c r="C10" s="2">
        <f>VLOOKUP($C$8,StyleNameTable[[#All],[Last Number]:[Note]],6,0)</f>
        <v>0</v>
      </c>
      <c r="E10" s="41"/>
      <c r="F10" s="41"/>
      <c r="G10" s="41"/>
      <c r="H10" s="46" t="s">
        <v>121</v>
      </c>
      <c r="I10" s="59"/>
      <c r="J10" s="59"/>
      <c r="K10" s="59"/>
      <c r="L10" s="87"/>
      <c r="M10" s="87"/>
      <c r="N10" s="87"/>
      <c r="O10" s="87"/>
      <c r="P10" s="87"/>
      <c r="Q10" s="87"/>
      <c r="R10" s="87"/>
      <c r="S10" s="87">
        <v>6</v>
      </c>
      <c r="T10" s="87">
        <v>6</v>
      </c>
      <c r="U10" s="91"/>
      <c r="V10" s="66">
        <v>12</v>
      </c>
      <c r="W10" s="87">
        <v>12</v>
      </c>
      <c r="X10" s="87">
        <v>12</v>
      </c>
      <c r="Y10" s="91"/>
      <c r="Z10" s="66">
        <v>12</v>
      </c>
      <c r="AA10" s="87">
        <v>6</v>
      </c>
      <c r="AB10" s="88"/>
      <c r="AC10" s="88">
        <v>6</v>
      </c>
      <c r="AD10" s="87"/>
      <c r="AE10" s="87">
        <v>6</v>
      </c>
      <c r="AF10" s="87"/>
      <c r="AG10" s="87"/>
      <c r="AH10" s="87"/>
      <c r="AI10" s="87"/>
      <c r="AJ10" s="47">
        <f t="shared" ref="AJ10:AJ39" si="3">SUM(I10:AI10)</f>
        <v>78</v>
      </c>
      <c r="AM10" s="7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</row>
    <row r="11" spans="1:74" ht="25" customHeight="1">
      <c r="B11" s="13" t="s">
        <v>304</v>
      </c>
      <c r="C11" s="26"/>
      <c r="E11" s="51"/>
      <c r="F11" s="51"/>
      <c r="G11" s="58" t="str">
        <f>$C$6</f>
        <v>US Boot</v>
      </c>
      <c r="H11" s="48" t="s">
        <v>124</v>
      </c>
      <c r="I11" s="59"/>
      <c r="J11" s="59"/>
      <c r="K11" s="59"/>
      <c r="L11" s="87"/>
      <c r="M11" s="87"/>
      <c r="N11" s="87"/>
      <c r="O11" s="87"/>
      <c r="P11" s="87"/>
      <c r="Q11" s="87"/>
      <c r="R11" s="87"/>
      <c r="S11" s="87">
        <v>6</v>
      </c>
      <c r="T11" s="87">
        <v>6</v>
      </c>
      <c r="U11" s="91"/>
      <c r="V11" s="66">
        <v>12</v>
      </c>
      <c r="W11" s="87">
        <v>12</v>
      </c>
      <c r="X11" s="87">
        <v>12</v>
      </c>
      <c r="Y11" s="91"/>
      <c r="Z11" s="66">
        <v>12</v>
      </c>
      <c r="AA11" s="87">
        <v>6</v>
      </c>
      <c r="AB11" s="88"/>
      <c r="AC11" s="88">
        <v>6</v>
      </c>
      <c r="AD11" s="87"/>
      <c r="AE11" s="87">
        <v>6</v>
      </c>
      <c r="AF11" s="87"/>
      <c r="AG11" s="87"/>
      <c r="AH11" s="87"/>
      <c r="AI11" s="89"/>
      <c r="AJ11" s="47">
        <f t="shared" si="3"/>
        <v>78</v>
      </c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</row>
    <row r="12" spans="1:74" ht="25" customHeight="1">
      <c r="E12" s="53" t="str">
        <f>TEXT(C4,"mmm dd")</f>
        <v>Jan 00</v>
      </c>
      <c r="F12" s="53" t="str">
        <f>TEXT(WEEKDAY(E12),"ddd")</f>
        <v>Sat</v>
      </c>
      <c r="G12" s="58" t="str">
        <f>$C$7</f>
        <v>Driftlock</v>
      </c>
      <c r="H12" s="46" t="s">
        <v>126</v>
      </c>
      <c r="I12" s="59"/>
      <c r="J12" s="59"/>
      <c r="K12" s="59"/>
      <c r="L12" s="87"/>
      <c r="M12" s="87"/>
      <c r="N12" s="87"/>
      <c r="O12" s="87"/>
      <c r="P12" s="87"/>
      <c r="Q12" s="87"/>
      <c r="R12" s="87"/>
      <c r="S12" s="87">
        <v>6</v>
      </c>
      <c r="T12" s="87">
        <v>6</v>
      </c>
      <c r="U12" s="91"/>
      <c r="V12" s="66">
        <v>12</v>
      </c>
      <c r="W12" s="87">
        <v>12</v>
      </c>
      <c r="X12" s="87">
        <v>12</v>
      </c>
      <c r="Y12" s="91"/>
      <c r="Z12" s="92">
        <v>12</v>
      </c>
      <c r="AA12" s="88">
        <v>6</v>
      </c>
      <c r="AB12" s="88"/>
      <c r="AC12" s="88">
        <v>6</v>
      </c>
      <c r="AD12" s="87"/>
      <c r="AE12" s="87">
        <v>6</v>
      </c>
      <c r="AF12" s="87"/>
      <c r="AG12" s="87"/>
      <c r="AH12" s="87"/>
      <c r="AI12" s="87"/>
      <c r="AJ12" s="47">
        <f t="shared" si="3"/>
        <v>78</v>
      </c>
      <c r="BR12"/>
      <c r="BS12"/>
      <c r="BT12"/>
      <c r="BU12"/>
      <c r="BV12"/>
    </row>
    <row r="13" spans="1:74" ht="25" customHeight="1">
      <c r="A13" s="12" t="s">
        <v>122</v>
      </c>
      <c r="B13" s="8" t="s">
        <v>123</v>
      </c>
      <c r="E13" s="51"/>
      <c r="F13" s="51"/>
      <c r="G13" s="58" t="str">
        <f>"Style#: "&amp;$C$9</f>
        <v>Style#: 27287</v>
      </c>
      <c r="H13" s="46" t="s">
        <v>127</v>
      </c>
      <c r="I13" s="59"/>
      <c r="J13" s="59"/>
      <c r="K13" s="59"/>
      <c r="L13" s="87"/>
      <c r="M13" s="87"/>
      <c r="N13" s="87"/>
      <c r="O13" s="87"/>
      <c r="P13" s="87"/>
      <c r="Q13" s="87"/>
      <c r="R13" s="87"/>
      <c r="S13" s="87"/>
      <c r="T13" s="87"/>
      <c r="U13" s="87">
        <v>6</v>
      </c>
      <c r="V13" s="87"/>
      <c r="W13" s="87"/>
      <c r="X13" s="87"/>
      <c r="Y13" s="88">
        <v>12</v>
      </c>
      <c r="Z13" s="88">
        <v>6</v>
      </c>
      <c r="AA13" s="88">
        <v>6</v>
      </c>
      <c r="AB13" s="88"/>
      <c r="AC13" s="88">
        <v>6</v>
      </c>
      <c r="AD13" s="87"/>
      <c r="AE13" s="87"/>
      <c r="AF13" s="87"/>
      <c r="AG13" s="87"/>
      <c r="AH13" s="87"/>
      <c r="AI13" s="87"/>
      <c r="AJ13" s="47">
        <f t="shared" si="3"/>
        <v>36</v>
      </c>
      <c r="BR13"/>
      <c r="BS13"/>
      <c r="BT13"/>
      <c r="BU13"/>
      <c r="BV13"/>
    </row>
    <row r="14" spans="1:74" ht="25" customHeight="1">
      <c r="B14" s="8" t="s">
        <v>125</v>
      </c>
      <c r="E14" s="51"/>
      <c r="F14" s="51"/>
      <c r="G14" s="58" t="str">
        <f>"Last: "&amp;$C$8</f>
        <v>Last: USB0072EE</v>
      </c>
      <c r="H14" s="48" t="s">
        <v>129</v>
      </c>
      <c r="I14" s="59"/>
      <c r="J14" s="59"/>
      <c r="K14" s="59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47">
        <f t="shared" si="3"/>
        <v>0</v>
      </c>
      <c r="BR14"/>
      <c r="BS14"/>
      <c r="BT14"/>
      <c r="BU14"/>
      <c r="BV14"/>
    </row>
    <row r="15" spans="1:74" ht="25" customHeight="1">
      <c r="E15" s="52"/>
      <c r="F15" s="52"/>
      <c r="G15" s="52"/>
      <c r="H15" s="49" t="s">
        <v>105</v>
      </c>
      <c r="I15" s="50">
        <f t="shared" ref="I15:AI15" si="4">SUM(I10:I14)</f>
        <v>0</v>
      </c>
      <c r="J15" s="50">
        <f t="shared" si="4"/>
        <v>0</v>
      </c>
      <c r="K15" s="50">
        <f t="shared" si="4"/>
        <v>0</v>
      </c>
      <c r="L15" s="50">
        <f t="shared" si="4"/>
        <v>0</v>
      </c>
      <c r="M15" s="50">
        <f t="shared" si="4"/>
        <v>0</v>
      </c>
      <c r="N15" s="50">
        <f t="shared" si="4"/>
        <v>0</v>
      </c>
      <c r="O15" s="50">
        <f t="shared" si="4"/>
        <v>0</v>
      </c>
      <c r="P15" s="50">
        <f t="shared" si="4"/>
        <v>0</v>
      </c>
      <c r="Q15" s="50">
        <f t="shared" si="4"/>
        <v>0</v>
      </c>
      <c r="R15" s="50">
        <f t="shared" si="4"/>
        <v>0</v>
      </c>
      <c r="S15" s="50">
        <f t="shared" si="4"/>
        <v>18</v>
      </c>
      <c r="T15" s="50">
        <f t="shared" si="4"/>
        <v>18</v>
      </c>
      <c r="U15" s="50">
        <f t="shared" si="4"/>
        <v>6</v>
      </c>
      <c r="V15" s="50">
        <f t="shared" si="4"/>
        <v>36</v>
      </c>
      <c r="W15" s="50">
        <f t="shared" si="4"/>
        <v>36</v>
      </c>
      <c r="X15" s="50">
        <f t="shared" si="4"/>
        <v>36</v>
      </c>
      <c r="Y15" s="50">
        <f t="shared" si="4"/>
        <v>12</v>
      </c>
      <c r="Z15" s="50">
        <f t="shared" si="4"/>
        <v>42</v>
      </c>
      <c r="AA15" s="50">
        <f t="shared" si="4"/>
        <v>24</v>
      </c>
      <c r="AB15" s="50">
        <f t="shared" si="4"/>
        <v>0</v>
      </c>
      <c r="AC15" s="50">
        <f t="shared" si="4"/>
        <v>24</v>
      </c>
      <c r="AD15" s="50">
        <f t="shared" si="4"/>
        <v>0</v>
      </c>
      <c r="AE15" s="50">
        <f t="shared" si="4"/>
        <v>18</v>
      </c>
      <c r="AF15" s="50">
        <f t="shared" si="4"/>
        <v>0</v>
      </c>
      <c r="AG15" s="50">
        <f t="shared" si="4"/>
        <v>0</v>
      </c>
      <c r="AH15" s="50">
        <f t="shared" si="4"/>
        <v>0</v>
      </c>
      <c r="AI15" s="50">
        <f t="shared" si="4"/>
        <v>0</v>
      </c>
      <c r="AJ15" s="50">
        <f t="shared" si="3"/>
        <v>270</v>
      </c>
      <c r="BR15"/>
      <c r="BS15"/>
      <c r="BT15"/>
      <c r="BU15"/>
      <c r="BV15"/>
    </row>
    <row r="16" spans="1:74" ht="25" customHeight="1">
      <c r="B16" s="62" t="s">
        <v>128</v>
      </c>
      <c r="E16" s="41"/>
      <c r="F16" s="41"/>
      <c r="G16" s="41"/>
      <c r="H16" s="46" t="s">
        <v>121</v>
      </c>
      <c r="I16" s="57"/>
      <c r="J16" s="57"/>
      <c r="K16" s="57"/>
      <c r="L16" s="87"/>
      <c r="M16" s="87"/>
      <c r="N16" s="87"/>
      <c r="O16" s="87"/>
      <c r="P16" s="87"/>
      <c r="Q16" s="87"/>
      <c r="R16" s="87"/>
      <c r="S16" s="87"/>
      <c r="T16" s="87">
        <v>6</v>
      </c>
      <c r="U16" s="87">
        <v>6</v>
      </c>
      <c r="V16" s="87">
        <v>6</v>
      </c>
      <c r="W16" s="87">
        <v>12</v>
      </c>
      <c r="X16" s="87">
        <v>6</v>
      </c>
      <c r="Y16" s="88">
        <v>12</v>
      </c>
      <c r="Z16" s="88"/>
      <c r="AA16" s="88">
        <v>12</v>
      </c>
      <c r="AB16" s="88"/>
      <c r="AC16" s="88">
        <v>6</v>
      </c>
      <c r="AD16" s="87"/>
      <c r="AE16" s="87"/>
      <c r="AF16" s="87"/>
      <c r="AG16" s="87"/>
      <c r="AH16" s="87"/>
      <c r="AI16" s="90"/>
      <c r="AJ16" s="47">
        <f t="shared" si="3"/>
        <v>66</v>
      </c>
      <c r="BR16"/>
      <c r="BS16"/>
      <c r="BT16"/>
      <c r="BU16"/>
      <c r="BV16"/>
    </row>
    <row r="17" spans="2:74" ht="25" customHeight="1">
      <c r="B17" s="68"/>
      <c r="C17" s="1" t="s">
        <v>130</v>
      </c>
      <c r="E17" s="51"/>
      <c r="F17" s="51"/>
      <c r="G17" s="58" t="str">
        <f>$C$6</f>
        <v>US Boot</v>
      </c>
      <c r="H17" s="48" t="s">
        <v>124</v>
      </c>
      <c r="I17" s="57"/>
      <c r="J17" s="57"/>
      <c r="K17" s="57"/>
      <c r="L17" s="87"/>
      <c r="M17" s="87"/>
      <c r="N17" s="87"/>
      <c r="O17" s="87"/>
      <c r="P17" s="87"/>
      <c r="Q17" s="87"/>
      <c r="R17" s="87"/>
      <c r="S17" s="87"/>
      <c r="T17" s="87"/>
      <c r="U17" s="87">
        <v>6</v>
      </c>
      <c r="V17" s="87">
        <v>6</v>
      </c>
      <c r="W17" s="87">
        <v>12</v>
      </c>
      <c r="X17" s="87">
        <v>6</v>
      </c>
      <c r="Y17" s="88">
        <v>12</v>
      </c>
      <c r="Z17" s="88"/>
      <c r="AA17" s="88">
        <v>6</v>
      </c>
      <c r="AB17" s="88"/>
      <c r="AC17" s="88">
        <v>6</v>
      </c>
      <c r="AD17" s="87"/>
      <c r="AE17" s="87"/>
      <c r="AF17" s="87"/>
      <c r="AG17" s="87"/>
      <c r="AH17" s="87"/>
      <c r="AI17" s="90"/>
      <c r="AJ17" s="47">
        <f t="shared" si="3"/>
        <v>54</v>
      </c>
      <c r="BR17"/>
      <c r="BS17"/>
      <c r="BT17"/>
      <c r="BU17"/>
      <c r="BV17"/>
    </row>
    <row r="18" spans="2:74" ht="25" customHeight="1">
      <c r="B18" s="66">
        <v>6</v>
      </c>
      <c r="C18" s="1" t="s">
        <v>131</v>
      </c>
      <c r="E18" s="53" t="str">
        <f>TEXT(IF(WEEKDAY(E12)=6,E12+3,E12+1),"mmm dd")</f>
        <v>Jan 02</v>
      </c>
      <c r="F18" s="53" t="str">
        <f>TEXT(WEEKDAY(E18),"ddd")</f>
        <v>Fri</v>
      </c>
      <c r="G18" s="58" t="str">
        <f>$C$7</f>
        <v>Driftlock</v>
      </c>
      <c r="H18" s="46" t="s">
        <v>126</v>
      </c>
      <c r="I18" s="57"/>
      <c r="J18" s="57"/>
      <c r="K18" s="57"/>
      <c r="L18" s="87"/>
      <c r="M18" s="87"/>
      <c r="N18" s="87"/>
      <c r="O18" s="87"/>
      <c r="P18" s="87"/>
      <c r="Q18" s="87"/>
      <c r="R18" s="87"/>
      <c r="S18" s="87"/>
      <c r="T18" s="87"/>
      <c r="U18" s="87">
        <v>6</v>
      </c>
      <c r="V18" s="87">
        <v>6</v>
      </c>
      <c r="W18" s="87">
        <v>12</v>
      </c>
      <c r="X18" s="87">
        <v>6</v>
      </c>
      <c r="Y18" s="88">
        <v>12</v>
      </c>
      <c r="Z18" s="88"/>
      <c r="AA18" s="88">
        <v>6</v>
      </c>
      <c r="AB18" s="88"/>
      <c r="AC18" s="88">
        <v>6</v>
      </c>
      <c r="AD18" s="87"/>
      <c r="AE18" s="87"/>
      <c r="AF18" s="87"/>
      <c r="AG18" s="87"/>
      <c r="AH18" s="87"/>
      <c r="AI18" s="87"/>
      <c r="AJ18" s="47">
        <f t="shared" si="3"/>
        <v>54</v>
      </c>
      <c r="BR18"/>
      <c r="BS18"/>
      <c r="BT18"/>
      <c r="BU18"/>
      <c r="BV18"/>
    </row>
    <row r="19" spans="2:74" ht="25" customHeight="1">
      <c r="E19" s="51"/>
      <c r="F19" s="51"/>
      <c r="G19" s="58" t="str">
        <f>"Style#: "&amp;$C$9</f>
        <v>Style#: 27287</v>
      </c>
      <c r="H19" s="46" t="s">
        <v>127</v>
      </c>
      <c r="I19" s="57"/>
      <c r="J19" s="57"/>
      <c r="K19" s="57"/>
      <c r="L19" s="87"/>
      <c r="M19" s="87"/>
      <c r="N19" s="87"/>
      <c r="O19" s="87"/>
      <c r="P19" s="87"/>
      <c r="Q19" s="87"/>
      <c r="R19" s="87"/>
      <c r="S19" s="87"/>
      <c r="T19" s="87"/>
      <c r="U19" s="87">
        <v>6</v>
      </c>
      <c r="V19" s="87"/>
      <c r="W19" s="87">
        <v>6</v>
      </c>
      <c r="X19" s="87">
        <v>6</v>
      </c>
      <c r="Y19" s="88">
        <v>12</v>
      </c>
      <c r="Z19" s="88"/>
      <c r="AA19" s="88">
        <v>6</v>
      </c>
      <c r="AB19" s="88"/>
      <c r="AC19" s="88"/>
      <c r="AD19" s="87"/>
      <c r="AE19" s="87"/>
      <c r="AF19" s="87"/>
      <c r="AG19" s="87"/>
      <c r="AH19" s="87"/>
      <c r="AI19" s="87"/>
      <c r="AJ19" s="47">
        <f t="shared" si="3"/>
        <v>36</v>
      </c>
      <c r="BR19"/>
      <c r="BS19"/>
      <c r="BT19"/>
      <c r="BU19"/>
      <c r="BV19"/>
    </row>
    <row r="20" spans="2:74" ht="25" customHeight="1">
      <c r="E20" s="51"/>
      <c r="F20" s="51"/>
      <c r="G20" s="58" t="str">
        <f>"Last: "&amp;$C$8</f>
        <v>Last: USB0072EE</v>
      </c>
      <c r="H20" s="48" t="s">
        <v>129</v>
      </c>
      <c r="I20" s="57"/>
      <c r="J20" s="57"/>
      <c r="K20" s="57"/>
      <c r="L20" s="87"/>
      <c r="M20" s="87"/>
      <c r="N20" s="87"/>
      <c r="O20" s="87"/>
      <c r="P20" s="87"/>
      <c r="Q20" s="87"/>
      <c r="R20" s="87"/>
      <c r="S20" s="87"/>
      <c r="T20" s="87"/>
      <c r="U20" s="87">
        <v>6</v>
      </c>
      <c r="V20" s="87"/>
      <c r="W20" s="87">
        <v>6</v>
      </c>
      <c r="X20" s="87">
        <v>12</v>
      </c>
      <c r="Y20" s="87">
        <v>12</v>
      </c>
      <c r="Z20" s="87"/>
      <c r="AA20" s="87">
        <v>6</v>
      </c>
      <c r="AB20" s="87"/>
      <c r="AC20" s="87"/>
      <c r="AD20" s="87"/>
      <c r="AE20" s="87"/>
      <c r="AF20" s="87"/>
      <c r="AG20" s="87"/>
      <c r="AH20" s="87"/>
      <c r="AI20" s="87"/>
      <c r="AJ20" s="47">
        <f t="shared" si="3"/>
        <v>42</v>
      </c>
      <c r="BR20"/>
      <c r="BS20"/>
      <c r="BT20"/>
      <c r="BU20"/>
      <c r="BV20"/>
    </row>
    <row r="21" spans="2:74" ht="25" customHeight="1">
      <c r="E21" s="52"/>
      <c r="F21" s="52"/>
      <c r="G21" s="52"/>
      <c r="H21" s="49" t="s">
        <v>105</v>
      </c>
      <c r="I21" s="50">
        <f t="shared" ref="I21:AI21" si="5">SUM(I16:I20)</f>
        <v>0</v>
      </c>
      <c r="J21" s="50">
        <f t="shared" si="5"/>
        <v>0</v>
      </c>
      <c r="K21" s="50">
        <f t="shared" si="5"/>
        <v>0</v>
      </c>
      <c r="L21" s="50">
        <f t="shared" si="5"/>
        <v>0</v>
      </c>
      <c r="M21" s="50">
        <f t="shared" si="5"/>
        <v>0</v>
      </c>
      <c r="N21" s="50">
        <f t="shared" si="5"/>
        <v>0</v>
      </c>
      <c r="O21" s="50">
        <f t="shared" si="5"/>
        <v>0</v>
      </c>
      <c r="P21" s="50">
        <f t="shared" si="5"/>
        <v>0</v>
      </c>
      <c r="Q21" s="50">
        <f t="shared" si="5"/>
        <v>0</v>
      </c>
      <c r="R21" s="50">
        <f t="shared" si="5"/>
        <v>0</v>
      </c>
      <c r="S21" s="50">
        <f t="shared" si="5"/>
        <v>0</v>
      </c>
      <c r="T21" s="50">
        <f t="shared" si="5"/>
        <v>6</v>
      </c>
      <c r="U21" s="50">
        <f t="shared" si="5"/>
        <v>30</v>
      </c>
      <c r="V21" s="50">
        <f t="shared" si="5"/>
        <v>18</v>
      </c>
      <c r="W21" s="50">
        <f t="shared" si="5"/>
        <v>48</v>
      </c>
      <c r="X21" s="50">
        <f t="shared" si="5"/>
        <v>36</v>
      </c>
      <c r="Y21" s="50">
        <f t="shared" si="5"/>
        <v>60</v>
      </c>
      <c r="Z21" s="50">
        <f t="shared" si="5"/>
        <v>0</v>
      </c>
      <c r="AA21" s="50">
        <f t="shared" si="5"/>
        <v>36</v>
      </c>
      <c r="AB21" s="50">
        <f t="shared" si="5"/>
        <v>0</v>
      </c>
      <c r="AC21" s="50">
        <f t="shared" si="5"/>
        <v>18</v>
      </c>
      <c r="AD21" s="50">
        <f t="shared" si="5"/>
        <v>0</v>
      </c>
      <c r="AE21" s="50">
        <f t="shared" si="5"/>
        <v>0</v>
      </c>
      <c r="AF21" s="50">
        <f t="shared" si="5"/>
        <v>0</v>
      </c>
      <c r="AG21" s="50">
        <f t="shared" si="5"/>
        <v>0</v>
      </c>
      <c r="AH21" s="50">
        <f t="shared" si="5"/>
        <v>0</v>
      </c>
      <c r="AI21" s="50">
        <f t="shared" si="5"/>
        <v>0</v>
      </c>
      <c r="AJ21" s="50">
        <f t="shared" si="3"/>
        <v>252</v>
      </c>
      <c r="BR21"/>
      <c r="BS21"/>
      <c r="BT21"/>
      <c r="BU21"/>
      <c r="BV21"/>
    </row>
    <row r="22" spans="2:74" ht="25" customHeight="1">
      <c r="E22" s="41"/>
      <c r="F22" s="41"/>
      <c r="G22" s="41"/>
      <c r="H22" s="46" t="s">
        <v>121</v>
      </c>
      <c r="I22" s="57"/>
      <c r="J22" s="57"/>
      <c r="K22" s="5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8"/>
      <c r="Z22" s="88"/>
      <c r="AA22" s="88"/>
      <c r="AB22" s="88"/>
      <c r="AC22" s="88"/>
      <c r="AD22" s="87"/>
      <c r="AE22" s="87"/>
      <c r="AF22" s="87"/>
      <c r="AG22" s="87"/>
      <c r="AH22" s="87"/>
      <c r="AI22" s="90"/>
      <c r="AJ22" s="47">
        <f t="shared" si="3"/>
        <v>0</v>
      </c>
      <c r="BR22"/>
      <c r="BS22"/>
      <c r="BT22"/>
      <c r="BU22"/>
      <c r="BV22"/>
    </row>
    <row r="23" spans="2:74" ht="25" customHeight="1">
      <c r="E23" s="51"/>
      <c r="F23" s="51"/>
      <c r="G23" s="58" t="str">
        <f>$C$6</f>
        <v>US Boot</v>
      </c>
      <c r="H23" s="48" t="s">
        <v>124</v>
      </c>
      <c r="I23" s="57"/>
      <c r="J23" s="57"/>
      <c r="K23" s="5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8"/>
      <c r="Z23" s="88"/>
      <c r="AA23" s="88"/>
      <c r="AB23" s="88"/>
      <c r="AC23" s="88"/>
      <c r="AD23" s="87"/>
      <c r="AE23" s="87"/>
      <c r="AF23" s="87"/>
      <c r="AG23" s="87"/>
      <c r="AH23" s="87"/>
      <c r="AI23" s="90"/>
      <c r="AJ23" s="47">
        <f t="shared" si="3"/>
        <v>0</v>
      </c>
      <c r="BR23"/>
      <c r="BS23"/>
      <c r="BT23"/>
      <c r="BU23"/>
      <c r="BV23"/>
    </row>
    <row r="24" spans="2:74" ht="25" customHeight="1">
      <c r="E24" s="53" t="str">
        <f>TEXT(IF(WEEKDAY(E18)=6,E18+3,E18+1),"mmm dd")</f>
        <v>Jan 05</v>
      </c>
      <c r="F24" s="53" t="str">
        <f>TEXT(WEEKDAY(E24),"ddd")</f>
        <v>Mon</v>
      </c>
      <c r="G24" s="58" t="str">
        <f>$C$7</f>
        <v>Driftlock</v>
      </c>
      <c r="H24" s="46" t="s">
        <v>126</v>
      </c>
      <c r="I24" s="57"/>
      <c r="J24" s="57"/>
      <c r="K24" s="5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8"/>
      <c r="Z24" s="88"/>
      <c r="AA24" s="88"/>
      <c r="AB24" s="88"/>
      <c r="AC24" s="88"/>
      <c r="AD24" s="87"/>
      <c r="AE24" s="87"/>
      <c r="AF24" s="87"/>
      <c r="AG24" s="87"/>
      <c r="AH24" s="87"/>
      <c r="AI24" s="87"/>
      <c r="AJ24" s="47">
        <f t="shared" si="3"/>
        <v>0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</row>
    <row r="25" spans="2:74" ht="25" customHeight="1">
      <c r="E25" s="51"/>
      <c r="F25" s="51"/>
      <c r="G25" s="58" t="str">
        <f>"Style#: "&amp;$C$9</f>
        <v>Style#: 27287</v>
      </c>
      <c r="H25" s="46" t="s">
        <v>127</v>
      </c>
      <c r="I25" s="57"/>
      <c r="J25" s="57"/>
      <c r="K25" s="5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8"/>
      <c r="Z25" s="88"/>
      <c r="AA25" s="88"/>
      <c r="AB25" s="88"/>
      <c r="AC25" s="88"/>
      <c r="AD25" s="87"/>
      <c r="AE25" s="87"/>
      <c r="AF25" s="87"/>
      <c r="AG25" s="87"/>
      <c r="AH25" s="87"/>
      <c r="AI25" s="87"/>
      <c r="AJ25" s="47">
        <f t="shared" si="3"/>
        <v>0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</row>
    <row r="26" spans="2:74" ht="25" customHeight="1">
      <c r="E26" s="51"/>
      <c r="F26" s="51"/>
      <c r="G26" s="58" t="str">
        <f>"Last: "&amp;$C$8</f>
        <v>Last: USB0072EE</v>
      </c>
      <c r="H26" s="48" t="s">
        <v>129</v>
      </c>
      <c r="I26" s="57"/>
      <c r="J26" s="57"/>
      <c r="K26" s="5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47">
        <f t="shared" si="3"/>
        <v>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</row>
    <row r="27" spans="2:74" ht="25" customHeight="1">
      <c r="E27" s="52"/>
      <c r="F27" s="52"/>
      <c r="G27" s="52"/>
      <c r="H27" s="49" t="s">
        <v>105</v>
      </c>
      <c r="I27" s="50">
        <f t="shared" ref="I27:AI27" si="6">SUM(I22:I26)</f>
        <v>0</v>
      </c>
      <c r="J27" s="50">
        <f t="shared" si="6"/>
        <v>0</v>
      </c>
      <c r="K27" s="50">
        <f t="shared" si="6"/>
        <v>0</v>
      </c>
      <c r="L27" s="50">
        <f t="shared" si="6"/>
        <v>0</v>
      </c>
      <c r="M27" s="50">
        <f t="shared" si="6"/>
        <v>0</v>
      </c>
      <c r="N27" s="50">
        <f t="shared" si="6"/>
        <v>0</v>
      </c>
      <c r="O27" s="50">
        <f t="shared" si="6"/>
        <v>0</v>
      </c>
      <c r="P27" s="50">
        <f t="shared" si="6"/>
        <v>0</v>
      </c>
      <c r="Q27" s="50">
        <f t="shared" si="6"/>
        <v>0</v>
      </c>
      <c r="R27" s="50">
        <f t="shared" si="6"/>
        <v>0</v>
      </c>
      <c r="S27" s="50">
        <f t="shared" si="6"/>
        <v>0</v>
      </c>
      <c r="T27" s="50">
        <f t="shared" si="6"/>
        <v>0</v>
      </c>
      <c r="U27" s="50">
        <f t="shared" si="6"/>
        <v>0</v>
      </c>
      <c r="V27" s="50">
        <f t="shared" si="6"/>
        <v>0</v>
      </c>
      <c r="W27" s="50">
        <f t="shared" si="6"/>
        <v>0</v>
      </c>
      <c r="X27" s="50">
        <f t="shared" si="6"/>
        <v>0</v>
      </c>
      <c r="Y27" s="50">
        <f t="shared" si="6"/>
        <v>0</v>
      </c>
      <c r="Z27" s="50">
        <f t="shared" si="6"/>
        <v>0</v>
      </c>
      <c r="AA27" s="50">
        <f t="shared" si="6"/>
        <v>0</v>
      </c>
      <c r="AB27" s="50">
        <f t="shared" si="6"/>
        <v>0</v>
      </c>
      <c r="AC27" s="50">
        <f t="shared" si="6"/>
        <v>0</v>
      </c>
      <c r="AD27" s="50">
        <f t="shared" si="6"/>
        <v>0</v>
      </c>
      <c r="AE27" s="50">
        <f t="shared" si="6"/>
        <v>0</v>
      </c>
      <c r="AF27" s="50">
        <f t="shared" si="6"/>
        <v>0</v>
      </c>
      <c r="AG27" s="50">
        <f t="shared" si="6"/>
        <v>0</v>
      </c>
      <c r="AH27" s="50">
        <f t="shared" si="6"/>
        <v>0</v>
      </c>
      <c r="AI27" s="50">
        <f t="shared" si="6"/>
        <v>0</v>
      </c>
      <c r="AJ27" s="50">
        <f t="shared" si="3"/>
        <v>0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</row>
    <row r="28" spans="2:74" ht="25" customHeight="1">
      <c r="E28" s="41"/>
      <c r="F28" s="41"/>
      <c r="G28" s="41"/>
      <c r="H28" s="46" t="s">
        <v>121</v>
      </c>
      <c r="I28" s="57"/>
      <c r="J28" s="57"/>
      <c r="K28" s="5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8"/>
      <c r="Z28" s="88"/>
      <c r="AA28" s="88"/>
      <c r="AB28" s="88"/>
      <c r="AC28" s="88"/>
      <c r="AD28" s="87"/>
      <c r="AE28" s="87"/>
      <c r="AF28" s="87"/>
      <c r="AG28" s="87"/>
      <c r="AH28" s="87"/>
      <c r="AI28" s="90"/>
      <c r="AJ28" s="47">
        <f t="shared" si="3"/>
        <v>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</row>
    <row r="29" spans="2:74" ht="25" customHeight="1">
      <c r="B29" s="2"/>
      <c r="E29" s="51"/>
      <c r="F29" s="51"/>
      <c r="G29" s="58" t="str">
        <f>$C$6</f>
        <v>US Boot</v>
      </c>
      <c r="H29" s="48" t="s">
        <v>124</v>
      </c>
      <c r="I29" s="57"/>
      <c r="J29" s="57"/>
      <c r="K29" s="5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8"/>
      <c r="Z29" s="88"/>
      <c r="AA29" s="88"/>
      <c r="AB29" s="88"/>
      <c r="AC29" s="88"/>
      <c r="AD29" s="87"/>
      <c r="AE29" s="87"/>
      <c r="AF29" s="87"/>
      <c r="AG29" s="87"/>
      <c r="AH29" s="87"/>
      <c r="AI29" s="90"/>
      <c r="AJ29" s="47">
        <f t="shared" si="3"/>
        <v>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</row>
    <row r="30" spans="2:74" ht="25" customHeight="1">
      <c r="E30" s="53" t="str">
        <f>TEXT(IF(WEEKDAY(E24)=6,E24+3,E24+1),"mmm dd")</f>
        <v>Jan 06</v>
      </c>
      <c r="F30" s="53" t="str">
        <f>TEXT(WEEKDAY(E30),"ddd")</f>
        <v>Tue</v>
      </c>
      <c r="G30" s="58" t="str">
        <f>$C$7</f>
        <v>Driftlock</v>
      </c>
      <c r="H30" s="46" t="s">
        <v>126</v>
      </c>
      <c r="I30" s="57"/>
      <c r="J30" s="57"/>
      <c r="K30" s="5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  <c r="Z30" s="88"/>
      <c r="AA30" s="88"/>
      <c r="AB30" s="88"/>
      <c r="AC30" s="88"/>
      <c r="AD30" s="87"/>
      <c r="AE30" s="87"/>
      <c r="AF30" s="87"/>
      <c r="AG30" s="87"/>
      <c r="AH30" s="87"/>
      <c r="AI30" s="87"/>
      <c r="AJ30" s="47">
        <f t="shared" si="3"/>
        <v>0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</row>
    <row r="31" spans="2:74" ht="25" customHeight="1">
      <c r="E31" s="51"/>
      <c r="F31" s="51"/>
      <c r="G31" s="58" t="str">
        <f>"Style#: "&amp;$C$9</f>
        <v>Style#: 27287</v>
      </c>
      <c r="H31" s="46" t="s">
        <v>127</v>
      </c>
      <c r="I31" s="57"/>
      <c r="J31" s="57"/>
      <c r="K31" s="5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8"/>
      <c r="Z31" s="88"/>
      <c r="AA31" s="88"/>
      <c r="AB31" s="88"/>
      <c r="AC31" s="88"/>
      <c r="AD31" s="87"/>
      <c r="AE31" s="87"/>
      <c r="AF31" s="87"/>
      <c r="AG31" s="87"/>
      <c r="AH31" s="87"/>
      <c r="AI31" s="87"/>
      <c r="AJ31" s="47">
        <f t="shared" si="3"/>
        <v>0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</row>
    <row r="32" spans="2:74" ht="25" customHeight="1">
      <c r="E32" s="51"/>
      <c r="F32" s="51"/>
      <c r="G32" s="58" t="str">
        <f>"Last: "&amp;$C$8</f>
        <v>Last: USB0072EE</v>
      </c>
      <c r="H32" s="48" t="s">
        <v>129</v>
      </c>
      <c r="I32" s="57"/>
      <c r="J32" s="57"/>
      <c r="K32" s="5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47">
        <f t="shared" si="3"/>
        <v>0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</row>
    <row r="33" spans="5:74" ht="25" customHeight="1">
      <c r="E33" s="52"/>
      <c r="F33" s="52"/>
      <c r="G33" s="52"/>
      <c r="H33" s="49" t="s">
        <v>105</v>
      </c>
      <c r="I33" s="50">
        <f t="shared" ref="I33:AI33" si="7">SUM(I28:I32)</f>
        <v>0</v>
      </c>
      <c r="J33" s="50">
        <f t="shared" si="7"/>
        <v>0</v>
      </c>
      <c r="K33" s="50">
        <f t="shared" si="7"/>
        <v>0</v>
      </c>
      <c r="L33" s="50">
        <f t="shared" si="7"/>
        <v>0</v>
      </c>
      <c r="M33" s="50">
        <f t="shared" si="7"/>
        <v>0</v>
      </c>
      <c r="N33" s="50">
        <f t="shared" si="7"/>
        <v>0</v>
      </c>
      <c r="O33" s="50">
        <f t="shared" si="7"/>
        <v>0</v>
      </c>
      <c r="P33" s="50">
        <f t="shared" si="7"/>
        <v>0</v>
      </c>
      <c r="Q33" s="50">
        <f t="shared" si="7"/>
        <v>0</v>
      </c>
      <c r="R33" s="50">
        <f t="shared" si="7"/>
        <v>0</v>
      </c>
      <c r="S33" s="50">
        <f t="shared" si="7"/>
        <v>0</v>
      </c>
      <c r="T33" s="50">
        <f t="shared" si="7"/>
        <v>0</v>
      </c>
      <c r="U33" s="50">
        <f t="shared" si="7"/>
        <v>0</v>
      </c>
      <c r="V33" s="50">
        <f t="shared" si="7"/>
        <v>0</v>
      </c>
      <c r="W33" s="50">
        <f t="shared" si="7"/>
        <v>0</v>
      </c>
      <c r="X33" s="50">
        <f t="shared" si="7"/>
        <v>0</v>
      </c>
      <c r="Y33" s="50">
        <f t="shared" si="7"/>
        <v>0</v>
      </c>
      <c r="Z33" s="50">
        <f t="shared" si="7"/>
        <v>0</v>
      </c>
      <c r="AA33" s="50">
        <f t="shared" si="7"/>
        <v>0</v>
      </c>
      <c r="AB33" s="50">
        <f t="shared" si="7"/>
        <v>0</v>
      </c>
      <c r="AC33" s="50">
        <f t="shared" si="7"/>
        <v>0</v>
      </c>
      <c r="AD33" s="50">
        <f t="shared" si="7"/>
        <v>0</v>
      </c>
      <c r="AE33" s="50">
        <f t="shared" si="7"/>
        <v>0</v>
      </c>
      <c r="AF33" s="50">
        <f t="shared" si="7"/>
        <v>0</v>
      </c>
      <c r="AG33" s="50">
        <f t="shared" si="7"/>
        <v>0</v>
      </c>
      <c r="AH33" s="50">
        <f t="shared" si="7"/>
        <v>0</v>
      </c>
      <c r="AI33" s="50">
        <f t="shared" si="7"/>
        <v>0</v>
      </c>
      <c r="AJ33" s="50">
        <f t="shared" si="3"/>
        <v>0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</row>
    <row r="34" spans="5:74" ht="27" customHeight="1">
      <c r="E34" s="41"/>
      <c r="F34" s="41"/>
      <c r="G34" s="41"/>
      <c r="H34" s="46" t="s">
        <v>121</v>
      </c>
      <c r="I34" s="57"/>
      <c r="J34" s="57"/>
      <c r="K34" s="5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8"/>
      <c r="Z34" s="88"/>
      <c r="AA34" s="88"/>
      <c r="AB34" s="88"/>
      <c r="AC34" s="88"/>
      <c r="AD34" s="87"/>
      <c r="AE34" s="87"/>
      <c r="AF34" s="87"/>
      <c r="AG34" s="87"/>
      <c r="AH34" s="87"/>
      <c r="AI34" s="90"/>
      <c r="AJ34" s="47">
        <f t="shared" si="3"/>
        <v>0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</row>
    <row r="35" spans="5:74" ht="25" customHeight="1">
      <c r="E35" s="51"/>
      <c r="F35" s="51"/>
      <c r="G35" s="58" t="str">
        <f>$C$6</f>
        <v>US Boot</v>
      </c>
      <c r="H35" s="48" t="s">
        <v>124</v>
      </c>
      <c r="I35" s="57"/>
      <c r="J35" s="57"/>
      <c r="K35" s="5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8"/>
      <c r="Z35" s="88"/>
      <c r="AA35" s="88"/>
      <c r="AB35" s="88"/>
      <c r="AC35" s="88"/>
      <c r="AD35" s="87"/>
      <c r="AE35" s="87"/>
      <c r="AF35" s="87"/>
      <c r="AG35" s="87"/>
      <c r="AH35" s="87"/>
      <c r="AI35" s="90"/>
      <c r="AJ35" s="47">
        <f t="shared" si="3"/>
        <v>0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</row>
    <row r="36" spans="5:74" ht="25" customHeight="1">
      <c r="E36" s="53" t="str">
        <f>TEXT(IF(WEEKDAY(E30)=6,E30+3,E30+1),"mmm dd")</f>
        <v>Jan 07</v>
      </c>
      <c r="F36" s="53" t="str">
        <f>TEXT(WEEKDAY(E36),"ddd")</f>
        <v>Wed</v>
      </c>
      <c r="G36" s="58" t="str">
        <f>$C$7</f>
        <v>Driftlock</v>
      </c>
      <c r="H36" s="46" t="s">
        <v>126</v>
      </c>
      <c r="I36" s="57"/>
      <c r="J36" s="57"/>
      <c r="K36" s="5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8"/>
      <c r="Z36" s="88"/>
      <c r="AA36" s="88"/>
      <c r="AB36" s="88"/>
      <c r="AC36" s="88"/>
      <c r="AD36" s="87"/>
      <c r="AE36" s="87"/>
      <c r="AF36" s="87"/>
      <c r="AG36" s="87"/>
      <c r="AH36" s="87"/>
      <c r="AI36" s="87"/>
      <c r="AJ36" s="47">
        <f t="shared" si="3"/>
        <v>0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</row>
    <row r="37" spans="5:74" ht="25" customHeight="1">
      <c r="E37" s="51"/>
      <c r="F37" s="51"/>
      <c r="G37" s="58" t="str">
        <f>"Style#: "&amp;$C$9</f>
        <v>Style#: 27287</v>
      </c>
      <c r="H37" s="46" t="s">
        <v>127</v>
      </c>
      <c r="I37" s="57"/>
      <c r="J37" s="57"/>
      <c r="K37" s="5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8"/>
      <c r="Z37" s="88"/>
      <c r="AA37" s="88"/>
      <c r="AB37" s="88"/>
      <c r="AC37" s="88"/>
      <c r="AD37" s="87"/>
      <c r="AE37" s="87"/>
      <c r="AF37" s="87"/>
      <c r="AG37" s="87"/>
      <c r="AH37" s="87"/>
      <c r="AI37" s="87"/>
      <c r="AJ37" s="47">
        <f t="shared" si="3"/>
        <v>0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</row>
    <row r="38" spans="5:74" ht="25" customHeight="1">
      <c r="E38" s="51"/>
      <c r="F38" s="51"/>
      <c r="G38" s="58" t="str">
        <f>"Last: "&amp;$C$8</f>
        <v>Last: USB0072EE</v>
      </c>
      <c r="H38" s="48" t="s">
        <v>129</v>
      </c>
      <c r="I38" s="57"/>
      <c r="J38" s="57"/>
      <c r="K38" s="5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47">
        <f t="shared" si="3"/>
        <v>0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</row>
    <row r="39" spans="5:74" ht="25" customHeight="1">
      <c r="E39" s="52"/>
      <c r="F39" s="52"/>
      <c r="G39" s="52"/>
      <c r="H39" s="49" t="s">
        <v>105</v>
      </c>
      <c r="I39" s="50">
        <f t="shared" ref="I39:AI39" si="8">SUM(I34:I38)</f>
        <v>0</v>
      </c>
      <c r="J39" s="50">
        <f t="shared" si="8"/>
        <v>0</v>
      </c>
      <c r="K39" s="50">
        <f t="shared" si="8"/>
        <v>0</v>
      </c>
      <c r="L39" s="50">
        <f t="shared" si="8"/>
        <v>0</v>
      </c>
      <c r="M39" s="50">
        <f t="shared" si="8"/>
        <v>0</v>
      </c>
      <c r="N39" s="50">
        <f t="shared" si="8"/>
        <v>0</v>
      </c>
      <c r="O39" s="50">
        <f t="shared" si="8"/>
        <v>0</v>
      </c>
      <c r="P39" s="50">
        <f t="shared" si="8"/>
        <v>0</v>
      </c>
      <c r="Q39" s="50">
        <f t="shared" si="8"/>
        <v>0</v>
      </c>
      <c r="R39" s="50">
        <f t="shared" si="8"/>
        <v>0</v>
      </c>
      <c r="S39" s="50">
        <f t="shared" si="8"/>
        <v>0</v>
      </c>
      <c r="T39" s="50">
        <f t="shared" si="8"/>
        <v>0</v>
      </c>
      <c r="U39" s="50">
        <f t="shared" si="8"/>
        <v>0</v>
      </c>
      <c r="V39" s="50">
        <f t="shared" si="8"/>
        <v>0</v>
      </c>
      <c r="W39" s="50">
        <f t="shared" si="8"/>
        <v>0</v>
      </c>
      <c r="X39" s="50">
        <f t="shared" si="8"/>
        <v>0</v>
      </c>
      <c r="Y39" s="50">
        <f t="shared" si="8"/>
        <v>0</v>
      </c>
      <c r="Z39" s="50">
        <f t="shared" si="8"/>
        <v>0</v>
      </c>
      <c r="AA39" s="50">
        <f t="shared" si="8"/>
        <v>0</v>
      </c>
      <c r="AB39" s="50">
        <f t="shared" si="8"/>
        <v>0</v>
      </c>
      <c r="AC39" s="50">
        <f t="shared" si="8"/>
        <v>0</v>
      </c>
      <c r="AD39" s="50">
        <f t="shared" si="8"/>
        <v>0</v>
      </c>
      <c r="AE39" s="50">
        <f t="shared" si="8"/>
        <v>0</v>
      </c>
      <c r="AF39" s="50">
        <f t="shared" si="8"/>
        <v>0</v>
      </c>
      <c r="AG39" s="50">
        <f t="shared" si="8"/>
        <v>0</v>
      </c>
      <c r="AH39" s="50">
        <f t="shared" si="8"/>
        <v>0</v>
      </c>
      <c r="AI39" s="50">
        <f t="shared" si="8"/>
        <v>0</v>
      </c>
      <c r="AJ39" s="50">
        <f t="shared" si="3"/>
        <v>0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</row>
    <row r="40" spans="5:74"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</row>
    <row r="41" spans="5:74"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</row>
    <row r="42" spans="5:74"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</row>
    <row r="43" spans="5:74"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</row>
    <row r="44" spans="5:74">
      <c r="H44" s="72" t="s">
        <v>148</v>
      </c>
      <c r="I44" s="71"/>
      <c r="J44" s="78">
        <v>6</v>
      </c>
      <c r="K44" s="72" t="s">
        <v>181</v>
      </c>
      <c r="L44" s="71"/>
      <c r="M44" s="78">
        <v>5</v>
      </c>
      <c r="N44" s="72" t="s">
        <v>149</v>
      </c>
      <c r="O44" s="71"/>
      <c r="P44" s="71">
        <f>AJ5</f>
        <v>522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</row>
    <row r="45" spans="5:74">
      <c r="H45" s="72" t="s">
        <v>150</v>
      </c>
      <c r="I45" s="71"/>
      <c r="J45" s="78">
        <v>22</v>
      </c>
      <c r="K45" s="72" t="s">
        <v>182</v>
      </c>
      <c r="M45" s="79">
        <v>3</v>
      </c>
      <c r="N45" s="72" t="s">
        <v>151</v>
      </c>
      <c r="O45" s="71"/>
      <c r="P45" s="71">
        <f>AJ72</f>
        <v>0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</row>
    <row r="46" spans="5:74">
      <c r="K46" s="72" t="s">
        <v>152</v>
      </c>
      <c r="L46" s="71"/>
      <c r="M46" s="71">
        <f>M44*MaxLayer</f>
        <v>15</v>
      </c>
      <c r="N46" s="72" t="s">
        <v>153</v>
      </c>
      <c r="O46" s="71"/>
      <c r="P46" s="71">
        <f>COUNTIF($AJ$50:$AJ$71,"&lt;&gt;0")</f>
        <v>0</v>
      </c>
      <c r="Q46" s="7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</row>
    <row r="47" spans="5:74">
      <c r="K47" s="72"/>
      <c r="L47" s="71"/>
      <c r="M47" s="71"/>
      <c r="N47" s="72"/>
      <c r="O47" s="71"/>
      <c r="P47" s="71"/>
      <c r="Q47" s="7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</row>
    <row r="48" spans="5:74">
      <c r="H48" s="76" t="s">
        <v>156</v>
      </c>
      <c r="I48" s="80">
        <f>I5</f>
        <v>0</v>
      </c>
      <c r="J48" s="80">
        <f t="shared" ref="J48:AI48" si="9">J5</f>
        <v>0</v>
      </c>
      <c r="K48" s="80">
        <f t="shared" si="9"/>
        <v>0</v>
      </c>
      <c r="L48" s="80">
        <f t="shared" si="9"/>
        <v>0</v>
      </c>
      <c r="M48" s="80">
        <f t="shared" si="9"/>
        <v>0</v>
      </c>
      <c r="N48" s="80">
        <f t="shared" si="9"/>
        <v>0</v>
      </c>
      <c r="O48" s="80">
        <f t="shared" si="9"/>
        <v>0</v>
      </c>
      <c r="P48" s="80">
        <f t="shared" si="9"/>
        <v>0</v>
      </c>
      <c r="Q48" s="80">
        <f t="shared" si="9"/>
        <v>0</v>
      </c>
      <c r="R48" s="80">
        <f t="shared" si="9"/>
        <v>0</v>
      </c>
      <c r="S48" s="80">
        <f t="shared" si="9"/>
        <v>18</v>
      </c>
      <c r="T48" s="80">
        <f t="shared" si="9"/>
        <v>24</v>
      </c>
      <c r="U48" s="80">
        <f t="shared" si="9"/>
        <v>36</v>
      </c>
      <c r="V48" s="80">
        <f t="shared" si="9"/>
        <v>54</v>
      </c>
      <c r="W48" s="80">
        <f t="shared" si="9"/>
        <v>84</v>
      </c>
      <c r="X48" s="80">
        <f t="shared" si="9"/>
        <v>72</v>
      </c>
      <c r="Y48" s="80">
        <f t="shared" si="9"/>
        <v>72</v>
      </c>
      <c r="Z48" s="80">
        <f t="shared" si="9"/>
        <v>42</v>
      </c>
      <c r="AA48" s="80">
        <f t="shared" si="9"/>
        <v>60</v>
      </c>
      <c r="AB48" s="80">
        <f t="shared" si="9"/>
        <v>0</v>
      </c>
      <c r="AC48" s="80">
        <f t="shared" si="9"/>
        <v>42</v>
      </c>
      <c r="AD48" s="80">
        <f t="shared" si="9"/>
        <v>0</v>
      </c>
      <c r="AE48" s="80">
        <f t="shared" si="9"/>
        <v>18</v>
      </c>
      <c r="AF48" s="80">
        <f t="shared" si="9"/>
        <v>0</v>
      </c>
      <c r="AG48" s="80">
        <f t="shared" si="9"/>
        <v>0</v>
      </c>
      <c r="AH48" s="80">
        <f t="shared" si="9"/>
        <v>0</v>
      </c>
      <c r="AI48" s="80">
        <f t="shared" si="9"/>
        <v>0</v>
      </c>
      <c r="AJ48" s="81"/>
      <c r="AK48" s="82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</row>
    <row r="49" spans="8:74">
      <c r="H49" s="73" t="s">
        <v>154</v>
      </c>
      <c r="I49" s="77">
        <v>3</v>
      </c>
      <c r="J49" s="77">
        <v>3.5</v>
      </c>
      <c r="K49" s="77">
        <v>4</v>
      </c>
      <c r="L49" s="77">
        <v>4.5</v>
      </c>
      <c r="M49" s="77">
        <v>5</v>
      </c>
      <c r="N49" s="77">
        <v>5.5</v>
      </c>
      <c r="O49" s="77">
        <v>6</v>
      </c>
      <c r="P49" s="77">
        <v>6.5</v>
      </c>
      <c r="Q49" s="77">
        <v>7</v>
      </c>
      <c r="R49" s="77">
        <v>7.5</v>
      </c>
      <c r="S49" s="77">
        <v>8</v>
      </c>
      <c r="T49" s="77">
        <v>8.5</v>
      </c>
      <c r="U49" s="77">
        <v>9</v>
      </c>
      <c r="V49" s="77">
        <v>9.5</v>
      </c>
      <c r="W49" s="77">
        <v>10</v>
      </c>
      <c r="X49" s="77">
        <v>10.5</v>
      </c>
      <c r="Y49" s="77">
        <v>11</v>
      </c>
      <c r="Z49" s="77">
        <v>11.5</v>
      </c>
      <c r="AA49" s="77">
        <v>12</v>
      </c>
      <c r="AB49" s="77">
        <v>12.5</v>
      </c>
      <c r="AC49" s="77">
        <v>13</v>
      </c>
      <c r="AD49" s="77">
        <v>13.5</v>
      </c>
      <c r="AE49" s="77">
        <v>14</v>
      </c>
      <c r="AF49" s="77">
        <v>14.5</v>
      </c>
      <c r="AG49" s="77">
        <v>15</v>
      </c>
      <c r="AH49" s="77">
        <v>15.5</v>
      </c>
      <c r="AI49" s="77">
        <v>16</v>
      </c>
      <c r="AJ49" s="77" t="s">
        <v>155</v>
      </c>
      <c r="AK49" s="73" t="s">
        <v>156</v>
      </c>
      <c r="AL49" s="73" t="s">
        <v>157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</row>
    <row r="50" spans="8:74">
      <c r="H50" s="74" t="s">
        <v>158</v>
      </c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>
        <f>SUM(I50:AI50)</f>
        <v>0</v>
      </c>
      <c r="AK50" s="75"/>
      <c r="AL50" s="75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</row>
    <row r="51" spans="8:74">
      <c r="H51" s="74" t="s">
        <v>159</v>
      </c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>
        <f t="shared" ref="AJ51:AJ71" si="10">SUM(I51:AI51)</f>
        <v>0</v>
      </c>
      <c r="AK51" s="75"/>
      <c r="AL51" s="75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</row>
    <row r="52" spans="8:74">
      <c r="H52" s="74" t="s">
        <v>160</v>
      </c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>
        <f t="shared" si="10"/>
        <v>0</v>
      </c>
      <c r="AK52" s="75"/>
      <c r="AL52" s="75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</row>
    <row r="53" spans="8:74">
      <c r="H53" s="74" t="s">
        <v>161</v>
      </c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>
        <f t="shared" si="10"/>
        <v>0</v>
      </c>
      <c r="AK53" s="75"/>
      <c r="AL53" s="75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</row>
    <row r="54" spans="8:74">
      <c r="H54" s="74" t="s">
        <v>162</v>
      </c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>
        <f t="shared" si="10"/>
        <v>0</v>
      </c>
      <c r="AK54" s="75"/>
      <c r="AL54" s="75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</row>
    <row r="55" spans="8:74">
      <c r="H55" s="74" t="s">
        <v>163</v>
      </c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>
        <f t="shared" si="10"/>
        <v>0</v>
      </c>
      <c r="AK55" s="75"/>
      <c r="AL55" s="7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</row>
    <row r="56" spans="8:74">
      <c r="H56" s="74" t="s">
        <v>165</v>
      </c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>
        <f t="shared" si="10"/>
        <v>0</v>
      </c>
      <c r="AK56" s="75"/>
      <c r="AL56" s="75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</row>
    <row r="57" spans="8:74">
      <c r="H57" s="74" t="s">
        <v>166</v>
      </c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>
        <f t="shared" si="10"/>
        <v>0</v>
      </c>
      <c r="AK57" s="75"/>
      <c r="AL57" s="75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</row>
    <row r="58" spans="8:74">
      <c r="H58" s="74" t="s">
        <v>167</v>
      </c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>
        <f t="shared" si="10"/>
        <v>0</v>
      </c>
      <c r="AK58" s="75"/>
      <c r="AL58" s="75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</row>
    <row r="59" spans="8:74">
      <c r="H59" s="74" t="s">
        <v>168</v>
      </c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>
        <f t="shared" si="10"/>
        <v>0</v>
      </c>
      <c r="AK59" s="75"/>
      <c r="AL59" s="75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</row>
    <row r="60" spans="8:74">
      <c r="H60" s="74" t="s">
        <v>169</v>
      </c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>
        <f t="shared" si="10"/>
        <v>0</v>
      </c>
      <c r="AK60" s="75"/>
      <c r="AL60" s="75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</row>
    <row r="61" spans="8:74">
      <c r="H61" s="74" t="s">
        <v>170</v>
      </c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>
        <f t="shared" si="10"/>
        <v>0</v>
      </c>
      <c r="AK61" s="75"/>
      <c r="AL61" s="75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</row>
    <row r="62" spans="8:74">
      <c r="H62" s="74" t="s">
        <v>171</v>
      </c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>
        <f t="shared" si="10"/>
        <v>0</v>
      </c>
      <c r="AK62" s="75"/>
      <c r="AL62" s="75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</row>
    <row r="63" spans="8:74">
      <c r="H63" s="74" t="s">
        <v>172</v>
      </c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>
        <f t="shared" si="10"/>
        <v>0</v>
      </c>
      <c r="AK63" s="75"/>
      <c r="AL63" s="75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</row>
    <row r="64" spans="8:74">
      <c r="H64" s="74" t="s">
        <v>173</v>
      </c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>
        <f t="shared" si="10"/>
        <v>0</v>
      </c>
      <c r="AK64" s="75"/>
      <c r="AL64" s="75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</row>
    <row r="65" spans="8:74">
      <c r="H65" s="74" t="s">
        <v>174</v>
      </c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>
        <f t="shared" si="10"/>
        <v>0</v>
      </c>
      <c r="AK65" s="75"/>
      <c r="AL65" s="7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</row>
    <row r="66" spans="8:74">
      <c r="H66" s="74" t="s">
        <v>175</v>
      </c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>
        <f t="shared" si="10"/>
        <v>0</v>
      </c>
      <c r="AK66" s="75"/>
      <c r="AL66" s="75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</row>
    <row r="67" spans="8:74">
      <c r="H67" s="74" t="s">
        <v>176</v>
      </c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>
        <f t="shared" si="10"/>
        <v>0</v>
      </c>
      <c r="AK67" s="75"/>
      <c r="AL67" s="75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</row>
    <row r="68" spans="8:74">
      <c r="H68" s="74" t="s">
        <v>177</v>
      </c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>
        <f t="shared" si="10"/>
        <v>0</v>
      </c>
      <c r="AK68" s="75"/>
      <c r="AL68" s="75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</row>
    <row r="69" spans="8:74">
      <c r="H69" s="74" t="s">
        <v>178</v>
      </c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>
        <f t="shared" si="10"/>
        <v>0</v>
      </c>
      <c r="AK69" s="75"/>
      <c r="AL69" s="75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</row>
    <row r="70" spans="8:74">
      <c r="H70" s="74" t="s">
        <v>179</v>
      </c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>
        <f t="shared" si="10"/>
        <v>0</v>
      </c>
      <c r="AK70" s="75"/>
      <c r="AL70" s="75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</row>
    <row r="71" spans="8:74">
      <c r="H71" s="74" t="s">
        <v>180</v>
      </c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>
        <f t="shared" si="10"/>
        <v>0</v>
      </c>
      <c r="AK71" s="75"/>
      <c r="AL71" s="75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</row>
    <row r="72" spans="8:74">
      <c r="H72" s="74" t="s">
        <v>164</v>
      </c>
      <c r="I72" s="74">
        <f>SUM(I50:I71)</f>
        <v>0</v>
      </c>
      <c r="J72" s="74">
        <f t="shared" ref="J72:AK72" si="11">SUM(J50:J71)</f>
        <v>0</v>
      </c>
      <c r="K72" s="74">
        <f t="shared" si="11"/>
        <v>0</v>
      </c>
      <c r="L72" s="74">
        <f t="shared" si="11"/>
        <v>0</v>
      </c>
      <c r="M72" s="74">
        <f t="shared" si="11"/>
        <v>0</v>
      </c>
      <c r="N72" s="74">
        <f t="shared" si="11"/>
        <v>0</v>
      </c>
      <c r="O72" s="74">
        <f t="shared" si="11"/>
        <v>0</v>
      </c>
      <c r="P72" s="74">
        <f t="shared" si="11"/>
        <v>0</v>
      </c>
      <c r="Q72" s="74">
        <f t="shared" si="11"/>
        <v>0</v>
      </c>
      <c r="R72" s="74">
        <f t="shared" si="11"/>
        <v>0</v>
      </c>
      <c r="S72" s="74">
        <f t="shared" si="11"/>
        <v>0</v>
      </c>
      <c r="T72" s="74">
        <f t="shared" si="11"/>
        <v>0</v>
      </c>
      <c r="U72" s="74">
        <f t="shared" si="11"/>
        <v>0</v>
      </c>
      <c r="V72" s="74">
        <f t="shared" si="11"/>
        <v>0</v>
      </c>
      <c r="W72" s="74">
        <f t="shared" si="11"/>
        <v>0</v>
      </c>
      <c r="X72" s="74">
        <f t="shared" si="11"/>
        <v>0</v>
      </c>
      <c r="Y72" s="74">
        <f t="shared" si="11"/>
        <v>0</v>
      </c>
      <c r="Z72" s="74">
        <f t="shared" si="11"/>
        <v>0</v>
      </c>
      <c r="AA72" s="74">
        <f t="shared" si="11"/>
        <v>0</v>
      </c>
      <c r="AB72" s="74">
        <f t="shared" si="11"/>
        <v>0</v>
      </c>
      <c r="AC72" s="74">
        <f t="shared" si="11"/>
        <v>0</v>
      </c>
      <c r="AD72" s="74">
        <f t="shared" si="11"/>
        <v>0</v>
      </c>
      <c r="AE72" s="74">
        <f t="shared" si="11"/>
        <v>0</v>
      </c>
      <c r="AF72" s="74">
        <f t="shared" si="11"/>
        <v>0</v>
      </c>
      <c r="AG72" s="74">
        <f t="shared" si="11"/>
        <v>0</v>
      </c>
      <c r="AH72" s="74">
        <f t="shared" si="11"/>
        <v>0</v>
      </c>
      <c r="AI72" s="74">
        <f t="shared" si="11"/>
        <v>0</v>
      </c>
      <c r="AJ72" s="74">
        <f t="shared" si="11"/>
        <v>0</v>
      </c>
      <c r="AK72" s="74">
        <f t="shared" si="11"/>
        <v>0</v>
      </c>
      <c r="AL72" s="74"/>
    </row>
  </sheetData>
  <pageMargins left="0.7" right="0.7" top="0.75" bottom="0.75" header="0.3" footer="0.3"/>
  <pageSetup scale="43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ProductionPlan">
                <anchor moveWithCells="1" sizeWithCells="1">
                  <from>
                    <xdr:col>1</xdr:col>
                    <xdr:colOff>584200</xdr:colOff>
                    <xdr:row>19</xdr:row>
                    <xdr:rowOff>139700</xdr:rowOff>
                  </from>
                  <to>
                    <xdr:col>2</xdr:col>
                    <xdr:colOff>1181100</xdr:colOff>
                    <xdr:row>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set">
                <anchor moveWithCells="1" sizeWithCells="1">
                  <from>
                    <xdr:col>1</xdr:col>
                    <xdr:colOff>584200</xdr:colOff>
                    <xdr:row>21</xdr:row>
                    <xdr:rowOff>88900</xdr:rowOff>
                  </from>
                  <to>
                    <xdr:col>2</xdr:col>
                    <xdr:colOff>1181100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PalletizePlan.PalletizePlan">
                <anchor moveWithCells="1" sizeWithCells="1">
                  <from>
                    <xdr:col>1</xdr:col>
                    <xdr:colOff>571500</xdr:colOff>
                    <xdr:row>23</xdr:row>
                    <xdr:rowOff>38100</xdr:rowOff>
                  </from>
                  <to>
                    <xdr:col>2</xdr:col>
                    <xdr:colOff>1168400</xdr:colOff>
                    <xdr:row>24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1BF9BC-5648-AE4E-A048-DE483178DBE6}">
          <x14:formula1>
            <xm:f>_xlfn.ANCHORARRAY(_xlfn.XLOOKUP($C$6,_xlfn.ANCHORARRAY(DataValidation!B17),DataValidation!B18:J18))</xm:f>
          </x14:formula1>
          <xm:sqref>C7</xm:sqref>
        </x14:dataValidation>
        <x14:dataValidation type="list" allowBlank="1" showInputMessage="1" showErrorMessage="1" xr:uid="{B9A2970F-05A8-814C-988E-89FFFB20D575}">
          <x14:formula1>
            <xm:f>_xlfn.ANCHORARRAY(DataValidation!$B$17)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3EF31-273E-FF4D-8DAE-4D6281B2B284}">
  <sheetPr codeName="Sheet7">
    <tabColor rgb="FF0070C0"/>
    <pageSetUpPr fitToPage="1"/>
  </sheetPr>
  <dimension ref="A2:BV72"/>
  <sheetViews>
    <sheetView zoomScale="80" zoomScaleNormal="80" workbookViewId="0">
      <selection activeCell="I50" sqref="I50"/>
    </sheetView>
  </sheetViews>
  <sheetFormatPr baseColWidth="10" defaultColWidth="10.83203125" defaultRowHeight="16"/>
  <cols>
    <col min="1" max="1" width="10.83203125" style="1" customWidth="1"/>
    <col min="2" max="2" width="12.1640625" style="1" customWidth="1"/>
    <col min="3" max="3" width="33.6640625" style="1" customWidth="1"/>
    <col min="4" max="4" width="10.83203125" style="1" customWidth="1"/>
    <col min="5" max="5" width="9.5" style="1" customWidth="1"/>
    <col min="6" max="6" width="7.83203125" style="1" customWidth="1"/>
    <col min="7" max="7" width="25.33203125" style="1" customWidth="1"/>
    <col min="8" max="8" width="10.83203125" style="1"/>
    <col min="9" max="35" width="7.5" style="1" customWidth="1"/>
    <col min="36" max="38" width="10.83203125" style="1"/>
    <col min="39" max="39" width="20" style="1" customWidth="1"/>
    <col min="40" max="16384" width="10.83203125" style="1"/>
  </cols>
  <sheetData>
    <row r="2" spans="1:74">
      <c r="B2" s="7"/>
    </row>
    <row r="4" spans="1:74" ht="30">
      <c r="B4" s="13" t="s">
        <v>305</v>
      </c>
      <c r="C4" s="27"/>
      <c r="I4" s="28" t="str">
        <f>C6&amp;" PO "&amp;C5&amp;" "&amp;C7&amp;" "&amp;AJ5&amp;" Pairs"</f>
        <v>US Boot PO 175 Condor Wellington 432 Pairs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30"/>
    </row>
    <row r="5" spans="1:74" ht="18">
      <c r="B5" s="13" t="s">
        <v>108</v>
      </c>
      <c r="C5" s="27" t="s">
        <v>306</v>
      </c>
      <c r="E5" s="37" t="s">
        <v>109</v>
      </c>
      <c r="F5" s="38"/>
      <c r="G5" s="38"/>
      <c r="H5" s="39"/>
      <c r="I5" s="69"/>
      <c r="J5" s="69"/>
      <c r="K5" s="69"/>
      <c r="L5" s="69"/>
      <c r="M5" s="69"/>
      <c r="N5" s="69"/>
      <c r="O5" s="69"/>
      <c r="P5" s="69"/>
      <c r="Q5" s="69"/>
      <c r="R5" s="69"/>
      <c r="S5" s="69">
        <v>24</v>
      </c>
      <c r="T5" s="69">
        <v>24</v>
      </c>
      <c r="U5" s="69">
        <v>60</v>
      </c>
      <c r="V5" s="69">
        <v>54</v>
      </c>
      <c r="W5" s="69">
        <v>84</v>
      </c>
      <c r="X5" s="69">
        <v>24</v>
      </c>
      <c r="Y5" s="69"/>
      <c r="Z5" s="69">
        <v>42</v>
      </c>
      <c r="AA5" s="69">
        <v>60</v>
      </c>
      <c r="AB5" s="69"/>
      <c r="AC5" s="69">
        <v>42</v>
      </c>
      <c r="AD5" s="69"/>
      <c r="AE5" s="69">
        <v>18</v>
      </c>
      <c r="AF5" s="69"/>
      <c r="AG5" s="69"/>
      <c r="AH5" s="69"/>
      <c r="AI5" s="69"/>
      <c r="AJ5" s="59">
        <f>SUM(I5:AI5)</f>
        <v>432</v>
      </c>
      <c r="AM5" s="13"/>
    </row>
    <row r="6" spans="1:74" ht="18">
      <c r="B6" s="13" t="s">
        <v>110</v>
      </c>
      <c r="C6" s="26" t="s">
        <v>53</v>
      </c>
      <c r="E6" s="31" t="s">
        <v>111</v>
      </c>
      <c r="F6" s="32"/>
      <c r="G6" s="32"/>
      <c r="H6" s="33"/>
      <c r="I6" s="60">
        <f>I5-I15-I21-I27-I33-I39</f>
        <v>0</v>
      </c>
      <c r="J6" s="60">
        <f t="shared" ref="J6:AG6" si="0">J5-J15-J21-J27-J33-J39</f>
        <v>0</v>
      </c>
      <c r="K6" s="60">
        <f t="shared" si="0"/>
        <v>0</v>
      </c>
      <c r="L6" s="60">
        <f t="shared" si="0"/>
        <v>0</v>
      </c>
      <c r="M6" s="60">
        <f t="shared" si="0"/>
        <v>0</v>
      </c>
      <c r="N6" s="60">
        <f t="shared" si="0"/>
        <v>0</v>
      </c>
      <c r="O6" s="60">
        <f t="shared" si="0"/>
        <v>0</v>
      </c>
      <c r="P6" s="60">
        <f t="shared" si="0"/>
        <v>0</v>
      </c>
      <c r="Q6" s="60">
        <f t="shared" si="0"/>
        <v>0</v>
      </c>
      <c r="R6" s="60">
        <f t="shared" si="0"/>
        <v>0</v>
      </c>
      <c r="S6" s="60">
        <f t="shared" si="0"/>
        <v>0</v>
      </c>
      <c r="T6" s="60">
        <f t="shared" si="0"/>
        <v>0</v>
      </c>
      <c r="U6" s="60">
        <f t="shared" si="0"/>
        <v>0</v>
      </c>
      <c r="V6" s="60">
        <f t="shared" si="0"/>
        <v>0</v>
      </c>
      <c r="W6" s="60">
        <f t="shared" si="0"/>
        <v>0</v>
      </c>
      <c r="X6" s="60">
        <f t="shared" si="0"/>
        <v>0</v>
      </c>
      <c r="Y6" s="60">
        <f t="shared" si="0"/>
        <v>0</v>
      </c>
      <c r="Z6" s="60">
        <f t="shared" si="0"/>
        <v>0</v>
      </c>
      <c r="AA6" s="60">
        <f t="shared" si="0"/>
        <v>0</v>
      </c>
      <c r="AB6" s="60">
        <f t="shared" si="0"/>
        <v>0</v>
      </c>
      <c r="AC6" s="60">
        <f t="shared" si="0"/>
        <v>0</v>
      </c>
      <c r="AD6" s="60">
        <f t="shared" si="0"/>
        <v>0</v>
      </c>
      <c r="AE6" s="60">
        <f t="shared" si="0"/>
        <v>0</v>
      </c>
      <c r="AF6" s="60">
        <f t="shared" si="0"/>
        <v>0</v>
      </c>
      <c r="AG6" s="60">
        <f t="shared" si="0"/>
        <v>0</v>
      </c>
      <c r="AH6" s="60">
        <f>AH5-AH15-AH21-AH27-AH33-AH39</f>
        <v>0</v>
      </c>
      <c r="AI6" s="60">
        <f>AI5-AI15-AI21-AI27-AI33-AI39</f>
        <v>0</v>
      </c>
      <c r="AJ6" s="60">
        <f>SUM(I6:AI6)</f>
        <v>0</v>
      </c>
      <c r="AM6" s="13"/>
    </row>
    <row r="7" spans="1:74" ht="18">
      <c r="B7" s="13" t="s">
        <v>112</v>
      </c>
      <c r="C7" s="26" t="s">
        <v>56</v>
      </c>
      <c r="E7" s="31" t="s">
        <v>113</v>
      </c>
      <c r="F7" s="32"/>
      <c r="G7" s="32"/>
      <c r="H7" s="33"/>
      <c r="I7" s="61">
        <f>IFERROR(CEILING(I6/I8,1),0)</f>
        <v>0</v>
      </c>
      <c r="J7" s="61">
        <f t="shared" ref="J7:AI7" si="1">IFERROR(CEILING(J6/J8,1),0)</f>
        <v>0</v>
      </c>
      <c r="K7" s="61">
        <f t="shared" si="1"/>
        <v>0</v>
      </c>
      <c r="L7" s="61">
        <f t="shared" si="1"/>
        <v>0</v>
      </c>
      <c r="M7" s="61">
        <f t="shared" si="1"/>
        <v>0</v>
      </c>
      <c r="N7" s="61">
        <f t="shared" si="1"/>
        <v>0</v>
      </c>
      <c r="O7" s="61">
        <f t="shared" si="1"/>
        <v>0</v>
      </c>
      <c r="P7" s="61">
        <f t="shared" si="1"/>
        <v>0</v>
      </c>
      <c r="Q7" s="61">
        <f t="shared" si="1"/>
        <v>0</v>
      </c>
      <c r="R7" s="61">
        <f t="shared" si="1"/>
        <v>0</v>
      </c>
      <c r="S7" s="61">
        <f t="shared" si="1"/>
        <v>0</v>
      </c>
      <c r="T7" s="61">
        <f t="shared" si="1"/>
        <v>0</v>
      </c>
      <c r="U7" s="61">
        <f t="shared" si="1"/>
        <v>0</v>
      </c>
      <c r="V7" s="61">
        <f t="shared" si="1"/>
        <v>0</v>
      </c>
      <c r="W7" s="61">
        <f t="shared" si="1"/>
        <v>0</v>
      </c>
      <c r="X7" s="61">
        <f t="shared" si="1"/>
        <v>0</v>
      </c>
      <c r="Y7" s="61">
        <f t="shared" si="1"/>
        <v>0</v>
      </c>
      <c r="Z7" s="61">
        <f t="shared" si="1"/>
        <v>0</v>
      </c>
      <c r="AA7" s="61">
        <f t="shared" si="1"/>
        <v>0</v>
      </c>
      <c r="AB7" s="61">
        <f t="shared" si="1"/>
        <v>0</v>
      </c>
      <c r="AC7" s="61">
        <f t="shared" si="1"/>
        <v>0</v>
      </c>
      <c r="AD7" s="61">
        <f t="shared" si="1"/>
        <v>0</v>
      </c>
      <c r="AE7" s="61">
        <f t="shared" si="1"/>
        <v>0</v>
      </c>
      <c r="AF7" s="61">
        <f t="shared" si="1"/>
        <v>0</v>
      </c>
      <c r="AG7" s="61">
        <f t="shared" si="1"/>
        <v>0</v>
      </c>
      <c r="AH7" s="61">
        <f t="shared" si="1"/>
        <v>0</v>
      </c>
      <c r="AI7" s="61">
        <f t="shared" si="1"/>
        <v>0</v>
      </c>
      <c r="AJ7" s="60">
        <f t="shared" ref="AJ7:AJ8" si="2">SUM(I7:AI7)</f>
        <v>0</v>
      </c>
      <c r="AM7" s="13"/>
    </row>
    <row r="8" spans="1:74" ht="18">
      <c r="B8" s="13" t="s">
        <v>114</v>
      </c>
      <c r="C8" s="4" t="str" cm="1">
        <f t="array" ref="C8">_xlfn._xlws.FILTER(StyleNameTable[Last Number],StyleNameTable[Style Name]='Condor 432 prs'!C7)</f>
        <v>USB004CTS</v>
      </c>
      <c r="E8" s="34" t="s">
        <v>115</v>
      </c>
      <c r="F8" s="35"/>
      <c r="G8" s="35"/>
      <c r="H8" s="36"/>
      <c r="I8" s="57" t="str">
        <f>INDEX(LastTable[[3]:[16]],MATCH('Condor 432 prs'!$C$8,LastTable[Last Number],0),MATCH('Condor 432 prs'!I$9,LastTable[[#Headers],[3]:[16]],0))</f>
        <v/>
      </c>
      <c r="J8" s="59" t="str">
        <f>INDEX(LastTable[[3]:[16]],MATCH('Condor 432 prs'!$C$8,LastTable[Last Number],0),MATCH('Condor 432 prs'!J$9,LastTable[[#Headers],[3]:[16]],0))</f>
        <v/>
      </c>
      <c r="K8" s="59" t="str">
        <f>INDEX(LastTable[[3]:[16]],MATCH('Condor 432 prs'!$C$8,LastTable[Last Number],0),MATCH('Condor 432 prs'!K$9,LastTable[[#Headers],[3]:[16]],0))</f>
        <v/>
      </c>
      <c r="L8" s="59" t="str">
        <f>INDEX(LastTable[[3]:[16]],MATCH('Condor 432 prs'!$C$8,LastTable[Last Number],0),MATCH('Condor 432 prs'!L$9,LastTable[[#Headers],[3]:[16]],0))</f>
        <v/>
      </c>
      <c r="M8" s="59" t="str">
        <f>INDEX(LastTable[[3]:[16]],MATCH('Condor 432 prs'!$C$8,LastTable[Last Number],0),MATCH('Condor 432 prs'!M$9,LastTable[[#Headers],[3]:[16]],0))</f>
        <v/>
      </c>
      <c r="N8" s="59" t="str">
        <f>INDEX(LastTable[[3]:[16]],MATCH('Condor 432 prs'!$C$8,LastTable[Last Number],0),MATCH('Condor 432 prs'!N$9,LastTable[[#Headers],[3]:[16]],0))</f>
        <v/>
      </c>
      <c r="O8" s="59" t="str">
        <f>INDEX(LastTable[[3]:[16]],MATCH('Condor 432 prs'!$C$8,LastTable[Last Number],0),MATCH('Condor 432 prs'!O$9,LastTable[[#Headers],[3]:[16]],0))</f>
        <v/>
      </c>
      <c r="P8" s="59" t="str">
        <f>INDEX(LastTable[[3]:[16]],MATCH('Condor 432 prs'!$C$8,LastTable[Last Number],0),MATCH('Condor 432 prs'!P$9,LastTable[[#Headers],[3]:[16]],0))</f>
        <v/>
      </c>
      <c r="Q8" s="59">
        <f>INDEX(LastTable[[3]:[16]],MATCH('Condor 432 prs'!$C$8,LastTable[Last Number],0),MATCH('Condor 432 prs'!Q$9,LastTable[[#Headers],[3]:[16]],0))</f>
        <v>6</v>
      </c>
      <c r="R8" s="59">
        <f>INDEX(LastTable[[3]:[16]],MATCH('Condor 432 prs'!$C$8,LastTable[Last Number],0),MATCH('Condor 432 prs'!R$9,LastTable[[#Headers],[3]:[16]],0))</f>
        <v>6</v>
      </c>
      <c r="S8" s="59">
        <f>INDEX(LastTable[[3]:[16]],MATCH('Condor 432 prs'!$C$8,LastTable[Last Number],0),MATCH('Condor 432 prs'!S$9,LastTable[[#Headers],[3]:[16]],0))</f>
        <v>6</v>
      </c>
      <c r="T8" s="59">
        <f>INDEX(LastTable[[3]:[16]],MATCH('Condor 432 prs'!$C$8,LastTable[Last Number],0),MATCH('Condor 432 prs'!T$9,LastTable[[#Headers],[3]:[16]],0))</f>
        <v>6</v>
      </c>
      <c r="U8" s="59">
        <f>INDEX(LastTable[[3]:[16]],MATCH('Condor 432 prs'!$C$8,LastTable[Last Number],0),MATCH('Condor 432 prs'!U$9,LastTable[[#Headers],[3]:[16]],0))</f>
        <v>6</v>
      </c>
      <c r="V8" s="59">
        <f>INDEX(LastTable[[3]:[16]],MATCH('Condor 432 prs'!$C$8,LastTable[Last Number],0),MATCH('Condor 432 prs'!V$9,LastTable[[#Headers],[3]:[16]],0))</f>
        <v>6</v>
      </c>
      <c r="W8" s="59">
        <f>INDEX(LastTable[[3]:[16]],MATCH('Condor 432 prs'!$C$8,LastTable[Last Number],0),MATCH('Condor 432 prs'!W$9,LastTable[[#Headers],[3]:[16]],0))</f>
        <v>12</v>
      </c>
      <c r="X8" s="59">
        <f>INDEX(LastTable[[3]:[16]],MATCH('Condor 432 prs'!$C$8,LastTable[Last Number],0),MATCH('Condor 432 prs'!X$9,LastTable[[#Headers],[3]:[16]],0))</f>
        <v>12</v>
      </c>
      <c r="Y8" s="59">
        <f>INDEX(LastTable[[3]:[16]],MATCH('Condor 432 prs'!$C$8,LastTable[Last Number],0),MATCH('Condor 432 prs'!Y$9,LastTable[[#Headers],[3]:[16]],0))</f>
        <v>12</v>
      </c>
      <c r="Z8" s="59">
        <f>INDEX(LastTable[[3]:[16]],MATCH('Condor 432 prs'!$C$8,LastTable[Last Number],0),MATCH('Condor 432 prs'!Z$9,LastTable[[#Headers],[3]:[16]],0))</f>
        <v>6</v>
      </c>
      <c r="AA8" s="59">
        <f>INDEX(LastTable[[3]:[16]],MATCH('Condor 432 prs'!$C$8,LastTable[Last Number],0),MATCH('Condor 432 prs'!AA$9,LastTable[[#Headers],[3]:[16]],0))</f>
        <v>12</v>
      </c>
      <c r="AB8" s="59" t="str">
        <f>INDEX(LastTable[[3]:[16]],MATCH('Condor 432 prs'!$C$8,LastTable[Last Number],0),MATCH('Condor 432 prs'!AB$9,LastTable[[#Headers],[3]:[16]],0))</f>
        <v/>
      </c>
      <c r="AC8" s="59">
        <f>INDEX(LastTable[[3]:[16]],MATCH('Condor 432 prs'!$C$8,LastTable[Last Number],0),MATCH('Condor 432 prs'!AC$9,LastTable[[#Headers],[3]:[16]],0))</f>
        <v>6</v>
      </c>
      <c r="AD8" s="59" t="str">
        <f>INDEX(LastTable[[3]:[16]],MATCH('Condor 432 prs'!$C$8,LastTable[Last Number],0),MATCH('Condor 432 prs'!AD$9,LastTable[[#Headers],[3]:[16]],0))</f>
        <v/>
      </c>
      <c r="AE8" s="59">
        <f>INDEX(LastTable[[3]:[16]],MATCH('Condor 432 prs'!$C$8,LastTable[Last Number],0),MATCH('Condor 432 prs'!AE$9,LastTable[[#Headers],[3]:[16]],0))</f>
        <v>6</v>
      </c>
      <c r="AF8" s="59" t="str">
        <f>INDEX(LastTable[[3]:[16]],MATCH('Condor 432 prs'!$C$8,LastTable[Last Number],0),MATCH('Condor 432 prs'!AF$9,LastTable[[#Headers],[3]:[16]],0))</f>
        <v/>
      </c>
      <c r="AG8" s="59" t="str">
        <f>INDEX(LastTable[[3]:[16]],MATCH('Condor 432 prs'!$C$8,LastTable[Last Number],0),MATCH('Condor 432 prs'!AG$9,LastTable[[#Headers],[3]:[16]],0))</f>
        <v/>
      </c>
      <c r="AH8" s="59" t="str">
        <f>INDEX(LastTable[[3]:[16]],MATCH('Condor 432 prs'!$C$8,LastTable[Last Number],0),MATCH('Condor 432 prs'!AH$9,LastTable[[#Headers],[3]:[16]],0))</f>
        <v/>
      </c>
      <c r="AI8" s="59" t="str">
        <f>INDEX(LastTable[[3]:[16]],MATCH('Condor 432 prs'!$C$8,LastTable[Last Number],0),MATCH('Condor 432 prs'!AI$9,LastTable[[#Headers],[3]:[16]],0))</f>
        <v/>
      </c>
      <c r="AJ8" s="59">
        <f t="shared" si="2"/>
        <v>102</v>
      </c>
    </row>
    <row r="9" spans="1:74" ht="30" customHeight="1">
      <c r="B9" s="13" t="s">
        <v>116</v>
      </c>
      <c r="C9" s="62" t="str" cm="1">
        <f t="array" ref="C9">_xlfn._xlws.FILTER(StyleNameTable[Style Number],StyleNameTable[Style Name]='Condor 432 prs'!C7)</f>
        <v>27291</v>
      </c>
      <c r="E9" s="3" t="s">
        <v>4</v>
      </c>
      <c r="F9" s="3" t="s">
        <v>117</v>
      </c>
      <c r="G9" s="3" t="s">
        <v>118</v>
      </c>
      <c r="H9" s="3" t="s">
        <v>119</v>
      </c>
      <c r="I9" s="56" t="s">
        <v>78</v>
      </c>
      <c r="J9" s="56" t="s">
        <v>79</v>
      </c>
      <c r="K9" s="56" t="s">
        <v>80</v>
      </c>
      <c r="L9" s="56" t="s">
        <v>81</v>
      </c>
      <c r="M9" s="56" t="s">
        <v>82</v>
      </c>
      <c r="N9" s="56" t="s">
        <v>83</v>
      </c>
      <c r="O9" s="56" t="s">
        <v>84</v>
      </c>
      <c r="P9" s="56" t="s">
        <v>85</v>
      </c>
      <c r="Q9" s="56" t="s">
        <v>86</v>
      </c>
      <c r="R9" s="56" t="s">
        <v>87</v>
      </c>
      <c r="S9" s="56" t="s">
        <v>88</v>
      </c>
      <c r="T9" s="56" t="s">
        <v>89</v>
      </c>
      <c r="U9" s="56" t="s">
        <v>90</v>
      </c>
      <c r="V9" s="56" t="s">
        <v>91</v>
      </c>
      <c r="W9" s="56" t="s">
        <v>92</v>
      </c>
      <c r="X9" s="56" t="s">
        <v>93</v>
      </c>
      <c r="Y9" s="56" t="s">
        <v>94</v>
      </c>
      <c r="Z9" s="56" t="s">
        <v>95</v>
      </c>
      <c r="AA9" s="56" t="s">
        <v>96</v>
      </c>
      <c r="AB9" s="56" t="s">
        <v>97</v>
      </c>
      <c r="AC9" s="56" t="s">
        <v>98</v>
      </c>
      <c r="AD9" s="56" t="s">
        <v>99</v>
      </c>
      <c r="AE9" s="56" t="s">
        <v>100</v>
      </c>
      <c r="AF9" s="56" t="s">
        <v>101</v>
      </c>
      <c r="AG9" s="56" t="s">
        <v>102</v>
      </c>
      <c r="AH9" s="56" t="s">
        <v>103</v>
      </c>
      <c r="AI9" s="56" t="s">
        <v>104</v>
      </c>
      <c r="AJ9" s="3" t="s">
        <v>105</v>
      </c>
    </row>
    <row r="10" spans="1:74" ht="25" customHeight="1">
      <c r="B10" s="13" t="s">
        <v>120</v>
      </c>
      <c r="C10" s="2">
        <f>VLOOKUP($C$8,StyleNameTable[[#All],[Last Number]:[Note]],6,0)</f>
        <v>0</v>
      </c>
      <c r="E10" s="41"/>
      <c r="F10" s="41"/>
      <c r="G10" s="41"/>
      <c r="H10" s="46" t="s">
        <v>121</v>
      </c>
      <c r="I10" s="59"/>
      <c r="J10" s="59"/>
      <c r="K10" s="59"/>
      <c r="L10" s="87"/>
      <c r="M10" s="87"/>
      <c r="N10" s="87"/>
      <c r="O10" s="87"/>
      <c r="P10" s="87"/>
      <c r="Q10" s="87"/>
      <c r="R10" s="87"/>
      <c r="S10" s="87">
        <v>6</v>
      </c>
      <c r="T10" s="91"/>
      <c r="U10" s="66">
        <v>12</v>
      </c>
      <c r="V10" s="87"/>
      <c r="W10" s="87">
        <v>12</v>
      </c>
      <c r="X10" s="87">
        <v>6</v>
      </c>
      <c r="Y10" s="88"/>
      <c r="Z10" s="88">
        <v>6</v>
      </c>
      <c r="AA10" s="87">
        <v>12</v>
      </c>
      <c r="AB10" s="88"/>
      <c r="AC10" s="88">
        <v>6</v>
      </c>
      <c r="AD10" s="87"/>
      <c r="AE10" s="87"/>
      <c r="AF10" s="87"/>
      <c r="AG10" s="87"/>
      <c r="AH10" s="87"/>
      <c r="AI10" s="87"/>
      <c r="AJ10" s="47">
        <f t="shared" ref="AJ10:AJ39" si="3">SUM(I10:AI10)</f>
        <v>60</v>
      </c>
      <c r="AM10" s="7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</row>
    <row r="11" spans="1:74" ht="25" customHeight="1">
      <c r="B11" s="13" t="s">
        <v>304</v>
      </c>
      <c r="C11" s="26"/>
      <c r="E11" s="51"/>
      <c r="F11" s="51"/>
      <c r="G11" s="58" t="str">
        <f>$C$6</f>
        <v>US Boot</v>
      </c>
      <c r="H11" s="48" t="s">
        <v>124</v>
      </c>
      <c r="I11" s="59"/>
      <c r="J11" s="59"/>
      <c r="K11" s="59"/>
      <c r="L11" s="87"/>
      <c r="M11" s="87"/>
      <c r="N11" s="87"/>
      <c r="O11" s="87"/>
      <c r="P11" s="87"/>
      <c r="Q11" s="87"/>
      <c r="R11" s="87"/>
      <c r="S11" s="87">
        <v>6</v>
      </c>
      <c r="T11" s="91"/>
      <c r="U11" s="66">
        <v>12</v>
      </c>
      <c r="V11" s="87"/>
      <c r="W11" s="87">
        <v>12</v>
      </c>
      <c r="X11" s="87">
        <v>6</v>
      </c>
      <c r="Y11" s="88"/>
      <c r="Z11" s="88">
        <v>6</v>
      </c>
      <c r="AA11" s="87">
        <v>12</v>
      </c>
      <c r="AB11" s="88"/>
      <c r="AC11" s="88">
        <v>6</v>
      </c>
      <c r="AD11" s="87"/>
      <c r="AE11" s="87"/>
      <c r="AF11" s="87"/>
      <c r="AG11" s="87"/>
      <c r="AH11" s="87"/>
      <c r="AI11" s="89"/>
      <c r="AJ11" s="47">
        <f t="shared" si="3"/>
        <v>60</v>
      </c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</row>
    <row r="12" spans="1:74" ht="25" customHeight="1">
      <c r="E12" s="53" t="str">
        <f>TEXT(C4,"mmm dd")</f>
        <v>Jan 00</v>
      </c>
      <c r="F12" s="53" t="str">
        <f>TEXT(WEEKDAY(E12),"ddd")</f>
        <v>Sat</v>
      </c>
      <c r="G12" s="58" t="str">
        <f>$C$7</f>
        <v>Condor Wellington</v>
      </c>
      <c r="H12" s="46" t="s">
        <v>126</v>
      </c>
      <c r="I12" s="59"/>
      <c r="J12" s="59"/>
      <c r="K12" s="59"/>
      <c r="L12" s="87"/>
      <c r="M12" s="87"/>
      <c r="N12" s="87"/>
      <c r="O12" s="87"/>
      <c r="P12" s="87"/>
      <c r="Q12" s="87"/>
      <c r="R12" s="87"/>
      <c r="S12" s="87">
        <v>6</v>
      </c>
      <c r="T12" s="91"/>
      <c r="U12" s="66">
        <v>12</v>
      </c>
      <c r="V12" s="87"/>
      <c r="W12" s="87">
        <v>12</v>
      </c>
      <c r="X12" s="87">
        <v>6</v>
      </c>
      <c r="Y12" s="88"/>
      <c r="Z12" s="88">
        <v>6</v>
      </c>
      <c r="AA12" s="88">
        <v>6</v>
      </c>
      <c r="AB12" s="88"/>
      <c r="AC12" s="88">
        <v>6</v>
      </c>
      <c r="AD12" s="87"/>
      <c r="AE12" s="87"/>
      <c r="AF12" s="87"/>
      <c r="AG12" s="87"/>
      <c r="AH12" s="87"/>
      <c r="AI12" s="87"/>
      <c r="AJ12" s="47">
        <f t="shared" si="3"/>
        <v>54</v>
      </c>
      <c r="BR12"/>
      <c r="BS12"/>
      <c r="BT12"/>
      <c r="BU12"/>
      <c r="BV12"/>
    </row>
    <row r="13" spans="1:74" ht="25" customHeight="1">
      <c r="A13" s="12" t="s">
        <v>122</v>
      </c>
      <c r="B13" s="8" t="s">
        <v>123</v>
      </c>
      <c r="E13" s="51"/>
      <c r="F13" s="51"/>
      <c r="G13" s="58" t="str">
        <f>"Style#: "&amp;$C$9</f>
        <v>Style#: 27291</v>
      </c>
      <c r="H13" s="46" t="s">
        <v>127</v>
      </c>
      <c r="I13" s="59"/>
      <c r="J13" s="59"/>
      <c r="K13" s="59"/>
      <c r="L13" s="87"/>
      <c r="M13" s="87"/>
      <c r="N13" s="87"/>
      <c r="O13" s="87"/>
      <c r="P13" s="87"/>
      <c r="Q13" s="87"/>
      <c r="R13" s="87"/>
      <c r="S13" s="87">
        <v>6</v>
      </c>
      <c r="T13" s="91"/>
      <c r="U13" s="66">
        <v>12</v>
      </c>
      <c r="V13" s="87"/>
      <c r="W13" s="87">
        <v>12</v>
      </c>
      <c r="X13" s="87">
        <v>6</v>
      </c>
      <c r="Y13" s="88"/>
      <c r="Z13" s="88">
        <v>6</v>
      </c>
      <c r="AA13" s="88">
        <v>6</v>
      </c>
      <c r="AB13" s="88"/>
      <c r="AC13" s="88">
        <v>6</v>
      </c>
      <c r="AD13" s="87"/>
      <c r="AE13" s="87"/>
      <c r="AF13" s="87"/>
      <c r="AG13" s="87"/>
      <c r="AH13" s="87"/>
      <c r="AI13" s="87"/>
      <c r="AJ13" s="47">
        <f t="shared" si="3"/>
        <v>54</v>
      </c>
      <c r="BR13"/>
      <c r="BS13"/>
      <c r="BT13"/>
      <c r="BU13"/>
      <c r="BV13"/>
    </row>
    <row r="14" spans="1:74" ht="25" customHeight="1">
      <c r="B14" s="8" t="s">
        <v>125</v>
      </c>
      <c r="E14" s="51"/>
      <c r="F14" s="51"/>
      <c r="G14" s="58" t="str">
        <f>"Last: "&amp;$C$8</f>
        <v>Last: USB004CTS</v>
      </c>
      <c r="H14" s="48" t="s">
        <v>129</v>
      </c>
      <c r="I14" s="59"/>
      <c r="J14" s="59"/>
      <c r="K14" s="59"/>
      <c r="L14" s="87"/>
      <c r="M14" s="87"/>
      <c r="N14" s="87"/>
      <c r="O14" s="87"/>
      <c r="P14" s="87"/>
      <c r="Q14" s="87"/>
      <c r="R14" s="87"/>
      <c r="S14" s="87"/>
      <c r="T14" s="91"/>
      <c r="U14" s="66">
        <v>12</v>
      </c>
      <c r="V14" s="87"/>
      <c r="W14" s="87">
        <v>6</v>
      </c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47">
        <f t="shared" si="3"/>
        <v>18</v>
      </c>
      <c r="BR14"/>
      <c r="BS14"/>
      <c r="BT14"/>
      <c r="BU14"/>
      <c r="BV14"/>
    </row>
    <row r="15" spans="1:74" ht="25" customHeight="1">
      <c r="E15" s="52"/>
      <c r="F15" s="52"/>
      <c r="G15" s="52"/>
      <c r="H15" s="49" t="s">
        <v>105</v>
      </c>
      <c r="I15" s="50">
        <f t="shared" ref="I15:AI15" si="4">SUM(I10:I14)</f>
        <v>0</v>
      </c>
      <c r="J15" s="50">
        <f t="shared" si="4"/>
        <v>0</v>
      </c>
      <c r="K15" s="50">
        <f t="shared" si="4"/>
        <v>0</v>
      </c>
      <c r="L15" s="50">
        <f t="shared" si="4"/>
        <v>0</v>
      </c>
      <c r="M15" s="50">
        <f t="shared" si="4"/>
        <v>0</v>
      </c>
      <c r="N15" s="50">
        <f t="shared" si="4"/>
        <v>0</v>
      </c>
      <c r="O15" s="50">
        <f t="shared" si="4"/>
        <v>0</v>
      </c>
      <c r="P15" s="50">
        <f t="shared" si="4"/>
        <v>0</v>
      </c>
      <c r="Q15" s="50">
        <f t="shared" si="4"/>
        <v>0</v>
      </c>
      <c r="R15" s="50">
        <f t="shared" si="4"/>
        <v>0</v>
      </c>
      <c r="S15" s="50">
        <f t="shared" si="4"/>
        <v>24</v>
      </c>
      <c r="T15" s="50">
        <f t="shared" si="4"/>
        <v>0</v>
      </c>
      <c r="U15" s="50">
        <f t="shared" si="4"/>
        <v>60</v>
      </c>
      <c r="V15" s="50">
        <f t="shared" si="4"/>
        <v>0</v>
      </c>
      <c r="W15" s="50">
        <f t="shared" si="4"/>
        <v>54</v>
      </c>
      <c r="X15" s="50">
        <f t="shared" si="4"/>
        <v>24</v>
      </c>
      <c r="Y15" s="50">
        <f t="shared" si="4"/>
        <v>0</v>
      </c>
      <c r="Z15" s="50">
        <f t="shared" si="4"/>
        <v>24</v>
      </c>
      <c r="AA15" s="50">
        <f t="shared" si="4"/>
        <v>36</v>
      </c>
      <c r="AB15" s="50">
        <f t="shared" si="4"/>
        <v>0</v>
      </c>
      <c r="AC15" s="50">
        <f t="shared" si="4"/>
        <v>24</v>
      </c>
      <c r="AD15" s="50">
        <f t="shared" si="4"/>
        <v>0</v>
      </c>
      <c r="AE15" s="50">
        <f t="shared" si="4"/>
        <v>0</v>
      </c>
      <c r="AF15" s="50">
        <f t="shared" si="4"/>
        <v>0</v>
      </c>
      <c r="AG15" s="50">
        <f t="shared" si="4"/>
        <v>0</v>
      </c>
      <c r="AH15" s="50">
        <f t="shared" si="4"/>
        <v>0</v>
      </c>
      <c r="AI15" s="50">
        <f t="shared" si="4"/>
        <v>0</v>
      </c>
      <c r="AJ15" s="50">
        <f t="shared" si="3"/>
        <v>246</v>
      </c>
      <c r="BR15"/>
      <c r="BS15"/>
      <c r="BT15"/>
      <c r="BU15"/>
      <c r="BV15"/>
    </row>
    <row r="16" spans="1:74" ht="25" customHeight="1">
      <c r="B16" s="62" t="s">
        <v>128</v>
      </c>
      <c r="E16" s="41"/>
      <c r="F16" s="41"/>
      <c r="G16" s="41"/>
      <c r="H16" s="46" t="s">
        <v>121</v>
      </c>
      <c r="I16" s="57"/>
      <c r="J16" s="57"/>
      <c r="K16" s="57"/>
      <c r="L16" s="87"/>
      <c r="M16" s="87"/>
      <c r="N16" s="87"/>
      <c r="O16" s="87"/>
      <c r="P16" s="87"/>
      <c r="Q16" s="87"/>
      <c r="R16" s="87"/>
      <c r="S16" s="87"/>
      <c r="T16" s="87">
        <v>6</v>
      </c>
      <c r="U16" s="91"/>
      <c r="V16" s="66">
        <v>12</v>
      </c>
      <c r="W16" s="87">
        <v>6</v>
      </c>
      <c r="X16" s="87"/>
      <c r="Y16" s="88"/>
      <c r="Z16" s="88">
        <v>6</v>
      </c>
      <c r="AA16" s="88">
        <v>6</v>
      </c>
      <c r="AB16" s="88"/>
      <c r="AC16" s="88">
        <v>6</v>
      </c>
      <c r="AD16" s="87"/>
      <c r="AE16" s="87">
        <v>6</v>
      </c>
      <c r="AF16" s="87"/>
      <c r="AG16" s="87"/>
      <c r="AH16" s="87"/>
      <c r="AI16" s="90"/>
      <c r="AJ16" s="47">
        <f t="shared" si="3"/>
        <v>48</v>
      </c>
      <c r="BR16"/>
      <c r="BS16"/>
      <c r="BT16"/>
      <c r="BU16"/>
      <c r="BV16"/>
    </row>
    <row r="17" spans="2:74" ht="25" customHeight="1">
      <c r="B17" s="68"/>
      <c r="C17" s="1" t="s">
        <v>130</v>
      </c>
      <c r="E17" s="51"/>
      <c r="F17" s="51"/>
      <c r="G17" s="58" t="str">
        <f>$C$6</f>
        <v>US Boot</v>
      </c>
      <c r="H17" s="48" t="s">
        <v>124</v>
      </c>
      <c r="I17" s="57"/>
      <c r="J17" s="57"/>
      <c r="K17" s="57"/>
      <c r="L17" s="87"/>
      <c r="M17" s="87"/>
      <c r="N17" s="87"/>
      <c r="O17" s="87"/>
      <c r="P17" s="87"/>
      <c r="Q17" s="87"/>
      <c r="R17" s="87"/>
      <c r="S17" s="87"/>
      <c r="T17" s="87">
        <v>6</v>
      </c>
      <c r="U17" s="91"/>
      <c r="V17" s="66">
        <v>12</v>
      </c>
      <c r="W17" s="87">
        <v>6</v>
      </c>
      <c r="X17" s="87"/>
      <c r="Y17" s="88"/>
      <c r="Z17" s="88">
        <v>6</v>
      </c>
      <c r="AA17" s="88">
        <v>6</v>
      </c>
      <c r="AB17" s="88"/>
      <c r="AC17" s="88">
        <v>6</v>
      </c>
      <c r="AD17" s="87"/>
      <c r="AE17" s="87">
        <v>6</v>
      </c>
      <c r="AF17" s="87"/>
      <c r="AG17" s="87"/>
      <c r="AH17" s="87"/>
      <c r="AI17" s="90"/>
      <c r="AJ17" s="47">
        <f t="shared" si="3"/>
        <v>48</v>
      </c>
      <c r="BR17"/>
      <c r="BS17"/>
      <c r="BT17"/>
      <c r="BU17"/>
      <c r="BV17"/>
    </row>
    <row r="18" spans="2:74" ht="25" customHeight="1">
      <c r="B18" s="66">
        <v>6</v>
      </c>
      <c r="C18" s="1" t="s">
        <v>131</v>
      </c>
      <c r="E18" s="53" t="str">
        <f>TEXT(IF(WEEKDAY(E12)=6,E12+3,E12+1),"mmm dd")</f>
        <v>Jan 02</v>
      </c>
      <c r="F18" s="53" t="str">
        <f>TEXT(WEEKDAY(E18),"ddd")</f>
        <v>Fri</v>
      </c>
      <c r="G18" s="58" t="str">
        <f>$C$7</f>
        <v>Condor Wellington</v>
      </c>
      <c r="H18" s="46" t="s">
        <v>126</v>
      </c>
      <c r="I18" s="57"/>
      <c r="J18" s="57"/>
      <c r="K18" s="57"/>
      <c r="L18" s="87"/>
      <c r="M18" s="87"/>
      <c r="N18" s="87"/>
      <c r="O18" s="87"/>
      <c r="P18" s="87"/>
      <c r="Q18" s="87"/>
      <c r="R18" s="87"/>
      <c r="S18" s="87"/>
      <c r="T18" s="87">
        <v>6</v>
      </c>
      <c r="U18" s="91"/>
      <c r="V18" s="66">
        <v>12</v>
      </c>
      <c r="W18" s="87">
        <v>6</v>
      </c>
      <c r="X18" s="87"/>
      <c r="Y18" s="88"/>
      <c r="Z18" s="88">
        <v>6</v>
      </c>
      <c r="AA18" s="88">
        <v>6</v>
      </c>
      <c r="AB18" s="88"/>
      <c r="AC18" s="88">
        <v>6</v>
      </c>
      <c r="AD18" s="87"/>
      <c r="AE18" s="87">
        <v>6</v>
      </c>
      <c r="AF18" s="87"/>
      <c r="AG18" s="87"/>
      <c r="AH18" s="87"/>
      <c r="AI18" s="87"/>
      <c r="AJ18" s="47">
        <f t="shared" si="3"/>
        <v>48</v>
      </c>
      <c r="BR18"/>
      <c r="BS18"/>
      <c r="BT18"/>
      <c r="BU18"/>
      <c r="BV18"/>
    </row>
    <row r="19" spans="2:74" ht="25" customHeight="1">
      <c r="E19" s="51"/>
      <c r="F19" s="51"/>
      <c r="G19" s="58" t="str">
        <f>"Style#: "&amp;$C$9</f>
        <v>Style#: 27291</v>
      </c>
      <c r="H19" s="46" t="s">
        <v>127</v>
      </c>
      <c r="I19" s="57"/>
      <c r="J19" s="57"/>
      <c r="K19" s="57"/>
      <c r="L19" s="87"/>
      <c r="M19" s="87"/>
      <c r="N19" s="87"/>
      <c r="O19" s="87"/>
      <c r="P19" s="87"/>
      <c r="Q19" s="87"/>
      <c r="R19" s="87"/>
      <c r="S19" s="87"/>
      <c r="T19" s="87">
        <v>6</v>
      </c>
      <c r="U19" s="91"/>
      <c r="V19" s="66">
        <v>12</v>
      </c>
      <c r="W19" s="87">
        <v>6</v>
      </c>
      <c r="X19" s="87"/>
      <c r="Y19" s="88"/>
      <c r="Z19" s="88"/>
      <c r="AA19" s="88">
        <v>6</v>
      </c>
      <c r="AB19" s="88"/>
      <c r="AC19" s="88"/>
      <c r="AD19" s="87"/>
      <c r="AE19" s="87"/>
      <c r="AF19" s="87"/>
      <c r="AG19" s="87"/>
      <c r="AH19" s="87"/>
      <c r="AI19" s="87"/>
      <c r="AJ19" s="47">
        <f t="shared" si="3"/>
        <v>30</v>
      </c>
      <c r="BR19"/>
      <c r="BS19"/>
      <c r="BT19"/>
      <c r="BU19"/>
      <c r="BV19"/>
    </row>
    <row r="20" spans="2:74" ht="25" customHeight="1">
      <c r="E20" s="51"/>
      <c r="F20" s="51"/>
      <c r="G20" s="58" t="str">
        <f>"Last: "&amp;$C$8</f>
        <v>Last: USB004CTS</v>
      </c>
      <c r="H20" s="48" t="s">
        <v>129</v>
      </c>
      <c r="I20" s="57"/>
      <c r="J20" s="57"/>
      <c r="K20" s="5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>
        <v>6</v>
      </c>
      <c r="W20" s="87">
        <v>6</v>
      </c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47">
        <f t="shared" si="3"/>
        <v>12</v>
      </c>
      <c r="BR20"/>
      <c r="BS20"/>
      <c r="BT20"/>
      <c r="BU20"/>
      <c r="BV20"/>
    </row>
    <row r="21" spans="2:74" ht="25" customHeight="1">
      <c r="E21" s="52"/>
      <c r="F21" s="52"/>
      <c r="G21" s="52"/>
      <c r="H21" s="49" t="s">
        <v>105</v>
      </c>
      <c r="I21" s="50">
        <f t="shared" ref="I21:AI21" si="5">SUM(I16:I20)</f>
        <v>0</v>
      </c>
      <c r="J21" s="50">
        <f t="shared" si="5"/>
        <v>0</v>
      </c>
      <c r="K21" s="50">
        <f t="shared" si="5"/>
        <v>0</v>
      </c>
      <c r="L21" s="50">
        <f t="shared" si="5"/>
        <v>0</v>
      </c>
      <c r="M21" s="50">
        <f t="shared" si="5"/>
        <v>0</v>
      </c>
      <c r="N21" s="50">
        <f t="shared" si="5"/>
        <v>0</v>
      </c>
      <c r="O21" s="50">
        <f t="shared" si="5"/>
        <v>0</v>
      </c>
      <c r="P21" s="50">
        <f t="shared" si="5"/>
        <v>0</v>
      </c>
      <c r="Q21" s="50">
        <f t="shared" si="5"/>
        <v>0</v>
      </c>
      <c r="R21" s="50">
        <f t="shared" si="5"/>
        <v>0</v>
      </c>
      <c r="S21" s="50">
        <f t="shared" si="5"/>
        <v>0</v>
      </c>
      <c r="T21" s="50">
        <f t="shared" si="5"/>
        <v>24</v>
      </c>
      <c r="U21" s="50">
        <f t="shared" si="5"/>
        <v>0</v>
      </c>
      <c r="V21" s="50">
        <f t="shared" si="5"/>
        <v>54</v>
      </c>
      <c r="W21" s="50">
        <f t="shared" si="5"/>
        <v>30</v>
      </c>
      <c r="X21" s="50">
        <f t="shared" si="5"/>
        <v>0</v>
      </c>
      <c r="Y21" s="50">
        <f t="shared" si="5"/>
        <v>0</v>
      </c>
      <c r="Z21" s="50">
        <f t="shared" si="5"/>
        <v>18</v>
      </c>
      <c r="AA21" s="50">
        <f t="shared" si="5"/>
        <v>24</v>
      </c>
      <c r="AB21" s="50">
        <f t="shared" si="5"/>
        <v>0</v>
      </c>
      <c r="AC21" s="50">
        <f t="shared" si="5"/>
        <v>18</v>
      </c>
      <c r="AD21" s="50">
        <f t="shared" si="5"/>
        <v>0</v>
      </c>
      <c r="AE21" s="50">
        <f t="shared" si="5"/>
        <v>18</v>
      </c>
      <c r="AF21" s="50">
        <f t="shared" si="5"/>
        <v>0</v>
      </c>
      <c r="AG21" s="50">
        <f t="shared" si="5"/>
        <v>0</v>
      </c>
      <c r="AH21" s="50">
        <f t="shared" si="5"/>
        <v>0</v>
      </c>
      <c r="AI21" s="50">
        <f t="shared" si="5"/>
        <v>0</v>
      </c>
      <c r="AJ21" s="50">
        <f t="shared" si="3"/>
        <v>186</v>
      </c>
      <c r="BR21"/>
      <c r="BS21"/>
      <c r="BT21"/>
      <c r="BU21"/>
      <c r="BV21"/>
    </row>
    <row r="22" spans="2:74" ht="25" customHeight="1">
      <c r="E22" s="41"/>
      <c r="F22" s="41"/>
      <c r="G22" s="41"/>
      <c r="H22" s="46" t="s">
        <v>121</v>
      </c>
      <c r="I22" s="57"/>
      <c r="J22" s="57"/>
      <c r="K22" s="5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8"/>
      <c r="Z22" s="88"/>
      <c r="AA22" s="88"/>
      <c r="AB22" s="88"/>
      <c r="AC22" s="88"/>
      <c r="AD22" s="87"/>
      <c r="AE22" s="87"/>
      <c r="AF22" s="87"/>
      <c r="AG22" s="87"/>
      <c r="AH22" s="87"/>
      <c r="AI22" s="90"/>
      <c r="AJ22" s="47">
        <f t="shared" si="3"/>
        <v>0</v>
      </c>
      <c r="BR22"/>
      <c r="BS22"/>
      <c r="BT22"/>
      <c r="BU22"/>
      <c r="BV22"/>
    </row>
    <row r="23" spans="2:74" ht="25" customHeight="1">
      <c r="E23" s="51"/>
      <c r="F23" s="51"/>
      <c r="G23" s="58" t="str">
        <f>$C$6</f>
        <v>US Boot</v>
      </c>
      <c r="H23" s="48" t="s">
        <v>124</v>
      </c>
      <c r="I23" s="57"/>
      <c r="J23" s="57"/>
      <c r="K23" s="5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8"/>
      <c r="Z23" s="88"/>
      <c r="AA23" s="88"/>
      <c r="AB23" s="88"/>
      <c r="AC23" s="88"/>
      <c r="AD23" s="87"/>
      <c r="AE23" s="87"/>
      <c r="AF23" s="87"/>
      <c r="AG23" s="87"/>
      <c r="AH23" s="87"/>
      <c r="AI23" s="90"/>
      <c r="AJ23" s="47">
        <f t="shared" si="3"/>
        <v>0</v>
      </c>
      <c r="BR23"/>
      <c r="BS23"/>
      <c r="BT23"/>
      <c r="BU23"/>
      <c r="BV23"/>
    </row>
    <row r="24" spans="2:74" ht="25" customHeight="1">
      <c r="E24" s="53" t="str">
        <f>TEXT(IF(WEEKDAY(E18)=6,E18+3,E18+1),"mmm dd")</f>
        <v>Jan 05</v>
      </c>
      <c r="F24" s="53" t="str">
        <f>TEXT(WEEKDAY(E24),"ddd")</f>
        <v>Mon</v>
      </c>
      <c r="G24" s="58" t="str">
        <f>$C$7</f>
        <v>Condor Wellington</v>
      </c>
      <c r="H24" s="46" t="s">
        <v>126</v>
      </c>
      <c r="I24" s="57"/>
      <c r="J24" s="57"/>
      <c r="K24" s="5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8"/>
      <c r="Z24" s="88"/>
      <c r="AA24" s="88"/>
      <c r="AB24" s="88"/>
      <c r="AC24" s="88"/>
      <c r="AD24" s="87"/>
      <c r="AE24" s="87"/>
      <c r="AF24" s="87"/>
      <c r="AG24" s="87"/>
      <c r="AH24" s="87"/>
      <c r="AI24" s="87"/>
      <c r="AJ24" s="47">
        <f t="shared" si="3"/>
        <v>0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</row>
    <row r="25" spans="2:74" ht="25" customHeight="1">
      <c r="E25" s="51"/>
      <c r="F25" s="51"/>
      <c r="G25" s="58" t="str">
        <f>"Style#: "&amp;$C$9</f>
        <v>Style#: 27291</v>
      </c>
      <c r="H25" s="46" t="s">
        <v>127</v>
      </c>
      <c r="I25" s="57"/>
      <c r="J25" s="57"/>
      <c r="K25" s="5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8"/>
      <c r="Z25" s="88"/>
      <c r="AA25" s="88"/>
      <c r="AB25" s="88"/>
      <c r="AC25" s="88"/>
      <c r="AD25" s="87"/>
      <c r="AE25" s="87"/>
      <c r="AF25" s="87"/>
      <c r="AG25" s="87"/>
      <c r="AH25" s="87"/>
      <c r="AI25" s="87"/>
      <c r="AJ25" s="47">
        <f t="shared" si="3"/>
        <v>0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</row>
    <row r="26" spans="2:74" ht="25" customHeight="1">
      <c r="E26" s="51"/>
      <c r="F26" s="51"/>
      <c r="G26" s="58" t="str">
        <f>"Last: "&amp;$C$8</f>
        <v>Last: USB004CTS</v>
      </c>
      <c r="H26" s="48" t="s">
        <v>129</v>
      </c>
      <c r="I26" s="57"/>
      <c r="J26" s="57"/>
      <c r="K26" s="5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47">
        <f t="shared" si="3"/>
        <v>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</row>
    <row r="27" spans="2:74" ht="25" customHeight="1">
      <c r="E27" s="52"/>
      <c r="F27" s="52"/>
      <c r="G27" s="52"/>
      <c r="H27" s="49" t="s">
        <v>105</v>
      </c>
      <c r="I27" s="50">
        <f t="shared" ref="I27:AI27" si="6">SUM(I22:I26)</f>
        <v>0</v>
      </c>
      <c r="J27" s="50">
        <f t="shared" si="6"/>
        <v>0</v>
      </c>
      <c r="K27" s="50">
        <f t="shared" si="6"/>
        <v>0</v>
      </c>
      <c r="L27" s="50">
        <f t="shared" si="6"/>
        <v>0</v>
      </c>
      <c r="M27" s="50">
        <f t="shared" si="6"/>
        <v>0</v>
      </c>
      <c r="N27" s="50">
        <f t="shared" si="6"/>
        <v>0</v>
      </c>
      <c r="O27" s="50">
        <f t="shared" si="6"/>
        <v>0</v>
      </c>
      <c r="P27" s="50">
        <f t="shared" si="6"/>
        <v>0</v>
      </c>
      <c r="Q27" s="50">
        <f t="shared" si="6"/>
        <v>0</v>
      </c>
      <c r="R27" s="50">
        <f t="shared" si="6"/>
        <v>0</v>
      </c>
      <c r="S27" s="50">
        <f t="shared" si="6"/>
        <v>0</v>
      </c>
      <c r="T27" s="50">
        <f t="shared" si="6"/>
        <v>0</v>
      </c>
      <c r="U27" s="50">
        <f t="shared" si="6"/>
        <v>0</v>
      </c>
      <c r="V27" s="50">
        <f t="shared" si="6"/>
        <v>0</v>
      </c>
      <c r="W27" s="50">
        <f t="shared" si="6"/>
        <v>0</v>
      </c>
      <c r="X27" s="50">
        <f t="shared" si="6"/>
        <v>0</v>
      </c>
      <c r="Y27" s="50">
        <f t="shared" si="6"/>
        <v>0</v>
      </c>
      <c r="Z27" s="50">
        <f t="shared" si="6"/>
        <v>0</v>
      </c>
      <c r="AA27" s="50">
        <f t="shared" si="6"/>
        <v>0</v>
      </c>
      <c r="AB27" s="50">
        <f t="shared" si="6"/>
        <v>0</v>
      </c>
      <c r="AC27" s="50">
        <f t="shared" si="6"/>
        <v>0</v>
      </c>
      <c r="AD27" s="50">
        <f t="shared" si="6"/>
        <v>0</v>
      </c>
      <c r="AE27" s="50">
        <f t="shared" si="6"/>
        <v>0</v>
      </c>
      <c r="AF27" s="50">
        <f t="shared" si="6"/>
        <v>0</v>
      </c>
      <c r="AG27" s="50">
        <f t="shared" si="6"/>
        <v>0</v>
      </c>
      <c r="AH27" s="50">
        <f t="shared" si="6"/>
        <v>0</v>
      </c>
      <c r="AI27" s="50">
        <f t="shared" si="6"/>
        <v>0</v>
      </c>
      <c r="AJ27" s="50">
        <f t="shared" si="3"/>
        <v>0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</row>
    <row r="28" spans="2:74" ht="25" customHeight="1">
      <c r="E28" s="41"/>
      <c r="F28" s="41"/>
      <c r="G28" s="41"/>
      <c r="H28" s="46" t="s">
        <v>121</v>
      </c>
      <c r="I28" s="57"/>
      <c r="J28" s="57"/>
      <c r="K28" s="5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8"/>
      <c r="Z28" s="88"/>
      <c r="AA28" s="88"/>
      <c r="AB28" s="88"/>
      <c r="AC28" s="88"/>
      <c r="AD28" s="87"/>
      <c r="AE28" s="87"/>
      <c r="AF28" s="87"/>
      <c r="AG28" s="87"/>
      <c r="AH28" s="87"/>
      <c r="AI28" s="90"/>
      <c r="AJ28" s="47">
        <f t="shared" si="3"/>
        <v>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</row>
    <row r="29" spans="2:74" ht="25" customHeight="1">
      <c r="B29" s="2"/>
      <c r="E29" s="51"/>
      <c r="F29" s="51"/>
      <c r="G29" s="58" t="str">
        <f>$C$6</f>
        <v>US Boot</v>
      </c>
      <c r="H29" s="48" t="s">
        <v>124</v>
      </c>
      <c r="I29" s="57"/>
      <c r="J29" s="57"/>
      <c r="K29" s="5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8"/>
      <c r="Z29" s="88"/>
      <c r="AA29" s="88"/>
      <c r="AB29" s="88"/>
      <c r="AC29" s="88"/>
      <c r="AD29" s="87"/>
      <c r="AE29" s="87"/>
      <c r="AF29" s="87"/>
      <c r="AG29" s="87"/>
      <c r="AH29" s="87"/>
      <c r="AI29" s="90"/>
      <c r="AJ29" s="47">
        <f t="shared" si="3"/>
        <v>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</row>
    <row r="30" spans="2:74" ht="25" customHeight="1">
      <c r="E30" s="53" t="str">
        <f>TEXT(IF(WEEKDAY(E24)=6,E24+3,E24+1),"mmm dd")</f>
        <v>Jan 06</v>
      </c>
      <c r="F30" s="53" t="str">
        <f>TEXT(WEEKDAY(E30),"ddd")</f>
        <v>Tue</v>
      </c>
      <c r="G30" s="58" t="str">
        <f>$C$7</f>
        <v>Condor Wellington</v>
      </c>
      <c r="H30" s="46" t="s">
        <v>126</v>
      </c>
      <c r="I30" s="57"/>
      <c r="J30" s="57"/>
      <c r="K30" s="5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  <c r="Z30" s="88"/>
      <c r="AA30" s="88"/>
      <c r="AB30" s="88"/>
      <c r="AC30" s="88"/>
      <c r="AD30" s="87"/>
      <c r="AE30" s="87"/>
      <c r="AF30" s="87"/>
      <c r="AG30" s="87"/>
      <c r="AH30" s="87"/>
      <c r="AI30" s="87"/>
      <c r="AJ30" s="47">
        <f t="shared" si="3"/>
        <v>0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</row>
    <row r="31" spans="2:74" ht="25" customHeight="1">
      <c r="E31" s="51"/>
      <c r="F31" s="51"/>
      <c r="G31" s="58" t="str">
        <f>"Style#: "&amp;$C$9</f>
        <v>Style#: 27291</v>
      </c>
      <c r="H31" s="46" t="s">
        <v>127</v>
      </c>
      <c r="I31" s="57"/>
      <c r="J31" s="57"/>
      <c r="K31" s="5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8"/>
      <c r="Z31" s="88"/>
      <c r="AA31" s="88"/>
      <c r="AB31" s="88"/>
      <c r="AC31" s="88"/>
      <c r="AD31" s="87"/>
      <c r="AE31" s="87"/>
      <c r="AF31" s="87"/>
      <c r="AG31" s="87"/>
      <c r="AH31" s="87"/>
      <c r="AI31" s="87"/>
      <c r="AJ31" s="47">
        <f t="shared" si="3"/>
        <v>0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</row>
    <row r="32" spans="2:74" ht="25" customHeight="1">
      <c r="E32" s="51"/>
      <c r="F32" s="51"/>
      <c r="G32" s="58" t="str">
        <f>"Last: "&amp;$C$8</f>
        <v>Last: USB004CTS</v>
      </c>
      <c r="H32" s="48" t="s">
        <v>129</v>
      </c>
      <c r="I32" s="57"/>
      <c r="J32" s="57"/>
      <c r="K32" s="5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47">
        <f t="shared" si="3"/>
        <v>0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</row>
    <row r="33" spans="5:74" ht="25" customHeight="1">
      <c r="E33" s="52"/>
      <c r="F33" s="52"/>
      <c r="G33" s="52"/>
      <c r="H33" s="49" t="s">
        <v>105</v>
      </c>
      <c r="I33" s="50">
        <f t="shared" ref="I33:AI33" si="7">SUM(I28:I32)</f>
        <v>0</v>
      </c>
      <c r="J33" s="50">
        <f t="shared" si="7"/>
        <v>0</v>
      </c>
      <c r="K33" s="50">
        <f t="shared" si="7"/>
        <v>0</v>
      </c>
      <c r="L33" s="50">
        <f t="shared" si="7"/>
        <v>0</v>
      </c>
      <c r="M33" s="50">
        <f t="shared" si="7"/>
        <v>0</v>
      </c>
      <c r="N33" s="50">
        <f t="shared" si="7"/>
        <v>0</v>
      </c>
      <c r="O33" s="50">
        <f t="shared" si="7"/>
        <v>0</v>
      </c>
      <c r="P33" s="50">
        <f t="shared" si="7"/>
        <v>0</v>
      </c>
      <c r="Q33" s="50">
        <f t="shared" si="7"/>
        <v>0</v>
      </c>
      <c r="R33" s="50">
        <f t="shared" si="7"/>
        <v>0</v>
      </c>
      <c r="S33" s="50">
        <f t="shared" si="7"/>
        <v>0</v>
      </c>
      <c r="T33" s="50">
        <f t="shared" si="7"/>
        <v>0</v>
      </c>
      <c r="U33" s="50">
        <f t="shared" si="7"/>
        <v>0</v>
      </c>
      <c r="V33" s="50">
        <f t="shared" si="7"/>
        <v>0</v>
      </c>
      <c r="W33" s="50">
        <f t="shared" si="7"/>
        <v>0</v>
      </c>
      <c r="X33" s="50">
        <f t="shared" si="7"/>
        <v>0</v>
      </c>
      <c r="Y33" s="50">
        <f t="shared" si="7"/>
        <v>0</v>
      </c>
      <c r="Z33" s="50">
        <f t="shared" si="7"/>
        <v>0</v>
      </c>
      <c r="AA33" s="50">
        <f t="shared" si="7"/>
        <v>0</v>
      </c>
      <c r="AB33" s="50">
        <f t="shared" si="7"/>
        <v>0</v>
      </c>
      <c r="AC33" s="50">
        <f t="shared" si="7"/>
        <v>0</v>
      </c>
      <c r="AD33" s="50">
        <f t="shared" si="7"/>
        <v>0</v>
      </c>
      <c r="AE33" s="50">
        <f t="shared" si="7"/>
        <v>0</v>
      </c>
      <c r="AF33" s="50">
        <f t="shared" si="7"/>
        <v>0</v>
      </c>
      <c r="AG33" s="50">
        <f t="shared" si="7"/>
        <v>0</v>
      </c>
      <c r="AH33" s="50">
        <f t="shared" si="7"/>
        <v>0</v>
      </c>
      <c r="AI33" s="50">
        <f t="shared" si="7"/>
        <v>0</v>
      </c>
      <c r="AJ33" s="50">
        <f t="shared" si="3"/>
        <v>0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</row>
    <row r="34" spans="5:74" ht="27" customHeight="1">
      <c r="E34" s="41"/>
      <c r="F34" s="41"/>
      <c r="G34" s="41"/>
      <c r="H34" s="46" t="s">
        <v>121</v>
      </c>
      <c r="I34" s="57"/>
      <c r="J34" s="57"/>
      <c r="K34" s="5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8"/>
      <c r="Z34" s="88"/>
      <c r="AA34" s="88"/>
      <c r="AB34" s="88"/>
      <c r="AC34" s="88"/>
      <c r="AD34" s="87"/>
      <c r="AE34" s="87"/>
      <c r="AF34" s="87"/>
      <c r="AG34" s="87"/>
      <c r="AH34" s="87"/>
      <c r="AI34" s="90"/>
      <c r="AJ34" s="47">
        <f t="shared" si="3"/>
        <v>0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</row>
    <row r="35" spans="5:74" ht="25" customHeight="1">
      <c r="E35" s="51"/>
      <c r="F35" s="51"/>
      <c r="G35" s="58" t="str">
        <f>$C$6</f>
        <v>US Boot</v>
      </c>
      <c r="H35" s="48" t="s">
        <v>124</v>
      </c>
      <c r="I35" s="57"/>
      <c r="J35" s="57"/>
      <c r="K35" s="5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8"/>
      <c r="Z35" s="88"/>
      <c r="AA35" s="88"/>
      <c r="AB35" s="88"/>
      <c r="AC35" s="88"/>
      <c r="AD35" s="87"/>
      <c r="AE35" s="87"/>
      <c r="AF35" s="87"/>
      <c r="AG35" s="87"/>
      <c r="AH35" s="87"/>
      <c r="AI35" s="90"/>
      <c r="AJ35" s="47">
        <f t="shared" si="3"/>
        <v>0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</row>
    <row r="36" spans="5:74" ht="25" customHeight="1">
      <c r="E36" s="53" t="str">
        <f>TEXT(IF(WEEKDAY(E30)=6,E30+3,E30+1),"mmm dd")</f>
        <v>Jan 07</v>
      </c>
      <c r="F36" s="53" t="str">
        <f>TEXT(WEEKDAY(E36),"ddd")</f>
        <v>Wed</v>
      </c>
      <c r="G36" s="58" t="str">
        <f>$C$7</f>
        <v>Condor Wellington</v>
      </c>
      <c r="H36" s="46" t="s">
        <v>126</v>
      </c>
      <c r="I36" s="57"/>
      <c r="J36" s="57"/>
      <c r="K36" s="5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8"/>
      <c r="Z36" s="88"/>
      <c r="AA36" s="88"/>
      <c r="AB36" s="88"/>
      <c r="AC36" s="88"/>
      <c r="AD36" s="87"/>
      <c r="AE36" s="87"/>
      <c r="AF36" s="87"/>
      <c r="AG36" s="87"/>
      <c r="AH36" s="87"/>
      <c r="AI36" s="87"/>
      <c r="AJ36" s="47">
        <f t="shared" si="3"/>
        <v>0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</row>
    <row r="37" spans="5:74" ht="25" customHeight="1">
      <c r="E37" s="51"/>
      <c r="F37" s="51"/>
      <c r="G37" s="58" t="str">
        <f>"Style#: "&amp;$C$9</f>
        <v>Style#: 27291</v>
      </c>
      <c r="H37" s="46" t="s">
        <v>127</v>
      </c>
      <c r="I37" s="57"/>
      <c r="J37" s="57"/>
      <c r="K37" s="5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8"/>
      <c r="Z37" s="88"/>
      <c r="AA37" s="88"/>
      <c r="AB37" s="88"/>
      <c r="AC37" s="88"/>
      <c r="AD37" s="87"/>
      <c r="AE37" s="87"/>
      <c r="AF37" s="87"/>
      <c r="AG37" s="87"/>
      <c r="AH37" s="87"/>
      <c r="AI37" s="87"/>
      <c r="AJ37" s="47">
        <f t="shared" si="3"/>
        <v>0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</row>
    <row r="38" spans="5:74" ht="25" customHeight="1">
      <c r="E38" s="51"/>
      <c r="F38" s="51"/>
      <c r="G38" s="58" t="str">
        <f>"Last: "&amp;$C$8</f>
        <v>Last: USB004CTS</v>
      </c>
      <c r="H38" s="48" t="s">
        <v>129</v>
      </c>
      <c r="I38" s="57"/>
      <c r="J38" s="57"/>
      <c r="K38" s="5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47">
        <f t="shared" si="3"/>
        <v>0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</row>
    <row r="39" spans="5:74" ht="25" customHeight="1">
      <c r="E39" s="52"/>
      <c r="F39" s="52"/>
      <c r="G39" s="52"/>
      <c r="H39" s="49" t="s">
        <v>105</v>
      </c>
      <c r="I39" s="50">
        <f t="shared" ref="I39:AI39" si="8">SUM(I34:I38)</f>
        <v>0</v>
      </c>
      <c r="J39" s="50">
        <f t="shared" si="8"/>
        <v>0</v>
      </c>
      <c r="K39" s="50">
        <f t="shared" si="8"/>
        <v>0</v>
      </c>
      <c r="L39" s="50">
        <f t="shared" si="8"/>
        <v>0</v>
      </c>
      <c r="M39" s="50">
        <f t="shared" si="8"/>
        <v>0</v>
      </c>
      <c r="N39" s="50">
        <f t="shared" si="8"/>
        <v>0</v>
      </c>
      <c r="O39" s="50">
        <f t="shared" si="8"/>
        <v>0</v>
      </c>
      <c r="P39" s="50">
        <f t="shared" si="8"/>
        <v>0</v>
      </c>
      <c r="Q39" s="50">
        <f t="shared" si="8"/>
        <v>0</v>
      </c>
      <c r="R39" s="50">
        <f t="shared" si="8"/>
        <v>0</v>
      </c>
      <c r="S39" s="50">
        <f t="shared" si="8"/>
        <v>0</v>
      </c>
      <c r="T39" s="50">
        <f t="shared" si="8"/>
        <v>0</v>
      </c>
      <c r="U39" s="50">
        <f t="shared" si="8"/>
        <v>0</v>
      </c>
      <c r="V39" s="50">
        <f t="shared" si="8"/>
        <v>0</v>
      </c>
      <c r="W39" s="50">
        <f t="shared" si="8"/>
        <v>0</v>
      </c>
      <c r="X39" s="50">
        <f t="shared" si="8"/>
        <v>0</v>
      </c>
      <c r="Y39" s="50">
        <f t="shared" si="8"/>
        <v>0</v>
      </c>
      <c r="Z39" s="50">
        <f t="shared" si="8"/>
        <v>0</v>
      </c>
      <c r="AA39" s="50">
        <f t="shared" si="8"/>
        <v>0</v>
      </c>
      <c r="AB39" s="50">
        <f t="shared" si="8"/>
        <v>0</v>
      </c>
      <c r="AC39" s="50">
        <f t="shared" si="8"/>
        <v>0</v>
      </c>
      <c r="AD39" s="50">
        <f t="shared" si="8"/>
        <v>0</v>
      </c>
      <c r="AE39" s="50">
        <f t="shared" si="8"/>
        <v>0</v>
      </c>
      <c r="AF39" s="50">
        <f t="shared" si="8"/>
        <v>0</v>
      </c>
      <c r="AG39" s="50">
        <f t="shared" si="8"/>
        <v>0</v>
      </c>
      <c r="AH39" s="50">
        <f t="shared" si="8"/>
        <v>0</v>
      </c>
      <c r="AI39" s="50">
        <f t="shared" si="8"/>
        <v>0</v>
      </c>
      <c r="AJ39" s="50">
        <f t="shared" si="3"/>
        <v>0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</row>
    <row r="40" spans="5:74"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</row>
    <row r="41" spans="5:74"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</row>
    <row r="42" spans="5:74"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</row>
    <row r="43" spans="5:74"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</row>
    <row r="44" spans="5:74" ht="15" customHeight="1">
      <c r="H44" s="72" t="s">
        <v>148</v>
      </c>
      <c r="I44" s="71"/>
      <c r="J44" s="78">
        <v>6</v>
      </c>
      <c r="K44" s="72" t="s">
        <v>181</v>
      </c>
      <c r="L44" s="71"/>
      <c r="M44" s="78">
        <v>5</v>
      </c>
      <c r="N44" s="72" t="s">
        <v>149</v>
      </c>
      <c r="O44" s="71"/>
      <c r="P44" s="71">
        <f>AJ5</f>
        <v>432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</row>
    <row r="45" spans="5:74">
      <c r="H45" s="72" t="s">
        <v>150</v>
      </c>
      <c r="I45" s="71"/>
      <c r="J45" s="78">
        <v>22</v>
      </c>
      <c r="K45" s="72" t="s">
        <v>182</v>
      </c>
      <c r="M45" s="79">
        <v>3</v>
      </c>
      <c r="N45" s="72" t="s">
        <v>151</v>
      </c>
      <c r="O45" s="71"/>
      <c r="P45" s="71">
        <f>AJ72</f>
        <v>246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</row>
    <row r="46" spans="5:74">
      <c r="K46" s="72" t="s">
        <v>152</v>
      </c>
      <c r="L46" s="71"/>
      <c r="M46" s="71">
        <f>M44*MaxLayer</f>
        <v>15</v>
      </c>
      <c r="N46" s="72" t="s">
        <v>153</v>
      </c>
      <c r="O46" s="71"/>
      <c r="P46" s="71">
        <f>COUNTIF($AJ$50:$AJ$71,"&lt;&gt;0")</f>
        <v>1</v>
      </c>
      <c r="Q46" s="7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</row>
    <row r="47" spans="5:74">
      <c r="K47" s="72"/>
      <c r="L47" s="71"/>
      <c r="M47" s="71"/>
      <c r="N47" s="72"/>
      <c r="O47" s="71"/>
      <c r="P47" s="71"/>
      <c r="Q47" s="7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</row>
    <row r="48" spans="5:74">
      <c r="H48" s="76" t="s">
        <v>156</v>
      </c>
      <c r="I48" s="80">
        <f>I5</f>
        <v>0</v>
      </c>
      <c r="J48" s="80">
        <f t="shared" ref="J48:AI48" si="9">J5</f>
        <v>0</v>
      </c>
      <c r="K48" s="80">
        <f t="shared" si="9"/>
        <v>0</v>
      </c>
      <c r="L48" s="80">
        <f t="shared" si="9"/>
        <v>0</v>
      </c>
      <c r="M48" s="80">
        <f t="shared" si="9"/>
        <v>0</v>
      </c>
      <c r="N48" s="80">
        <f t="shared" si="9"/>
        <v>0</v>
      </c>
      <c r="O48" s="80">
        <f t="shared" si="9"/>
        <v>0</v>
      </c>
      <c r="P48" s="80">
        <f t="shared" si="9"/>
        <v>0</v>
      </c>
      <c r="Q48" s="80">
        <f t="shared" si="9"/>
        <v>0</v>
      </c>
      <c r="R48" s="80">
        <f t="shared" si="9"/>
        <v>0</v>
      </c>
      <c r="S48" s="80">
        <f t="shared" si="9"/>
        <v>24</v>
      </c>
      <c r="T48" s="80">
        <f t="shared" si="9"/>
        <v>24</v>
      </c>
      <c r="U48" s="80">
        <f t="shared" si="9"/>
        <v>60</v>
      </c>
      <c r="V48" s="80">
        <f t="shared" si="9"/>
        <v>54</v>
      </c>
      <c r="W48" s="80">
        <f t="shared" si="9"/>
        <v>84</v>
      </c>
      <c r="X48" s="80">
        <f t="shared" si="9"/>
        <v>24</v>
      </c>
      <c r="Y48" s="80">
        <f t="shared" si="9"/>
        <v>0</v>
      </c>
      <c r="Z48" s="80">
        <f t="shared" si="9"/>
        <v>42</v>
      </c>
      <c r="AA48" s="80">
        <f t="shared" si="9"/>
        <v>60</v>
      </c>
      <c r="AB48" s="80">
        <f t="shared" si="9"/>
        <v>0</v>
      </c>
      <c r="AC48" s="80">
        <f t="shared" si="9"/>
        <v>42</v>
      </c>
      <c r="AD48" s="80">
        <f t="shared" si="9"/>
        <v>0</v>
      </c>
      <c r="AE48" s="80">
        <f t="shared" si="9"/>
        <v>18</v>
      </c>
      <c r="AF48" s="80">
        <f t="shared" si="9"/>
        <v>0</v>
      </c>
      <c r="AG48" s="80">
        <f t="shared" si="9"/>
        <v>0</v>
      </c>
      <c r="AH48" s="80">
        <f t="shared" si="9"/>
        <v>0</v>
      </c>
      <c r="AI48" s="80">
        <f t="shared" si="9"/>
        <v>0</v>
      </c>
      <c r="AJ48" s="81"/>
      <c r="AK48" s="82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</row>
    <row r="49" spans="7:74">
      <c r="H49" s="73" t="s">
        <v>154</v>
      </c>
      <c r="I49" s="77">
        <v>3</v>
      </c>
      <c r="J49" s="77">
        <v>3.5</v>
      </c>
      <c r="K49" s="77">
        <v>4</v>
      </c>
      <c r="L49" s="77">
        <v>4.5</v>
      </c>
      <c r="M49" s="77">
        <v>5</v>
      </c>
      <c r="N49" s="77">
        <v>5.5</v>
      </c>
      <c r="O49" s="77">
        <v>6</v>
      </c>
      <c r="P49" s="77">
        <v>6.5</v>
      </c>
      <c r="Q49" s="77">
        <v>7</v>
      </c>
      <c r="R49" s="77">
        <v>7.5</v>
      </c>
      <c r="S49" s="77">
        <v>8</v>
      </c>
      <c r="T49" s="77">
        <v>8.5</v>
      </c>
      <c r="U49" s="77">
        <v>9</v>
      </c>
      <c r="V49" s="77">
        <v>9.5</v>
      </c>
      <c r="W49" s="77">
        <v>10</v>
      </c>
      <c r="X49" s="77">
        <v>10.5</v>
      </c>
      <c r="Y49" s="77">
        <v>11</v>
      </c>
      <c r="Z49" s="77">
        <v>11.5</v>
      </c>
      <c r="AA49" s="77">
        <v>12</v>
      </c>
      <c r="AB49" s="77">
        <v>12.5</v>
      </c>
      <c r="AC49" s="77">
        <v>13</v>
      </c>
      <c r="AD49" s="77">
        <v>13.5</v>
      </c>
      <c r="AE49" s="77">
        <v>14</v>
      </c>
      <c r="AF49" s="77">
        <v>14.5</v>
      </c>
      <c r="AG49" s="77">
        <v>15</v>
      </c>
      <c r="AH49" s="77">
        <v>15.5</v>
      </c>
      <c r="AI49" s="77">
        <v>16</v>
      </c>
      <c r="AJ49" s="77" t="s">
        <v>155</v>
      </c>
      <c r="AK49" s="73" t="s">
        <v>156</v>
      </c>
      <c r="AL49" s="73" t="s">
        <v>157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</row>
    <row r="50" spans="7:74">
      <c r="G50" s="74" t="str">
        <f>E12</f>
        <v>Jan 00</v>
      </c>
      <c r="H50" s="74" t="str">
        <f>F12</f>
        <v>Sat</v>
      </c>
      <c r="I50" s="75">
        <f>SUM(I10:I14)</f>
        <v>0</v>
      </c>
      <c r="J50" s="75">
        <f t="shared" ref="J50:AI50" si="10">SUM(J10:J14)</f>
        <v>0</v>
      </c>
      <c r="K50" s="75">
        <f t="shared" si="10"/>
        <v>0</v>
      </c>
      <c r="L50" s="75">
        <f t="shared" si="10"/>
        <v>0</v>
      </c>
      <c r="M50" s="75">
        <f t="shared" si="10"/>
        <v>0</v>
      </c>
      <c r="N50" s="75">
        <f t="shared" si="10"/>
        <v>0</v>
      </c>
      <c r="O50" s="75">
        <f t="shared" si="10"/>
        <v>0</v>
      </c>
      <c r="P50" s="75">
        <f t="shared" si="10"/>
        <v>0</v>
      </c>
      <c r="Q50" s="75">
        <f t="shared" si="10"/>
        <v>0</v>
      </c>
      <c r="R50" s="75">
        <f t="shared" si="10"/>
        <v>0</v>
      </c>
      <c r="S50" s="75">
        <f t="shared" si="10"/>
        <v>24</v>
      </c>
      <c r="T50" s="75">
        <f t="shared" si="10"/>
        <v>0</v>
      </c>
      <c r="U50" s="75">
        <f t="shared" si="10"/>
        <v>60</v>
      </c>
      <c r="V50" s="75">
        <f t="shared" si="10"/>
        <v>0</v>
      </c>
      <c r="W50" s="75">
        <f t="shared" si="10"/>
        <v>54</v>
      </c>
      <c r="X50" s="75">
        <f t="shared" si="10"/>
        <v>24</v>
      </c>
      <c r="Y50" s="75">
        <f t="shared" si="10"/>
        <v>0</v>
      </c>
      <c r="Z50" s="75">
        <f t="shared" si="10"/>
        <v>24</v>
      </c>
      <c r="AA50" s="75">
        <f t="shared" si="10"/>
        <v>36</v>
      </c>
      <c r="AB50" s="75">
        <f t="shared" si="10"/>
        <v>0</v>
      </c>
      <c r="AC50" s="75">
        <f t="shared" si="10"/>
        <v>24</v>
      </c>
      <c r="AD50" s="75">
        <f t="shared" si="10"/>
        <v>0</v>
      </c>
      <c r="AE50" s="75">
        <f t="shared" si="10"/>
        <v>0</v>
      </c>
      <c r="AF50" s="75">
        <f t="shared" si="10"/>
        <v>0</v>
      </c>
      <c r="AG50" s="75">
        <f t="shared" si="10"/>
        <v>0</v>
      </c>
      <c r="AH50" s="75">
        <f t="shared" si="10"/>
        <v>0</v>
      </c>
      <c r="AI50" s="75">
        <f t="shared" si="10"/>
        <v>0</v>
      </c>
      <c r="AJ50" s="75">
        <f>SUM(I50:AI50)</f>
        <v>246</v>
      </c>
      <c r="AK50" s="75"/>
      <c r="AL50" s="75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</row>
    <row r="51" spans="7:74">
      <c r="G51" s="74" t="str">
        <f>E18</f>
        <v>Jan 02</v>
      </c>
      <c r="H51" s="74" t="str">
        <f>F18</f>
        <v>Fri</v>
      </c>
      <c r="I51" s="75">
        <f>SUM(I16:I20)</f>
        <v>0</v>
      </c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>
        <f t="shared" ref="AJ51:AJ71" si="11">SUM(I51:AI51)</f>
        <v>0</v>
      </c>
      <c r="AK51" s="75"/>
      <c r="AL51" s="75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</row>
    <row r="52" spans="7:74">
      <c r="G52" s="74" t="str">
        <f>E24</f>
        <v>Jan 05</v>
      </c>
      <c r="H52" s="74" t="str">
        <f>F24</f>
        <v>Mon</v>
      </c>
      <c r="I52" s="75">
        <f>SUM(I22:I26)</f>
        <v>0</v>
      </c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>
        <f t="shared" si="11"/>
        <v>0</v>
      </c>
      <c r="AK52" s="75"/>
      <c r="AL52" s="75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</row>
    <row r="53" spans="7:74">
      <c r="G53" s="74" t="str">
        <f>E30</f>
        <v>Jan 06</v>
      </c>
      <c r="H53" s="74" t="str">
        <f>F30</f>
        <v>Tue</v>
      </c>
      <c r="I53" s="75">
        <f>SUM(I28:I32)</f>
        <v>0</v>
      </c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>
        <f t="shared" si="11"/>
        <v>0</v>
      </c>
      <c r="AK53" s="75"/>
      <c r="AL53" s="75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</row>
    <row r="54" spans="7:74">
      <c r="G54" s="74" t="str">
        <f>E36</f>
        <v>Jan 07</v>
      </c>
      <c r="H54" s="74" t="str">
        <f>F36</f>
        <v>Wed</v>
      </c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>
        <f t="shared" si="11"/>
        <v>0</v>
      </c>
      <c r="AK54" s="75"/>
      <c r="AL54" s="75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</row>
    <row r="55" spans="7:74">
      <c r="G55" s="74" t="s">
        <v>163</v>
      </c>
      <c r="H55" s="74" t="s">
        <v>163</v>
      </c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>
        <f t="shared" si="11"/>
        <v>0</v>
      </c>
      <c r="AK55" s="75"/>
      <c r="AL55" s="7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</row>
    <row r="56" spans="7:74">
      <c r="G56" s="74" t="s">
        <v>165</v>
      </c>
      <c r="H56" s="74" t="s">
        <v>165</v>
      </c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>
        <f t="shared" si="11"/>
        <v>0</v>
      </c>
      <c r="AK56" s="75"/>
      <c r="AL56" s="75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</row>
    <row r="57" spans="7:74">
      <c r="G57" s="74" t="s">
        <v>166</v>
      </c>
      <c r="H57" s="74" t="s">
        <v>166</v>
      </c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>
        <f t="shared" si="11"/>
        <v>0</v>
      </c>
      <c r="AK57" s="75"/>
      <c r="AL57" s="75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</row>
    <row r="58" spans="7:74">
      <c r="G58" s="74" t="s">
        <v>167</v>
      </c>
      <c r="H58" s="74" t="s">
        <v>167</v>
      </c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>
        <f t="shared" si="11"/>
        <v>0</v>
      </c>
      <c r="AK58" s="75"/>
      <c r="AL58" s="75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</row>
    <row r="59" spans="7:74">
      <c r="G59" s="74" t="s">
        <v>168</v>
      </c>
      <c r="H59" s="74" t="s">
        <v>168</v>
      </c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>
        <f t="shared" si="11"/>
        <v>0</v>
      </c>
      <c r="AK59" s="75"/>
      <c r="AL59" s="75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</row>
    <row r="60" spans="7:74">
      <c r="G60" s="74" t="s">
        <v>169</v>
      </c>
      <c r="H60" s="74" t="s">
        <v>169</v>
      </c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>
        <f t="shared" si="11"/>
        <v>0</v>
      </c>
      <c r="AK60" s="75"/>
      <c r="AL60" s="75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</row>
    <row r="61" spans="7:74">
      <c r="G61" s="74" t="s">
        <v>170</v>
      </c>
      <c r="H61" s="74" t="s">
        <v>170</v>
      </c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>
        <f t="shared" si="11"/>
        <v>0</v>
      </c>
      <c r="AK61" s="75"/>
      <c r="AL61" s="75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</row>
    <row r="62" spans="7:74">
      <c r="G62" s="74" t="s">
        <v>171</v>
      </c>
      <c r="H62" s="74" t="s">
        <v>171</v>
      </c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>
        <f t="shared" si="11"/>
        <v>0</v>
      </c>
      <c r="AK62" s="75"/>
      <c r="AL62" s="75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</row>
    <row r="63" spans="7:74">
      <c r="G63" s="74" t="s">
        <v>172</v>
      </c>
      <c r="H63" s="74" t="s">
        <v>172</v>
      </c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>
        <f t="shared" si="11"/>
        <v>0</v>
      </c>
      <c r="AK63" s="75"/>
      <c r="AL63" s="75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</row>
    <row r="64" spans="7:74">
      <c r="G64" s="74" t="s">
        <v>173</v>
      </c>
      <c r="H64" s="74" t="s">
        <v>173</v>
      </c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>
        <f t="shared" si="11"/>
        <v>0</v>
      </c>
      <c r="AK64" s="75"/>
      <c r="AL64" s="75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</row>
    <row r="65" spans="7:74">
      <c r="G65" s="74" t="s">
        <v>174</v>
      </c>
      <c r="H65" s="74" t="s">
        <v>174</v>
      </c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>
        <f t="shared" si="11"/>
        <v>0</v>
      </c>
      <c r="AK65" s="75"/>
      <c r="AL65" s="7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</row>
    <row r="66" spans="7:74">
      <c r="G66" s="74" t="s">
        <v>175</v>
      </c>
      <c r="H66" s="74" t="s">
        <v>175</v>
      </c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>
        <f t="shared" si="11"/>
        <v>0</v>
      </c>
      <c r="AK66" s="75"/>
      <c r="AL66" s="75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</row>
    <row r="67" spans="7:74">
      <c r="G67" s="74" t="s">
        <v>176</v>
      </c>
      <c r="H67" s="74" t="s">
        <v>176</v>
      </c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>
        <f t="shared" si="11"/>
        <v>0</v>
      </c>
      <c r="AK67" s="75"/>
      <c r="AL67" s="75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</row>
    <row r="68" spans="7:74">
      <c r="G68" s="74" t="s">
        <v>177</v>
      </c>
      <c r="H68" s="74" t="s">
        <v>177</v>
      </c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>
        <f t="shared" si="11"/>
        <v>0</v>
      </c>
      <c r="AK68" s="75"/>
      <c r="AL68" s="75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</row>
    <row r="69" spans="7:74">
      <c r="G69" s="74" t="s">
        <v>178</v>
      </c>
      <c r="H69" s="74" t="s">
        <v>178</v>
      </c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>
        <f t="shared" si="11"/>
        <v>0</v>
      </c>
      <c r="AK69" s="75"/>
      <c r="AL69" s="75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</row>
    <row r="70" spans="7:74">
      <c r="G70" s="74" t="s">
        <v>179</v>
      </c>
      <c r="H70" s="74" t="s">
        <v>179</v>
      </c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>
        <f t="shared" si="11"/>
        <v>0</v>
      </c>
      <c r="AK70" s="75"/>
      <c r="AL70" s="75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</row>
    <row r="71" spans="7:74">
      <c r="G71" s="74" t="s">
        <v>180</v>
      </c>
      <c r="H71" s="74" t="s">
        <v>180</v>
      </c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>
        <f t="shared" si="11"/>
        <v>0</v>
      </c>
      <c r="AK71" s="75"/>
      <c r="AL71" s="75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</row>
    <row r="72" spans="7:74">
      <c r="H72" s="74" t="s">
        <v>164</v>
      </c>
      <c r="I72" s="74">
        <f t="shared" ref="I72:AK72" si="12">SUM(I50:I71)</f>
        <v>0</v>
      </c>
      <c r="J72" s="74">
        <f t="shared" si="12"/>
        <v>0</v>
      </c>
      <c r="K72" s="74">
        <f t="shared" si="12"/>
        <v>0</v>
      </c>
      <c r="L72" s="74">
        <f t="shared" si="12"/>
        <v>0</v>
      </c>
      <c r="M72" s="74">
        <f t="shared" si="12"/>
        <v>0</v>
      </c>
      <c r="N72" s="74">
        <f t="shared" si="12"/>
        <v>0</v>
      </c>
      <c r="O72" s="74">
        <f t="shared" si="12"/>
        <v>0</v>
      </c>
      <c r="P72" s="74">
        <f t="shared" si="12"/>
        <v>0</v>
      </c>
      <c r="Q72" s="74">
        <f t="shared" si="12"/>
        <v>0</v>
      </c>
      <c r="R72" s="74">
        <f t="shared" si="12"/>
        <v>0</v>
      </c>
      <c r="S72" s="74">
        <f t="shared" si="12"/>
        <v>24</v>
      </c>
      <c r="T72" s="74">
        <f t="shared" si="12"/>
        <v>0</v>
      </c>
      <c r="U72" s="74">
        <f t="shared" si="12"/>
        <v>60</v>
      </c>
      <c r="V72" s="74">
        <f t="shared" si="12"/>
        <v>0</v>
      </c>
      <c r="W72" s="74">
        <f t="shared" si="12"/>
        <v>54</v>
      </c>
      <c r="X72" s="74">
        <f t="shared" si="12"/>
        <v>24</v>
      </c>
      <c r="Y72" s="74">
        <f t="shared" si="12"/>
        <v>0</v>
      </c>
      <c r="Z72" s="74">
        <f t="shared" si="12"/>
        <v>24</v>
      </c>
      <c r="AA72" s="74">
        <f t="shared" si="12"/>
        <v>36</v>
      </c>
      <c r="AB72" s="74">
        <f t="shared" si="12"/>
        <v>0</v>
      </c>
      <c r="AC72" s="74">
        <f t="shared" si="12"/>
        <v>24</v>
      </c>
      <c r="AD72" s="74">
        <f t="shared" si="12"/>
        <v>0</v>
      </c>
      <c r="AE72" s="74">
        <f t="shared" si="12"/>
        <v>0</v>
      </c>
      <c r="AF72" s="74">
        <f t="shared" si="12"/>
        <v>0</v>
      </c>
      <c r="AG72" s="74">
        <f t="shared" si="12"/>
        <v>0</v>
      </c>
      <c r="AH72" s="74">
        <f t="shared" si="12"/>
        <v>0</v>
      </c>
      <c r="AI72" s="74">
        <f t="shared" si="12"/>
        <v>0</v>
      </c>
      <c r="AJ72" s="74">
        <f t="shared" si="12"/>
        <v>246</v>
      </c>
      <c r="AK72" s="74">
        <f t="shared" si="12"/>
        <v>0</v>
      </c>
      <c r="AL72" s="74"/>
    </row>
  </sheetData>
  <pageMargins left="0.7" right="0.7" top="0.75" bottom="0.75" header="0.3" footer="0.3"/>
  <pageSetup scale="43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ProductionPlan">
                <anchor moveWithCells="1" sizeWithCells="1">
                  <from>
                    <xdr:col>1</xdr:col>
                    <xdr:colOff>584200</xdr:colOff>
                    <xdr:row>19</xdr:row>
                    <xdr:rowOff>139700</xdr:rowOff>
                  </from>
                  <to>
                    <xdr:col>2</xdr:col>
                    <xdr:colOff>1181100</xdr:colOff>
                    <xdr:row>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set">
                <anchor moveWithCells="1" sizeWithCells="1">
                  <from>
                    <xdr:col>1</xdr:col>
                    <xdr:colOff>584200</xdr:colOff>
                    <xdr:row>21</xdr:row>
                    <xdr:rowOff>88900</xdr:rowOff>
                  </from>
                  <to>
                    <xdr:col>2</xdr:col>
                    <xdr:colOff>1181100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PalletizePlan.PalletizePlan">
                <anchor moveWithCells="1" sizeWithCells="1">
                  <from>
                    <xdr:col>1</xdr:col>
                    <xdr:colOff>571500</xdr:colOff>
                    <xdr:row>23</xdr:row>
                    <xdr:rowOff>38100</xdr:rowOff>
                  </from>
                  <to>
                    <xdr:col>2</xdr:col>
                    <xdr:colOff>1168400</xdr:colOff>
                    <xdr:row>24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A88DD2D-A0D3-0443-A181-7D00247A3541}">
          <x14:formula1>
            <xm:f>_xlfn.ANCHORARRAY(_xlfn.XLOOKUP($C$6,_xlfn.ANCHORARRAY(DataValidation!B17),DataValidation!B18:J18))</xm:f>
          </x14:formula1>
          <xm:sqref>C7</xm:sqref>
        </x14:dataValidation>
        <x14:dataValidation type="list" allowBlank="1" showInputMessage="1" showErrorMessage="1" xr:uid="{AA60875D-9300-3A43-8DDF-07AD76CE829E}">
          <x14:formula1>
            <xm:f>_xlfn.ANCHORARRAY(DataValidation!$B$17)</xm:f>
          </x14:formula1>
          <xm:sqref>C6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73D4AE2745954DBE077109E54E7BF1" ma:contentTypeVersion="15" ma:contentTypeDescription="Create a new document." ma:contentTypeScope="" ma:versionID="a54757537a6a249c0157987aec22c0c9">
  <xsd:schema xmlns:xsd="http://www.w3.org/2001/XMLSchema" xmlns:xs="http://www.w3.org/2001/XMLSchema" xmlns:p="http://schemas.microsoft.com/office/2006/metadata/properties" xmlns:ns2="03e318ce-347e-4738-a2ea-fb941551c9af" xmlns:ns3="224c73cb-9ef8-4378-a603-7a0d500cf403" targetNamespace="http://schemas.microsoft.com/office/2006/metadata/properties" ma:root="true" ma:fieldsID="f352a983f05941d22200dd6e86e1eb5b" ns2:_="" ns3:_="">
    <xsd:import namespace="03e318ce-347e-4738-a2ea-fb941551c9af"/>
    <xsd:import namespace="224c73cb-9ef8-4378-a603-7a0d500cf4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e318ce-347e-4738-a2ea-fb941551c9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af45267-e8c7-4465-a07e-d6bbb1ff7c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4c73cb-9ef8-4378-a603-7a0d500cf40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2c91ec4-73a2-4416-81fd-84487bc235ab}" ma:internalName="TaxCatchAll" ma:showField="CatchAllData" ma:web="224c73cb-9ef8-4378-a603-7a0d500cf4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e318ce-347e-4738-a2ea-fb941551c9af">
      <Terms xmlns="http://schemas.microsoft.com/office/infopath/2007/PartnerControls"/>
    </lcf76f155ced4ddcb4097134ff3c332f>
    <TaxCatchAll xmlns="224c73cb-9ef8-4378-a603-7a0d500cf403" xsi:nil="true"/>
  </documentManagement>
</p:properties>
</file>

<file path=customXml/itemProps1.xml><?xml version="1.0" encoding="utf-8"?>
<ds:datastoreItem xmlns:ds="http://schemas.openxmlformats.org/officeDocument/2006/customXml" ds:itemID="{16A9284D-33A1-49B4-8329-88309AEF7F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e318ce-347e-4738-a2ea-fb941551c9af"/>
    <ds:schemaRef ds:uri="224c73cb-9ef8-4378-a603-7a0d500cf4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FAD018-84D1-4E16-9D4E-B8912B762E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0D9C65-9161-4C94-91AC-66D428E9B952}">
  <ds:schemaRefs>
    <ds:schemaRef ds:uri="http://schemas.microsoft.com/office/2006/documentManagement/types"/>
    <ds:schemaRef ds:uri="http://purl.org/dc/terms/"/>
    <ds:schemaRef ds:uri="224c73cb-9ef8-4378-a603-7a0d500cf403"/>
    <ds:schemaRef ds:uri="http://schemas.microsoft.com/office/infopath/2007/PartnerControls"/>
    <ds:schemaRef ds:uri="03e318ce-347e-4738-a2ea-fb941551c9af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Log</vt:lpstr>
      <vt:lpstr>StyleName&amp;Last</vt:lpstr>
      <vt:lpstr>DataValidation</vt:lpstr>
      <vt:lpstr>LastCount</vt:lpstr>
      <vt:lpstr>Template</vt:lpstr>
      <vt:lpstr>Driftlock 522 prs</vt:lpstr>
      <vt:lpstr>Condor 432 prs</vt:lpstr>
      <vt:lpstr>'Condor 432 prs'!Brand</vt:lpstr>
      <vt:lpstr>'Driftlock 522 prs'!Brand</vt:lpstr>
      <vt:lpstr>Brand</vt:lpstr>
      <vt:lpstr>'Condor 432 prs'!CtnLayer</vt:lpstr>
      <vt:lpstr>'Driftlock 522 prs'!CtnLayer</vt:lpstr>
      <vt:lpstr>CtnLayer</vt:lpstr>
      <vt:lpstr>DailyTarget</vt:lpstr>
      <vt:lpstr>'Condor 432 prs'!MaxLayer</vt:lpstr>
      <vt:lpstr>'Driftlock 522 prs'!MaxLayer</vt:lpstr>
      <vt:lpstr>MaxLayer</vt:lpstr>
      <vt:lpstr>'Condor 432 prs'!MaxPal</vt:lpstr>
      <vt:lpstr>'Driftlock 522 prs'!MaxPal</vt:lpstr>
      <vt:lpstr>MaxPal</vt:lpstr>
      <vt:lpstr>'Condor 432 prs'!PairCtn</vt:lpstr>
      <vt:lpstr>'Driftlock 522 prs'!PairCtn</vt:lpstr>
      <vt:lpstr>PairCtn</vt:lpstr>
      <vt:lpstr>'Condor 432 prs'!PalletPlan</vt:lpstr>
      <vt:lpstr>'Driftlock 522 prs'!PalletPlan</vt:lpstr>
      <vt:lpstr>PalletPlan</vt:lpstr>
      <vt:lpstr>'Condor 432 prs'!PlanNumbers</vt:lpstr>
      <vt:lpstr>'Driftlock 522 prs'!PlanNumbers</vt:lpstr>
      <vt:lpstr>PlanNumbers</vt:lpstr>
      <vt:lpstr>'Condor 432 prs'!PO</vt:lpstr>
      <vt:lpstr>'Driftlock 522 prs'!PO</vt:lpstr>
      <vt:lpstr>PO</vt:lpstr>
      <vt:lpstr>'Condor 432 prs'!Print_Area</vt:lpstr>
      <vt:lpstr>'Driftlock 522 prs'!Print_Area</vt:lpstr>
      <vt:lpstr>Template!Print_Area</vt:lpstr>
      <vt:lpstr>'Condor 432 prs'!SetUp</vt:lpstr>
      <vt:lpstr>'Driftlock 522 prs'!SetUp</vt:lpstr>
      <vt:lpstr>SetUp</vt:lpstr>
      <vt:lpstr>'Condor 432 prs'!SizeLabels</vt:lpstr>
      <vt:lpstr>'Driftlock 522 prs'!SizeLabels</vt:lpstr>
      <vt:lpstr>SizeLabels</vt:lpstr>
      <vt:lpstr>'Condor 432 prs'!Sizes</vt:lpstr>
      <vt:lpstr>'Driftlock 522 prs'!Sizes</vt:lpstr>
      <vt:lpstr>Sizes</vt:lpstr>
      <vt:lpstr>'Condor 432 prs'!StyleName</vt:lpstr>
      <vt:lpstr>'Driftlock 522 prs'!StyleName</vt:lpstr>
      <vt:lpstr>StyleName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Clyde | American Sole</dc:creator>
  <cp:keywords/>
  <dc:description/>
  <cp:lastModifiedBy>Clyde | American Sole</cp:lastModifiedBy>
  <cp:revision/>
  <dcterms:created xsi:type="dcterms:W3CDTF">2026-04-15T20:41:26Z</dcterms:created>
  <dcterms:modified xsi:type="dcterms:W3CDTF">2026-05-08T17:19:35Z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0x010100AA73D4AE2745954DBE077109E54E7BF1</vt:lpwstr>
  </property>
  <property fmtid="{D5CDD505-2E9C-101B-9397-08002B2CF9AE}" pid="3" name="MediaServiceImageTags">
    <vt:lpwstr/>
  </property>
</Properties>
</file>