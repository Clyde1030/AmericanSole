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3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yu-shenglee/Desktop/dev/AmericanSole/Excel/"/>
    </mc:Choice>
  </mc:AlternateContent>
  <xr:revisionPtr revIDLastSave="0" documentId="13_ncr:1_{7752AF4E-AB20-4544-9E31-D65BD26C9BE1}" xr6:coauthVersionLast="47" xr6:coauthVersionMax="47" xr10:uidLastSave="{00000000-0000-0000-0000-000000000000}"/>
  <bookViews>
    <workbookView xWindow="28800" yWindow="0" windowWidth="38400" windowHeight="21600" activeTab="7" xr2:uid="{BB3E7487-B483-374E-BF1B-CA808B1818AD}"/>
  </bookViews>
  <sheets>
    <sheet name="Log" sheetId="4" r:id="rId1"/>
    <sheet name="Input" sheetId="9" r:id="rId2"/>
    <sheet name="PackingPalletDetail" sheetId="15" r:id="rId3"/>
    <sheet name="PalletSummary" sheetId="21" r:id="rId4"/>
    <sheet name="Concat+Rename" sheetId="19" r:id="rId5"/>
    <sheet name="SizeCarton" sheetId="12" r:id="rId6"/>
    <sheet name="Carton" sheetId="5" r:id="rId7"/>
    <sheet name="Pallet" sheetId="20" r:id="rId8"/>
    <sheet name="Dropdown" sheetId="16" state="hidden" r:id="rId9"/>
  </sheets>
  <functionGroups builtInGroupCount="19"/>
  <definedNames>
    <definedName name="_xleta.COLUMN" hidden="1" xlm="1">#NAME?</definedName>
    <definedName name="_xleta.IF" hidden="1" xlm="1">#NAME?</definedName>
    <definedName name="_xleta.XLOOKUP" hidden="1" xlm="1">#NAME?</definedName>
    <definedName name="Brand">Input!$C$3</definedName>
    <definedName name="CtnLayer">Input!$G$21</definedName>
    <definedName name="MaxLayer">Input!$G$22</definedName>
    <definedName name="MaxPal">Input!$D$22</definedName>
    <definedName name="PairCtn">Input!$D$21</definedName>
    <definedName name="PalletPlan">Input!$C$27:$AC$48</definedName>
    <definedName name="PO">Input!$C$2</definedName>
    <definedName name="_xlnm.Print_Area" localSheetId="4">'Concat+Rename'!$A$1:$M$88</definedName>
    <definedName name="_xlnm.Print_Area" localSheetId="2">PackingPalletDetail!$A$1:$M$49</definedName>
    <definedName name="_xlnm.Print_Area" localSheetId="3">PalletSummary!$A$1:$G$31</definedName>
    <definedName name="SizeLabels">Input!$C$25:$AC$25</definedName>
    <definedName name="Sizes">Input!$C$26:$AC$26</definedName>
    <definedName name="StyleName">Input!$C$5</definedName>
    <definedName name="StyleNo">Input!$C$4</definedName>
    <definedName name="Width">Input!$C$6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L48" i="9" l="1" a="1"/>
  <c r="AL48" i="9" s="1"/>
  <c r="AL47" i="9" a="1"/>
  <c r="AL47" i="9" s="1"/>
  <c r="AL46" i="9" a="1"/>
  <c r="AL46" i="9" s="1"/>
  <c r="F27" i="21"/>
  <c r="E27" i="21"/>
  <c r="B27" i="21"/>
  <c r="F26" i="21"/>
  <c r="E26" i="21"/>
  <c r="B26" i="21"/>
  <c r="F25" i="21"/>
  <c r="E25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B6" i="21"/>
  <c r="F24" i="21"/>
  <c r="E24" i="21"/>
  <c r="F23" i="21"/>
  <c r="E23" i="21"/>
  <c r="F22" i="21"/>
  <c r="E22" i="21"/>
  <c r="F21" i="21"/>
  <c r="E21" i="21"/>
  <c r="F20" i="21"/>
  <c r="E20" i="21"/>
  <c r="F19" i="21"/>
  <c r="E19" i="21"/>
  <c r="F18" i="21"/>
  <c r="E18" i="21"/>
  <c r="F17" i="21"/>
  <c r="E17" i="21"/>
  <c r="F16" i="21"/>
  <c r="E16" i="21"/>
  <c r="F15" i="21"/>
  <c r="E15" i="21"/>
  <c r="F14" i="21"/>
  <c r="E14" i="21"/>
  <c r="F13" i="21"/>
  <c r="E13" i="21"/>
  <c r="F12" i="21"/>
  <c r="E12" i="21"/>
  <c r="F11" i="21"/>
  <c r="E11" i="21"/>
  <c r="F10" i="21"/>
  <c r="E10" i="21"/>
  <c r="F9" i="21"/>
  <c r="E9" i="21"/>
  <c r="F8" i="21"/>
  <c r="E8" i="21"/>
  <c r="F7" i="21"/>
  <c r="E7" i="21"/>
  <c r="F6" i="21"/>
  <c r="E6" i="21"/>
  <c r="AQ49" i="9"/>
  <c r="AQ48" i="9"/>
  <c r="AQ47" i="9"/>
  <c r="AQ46" i="9"/>
  <c r="AQ45" i="9"/>
  <c r="AQ44" i="9"/>
  <c r="AQ43" i="9"/>
  <c r="AQ42" i="9"/>
  <c r="AQ41" i="9"/>
  <c r="AQ40" i="9"/>
  <c r="AQ39" i="9"/>
  <c r="AQ38" i="9"/>
  <c r="AQ37" i="9"/>
  <c r="AQ36" i="9"/>
  <c r="AQ35" i="9"/>
  <c r="AQ34" i="9"/>
  <c r="AQ33" i="9"/>
  <c r="AQ32" i="9"/>
  <c r="AQ31" i="9"/>
  <c r="AQ30" i="9"/>
  <c r="AQ29" i="9"/>
  <c r="AQ28" i="9"/>
  <c r="AQ27" i="9"/>
  <c r="AP48" i="9" a="1"/>
  <c r="AP48" i="9" s="1"/>
  <c r="AP47" i="9" a="1"/>
  <c r="AP47" i="9" s="1"/>
  <c r="AP46" i="9" a="1"/>
  <c r="AP46" i="9" s="1"/>
  <c r="AP45" i="9"/>
  <c r="AP45" i="9" a="1"/>
  <c r="AP44" i="9" a="1"/>
  <c r="AP44" i="9" s="1"/>
  <c r="AP43" i="9" a="1"/>
  <c r="AP43" i="9" s="1"/>
  <c r="AP42" i="9" a="1"/>
  <c r="AP42" i="9" s="1"/>
  <c r="AP41" i="9"/>
  <c r="AP41" i="9" a="1"/>
  <c r="AP40" i="9" a="1"/>
  <c r="AP40" i="9" s="1"/>
  <c r="AP39" i="9" a="1"/>
  <c r="AP39" i="9" s="1"/>
  <c r="AP38" i="9" a="1"/>
  <c r="AP38" i="9" s="1"/>
  <c r="AP37" i="9"/>
  <c r="AP37" i="9" a="1"/>
  <c r="AP36" i="9" a="1"/>
  <c r="AP36" i="9" s="1"/>
  <c r="AP35" i="9" a="1"/>
  <c r="AP35" i="9" s="1"/>
  <c r="AP34" i="9" a="1"/>
  <c r="AP34" i="9" s="1"/>
  <c r="AP33" i="9"/>
  <c r="AP33" i="9" a="1"/>
  <c r="AP32" i="9" a="1"/>
  <c r="AP32" i="9" s="1"/>
  <c r="AP31" i="9" a="1"/>
  <c r="AP31" i="9" s="1"/>
  <c r="AP30" i="9" a="1"/>
  <c r="AP30" i="9" s="1"/>
  <c r="AP29" i="9"/>
  <c r="AP29" i="9" a="1"/>
  <c r="AP28" i="9" a="1"/>
  <c r="AP28" i="9" s="1"/>
  <c r="AP27" i="9" a="1"/>
  <c r="AP27" i="9" s="1"/>
  <c r="AO28" i="9"/>
  <c r="AO29" i="9"/>
  <c r="AO30" i="9"/>
  <c r="AO31" i="9"/>
  <c r="AO32" i="9"/>
  <c r="AO33" i="9"/>
  <c r="AO34" i="9"/>
  <c r="AO35" i="9"/>
  <c r="AO36" i="9"/>
  <c r="AO37" i="9"/>
  <c r="AO38" i="9"/>
  <c r="AO39" i="9"/>
  <c r="AO40" i="9"/>
  <c r="AO41" i="9"/>
  <c r="AO42" i="9"/>
  <c r="AO43" i="9"/>
  <c r="AO44" i="9"/>
  <c r="AO45" i="9"/>
  <c r="AO46" i="9"/>
  <c r="AO47" i="9"/>
  <c r="AO48" i="9"/>
  <c r="AO27" i="9"/>
  <c r="I31" i="19"/>
  <c r="AC51" i="9" a="1"/>
  <c r="AC51" i="9" s="1"/>
  <c r="AB51" i="9" a="1"/>
  <c r="AB51" i="9" s="1"/>
  <c r="AA51" i="9" a="1"/>
  <c r="AA51" i="9" s="1"/>
  <c r="Z51" i="9" a="1"/>
  <c r="Z51" i="9" s="1"/>
  <c r="Y51" i="9" a="1"/>
  <c r="Y51" i="9" s="1"/>
  <c r="X51" i="9" a="1"/>
  <c r="X51" i="9" s="1"/>
  <c r="W51" i="9" a="1"/>
  <c r="W51" i="9" s="1"/>
  <c r="V51" i="9" a="1"/>
  <c r="V51" i="9" s="1"/>
  <c r="U51" i="9" a="1"/>
  <c r="U51" i="9" s="1"/>
  <c r="T51" i="9" a="1"/>
  <c r="T51" i="9" s="1"/>
  <c r="S51" i="9" a="1"/>
  <c r="S51" i="9" s="1"/>
  <c r="R51" i="9" a="1"/>
  <c r="R51" i="9" s="1"/>
  <c r="Q51" i="9" a="1"/>
  <c r="Q51" i="9" s="1"/>
  <c r="P51" i="9" a="1"/>
  <c r="P51" i="9" s="1"/>
  <c r="O51" i="9" a="1"/>
  <c r="O51" i="9" s="1"/>
  <c r="N51" i="9" a="1"/>
  <c r="N51" i="9" s="1"/>
  <c r="L51" i="9" a="1"/>
  <c r="L51" i="9" s="1"/>
  <c r="K51" i="9" a="1"/>
  <c r="K51" i="9" s="1"/>
  <c r="J51" i="9" a="1"/>
  <c r="J51" i="9" s="1"/>
  <c r="I51" i="9" a="1"/>
  <c r="I51" i="9" s="1"/>
  <c r="H51" i="9" a="1"/>
  <c r="H51" i="9" s="1"/>
  <c r="G51" i="9" a="1"/>
  <c r="G51" i="9" s="1"/>
  <c r="F51" i="9" a="1"/>
  <c r="F51" i="9" s="1"/>
  <c r="E51" i="9" a="1"/>
  <c r="E51" i="9" s="1"/>
  <c r="D51" i="9" a="1"/>
  <c r="D51" i="9" s="1"/>
  <c r="C51" i="9" a="1"/>
  <c r="C51" i="9" s="1"/>
  <c r="M51" i="9" a="1"/>
  <c r="M51" i="9" s="1"/>
  <c r="AN48" i="9" a="1"/>
  <c r="AN48" i="9" s="1"/>
  <c r="D27" i="21" s="1"/>
  <c r="AN47" i="9" a="1"/>
  <c r="AN47" i="9" s="1"/>
  <c r="D26" i="21" s="1"/>
  <c r="AN46" i="9" a="1"/>
  <c r="AN46" i="9" s="1"/>
  <c r="D25" i="21" s="1"/>
  <c r="AN45" i="9" a="1"/>
  <c r="AN45" i="9" s="1"/>
  <c r="D24" i="21" s="1"/>
  <c r="AN44" i="9" a="1"/>
  <c r="AN44" i="9" s="1"/>
  <c r="D23" i="21" s="1"/>
  <c r="AN43" i="9" a="1"/>
  <c r="AN43" i="9" s="1"/>
  <c r="D22" i="21" s="1"/>
  <c r="AN42" i="9" a="1"/>
  <c r="AN42" i="9" s="1"/>
  <c r="D21" i="21" s="1"/>
  <c r="AN41" i="9" a="1"/>
  <c r="AN41" i="9" s="1"/>
  <c r="D20" i="21" s="1"/>
  <c r="AN40" i="9" a="1"/>
  <c r="AN40" i="9" s="1"/>
  <c r="D19" i="21" s="1"/>
  <c r="AN39" i="9" a="1"/>
  <c r="AN39" i="9" s="1"/>
  <c r="D18" i="21" s="1"/>
  <c r="AN38" i="9" a="1"/>
  <c r="AN38" i="9" s="1"/>
  <c r="D17" i="21" s="1"/>
  <c r="AN37" i="9" a="1"/>
  <c r="AN37" i="9" s="1"/>
  <c r="D16" i="21" s="1"/>
  <c r="AN36" i="9" a="1"/>
  <c r="AN36" i="9" s="1"/>
  <c r="D15" i="21" s="1"/>
  <c r="AN35" i="9" a="1"/>
  <c r="AN35" i="9" s="1"/>
  <c r="D14" i="21" s="1"/>
  <c r="AN34" i="9" a="1"/>
  <c r="AN34" i="9" s="1"/>
  <c r="D13" i="21" s="1"/>
  <c r="AN33" i="9" a="1"/>
  <c r="AN33" i="9" s="1"/>
  <c r="D12" i="21" s="1"/>
  <c r="AN32" i="9" a="1"/>
  <c r="AN32" i="9" s="1"/>
  <c r="D11" i="21" s="1"/>
  <c r="AN31" i="9" a="1"/>
  <c r="AN31" i="9" s="1"/>
  <c r="D10" i="21" s="1"/>
  <c r="AN30" i="9" a="1"/>
  <c r="AN30" i="9" s="1"/>
  <c r="D9" i="21" s="1"/>
  <c r="AN29" i="9" a="1"/>
  <c r="AN29" i="9" s="1"/>
  <c r="D8" i="21" s="1"/>
  <c r="AN28" i="9" a="1"/>
  <c r="AN28" i="9" s="1"/>
  <c r="D7" i="21" s="1"/>
  <c r="AN27" i="9" a="1"/>
  <c r="AN27" i="9" s="1"/>
  <c r="D6" i="21" s="1"/>
  <c r="AM48" i="9" a="1"/>
  <c r="AM48" i="9" s="1"/>
  <c r="C27" i="21" s="1"/>
  <c r="AM47" i="9" a="1"/>
  <c r="AM47" i="9" s="1"/>
  <c r="C26" i="21" s="1"/>
  <c r="AM46" i="9" a="1"/>
  <c r="AM46" i="9" s="1"/>
  <c r="C25" i="21" s="1"/>
  <c r="AM45" i="9" a="1"/>
  <c r="AM45" i="9" s="1"/>
  <c r="C24" i="21" s="1"/>
  <c r="AM44" i="9" a="1"/>
  <c r="AM44" i="9" s="1"/>
  <c r="C23" i="21" s="1"/>
  <c r="AM43" i="9" a="1"/>
  <c r="AM43" i="9" s="1"/>
  <c r="C22" i="21" s="1"/>
  <c r="AM42" i="9" a="1"/>
  <c r="AM42" i="9" s="1"/>
  <c r="C21" i="21" s="1"/>
  <c r="AM41" i="9" a="1"/>
  <c r="AM41" i="9" s="1"/>
  <c r="C20" i="21" s="1"/>
  <c r="AM40" i="9" a="1"/>
  <c r="AM40" i="9" s="1"/>
  <c r="C19" i="21" s="1"/>
  <c r="AM39" i="9" a="1"/>
  <c r="AM39" i="9" s="1"/>
  <c r="C18" i="21" s="1"/>
  <c r="AM38" i="9" a="1"/>
  <c r="AM38" i="9" s="1"/>
  <c r="C17" i="21" s="1"/>
  <c r="AM37" i="9" a="1"/>
  <c r="AM37" i="9" s="1"/>
  <c r="C16" i="21" s="1"/>
  <c r="AM36" i="9" a="1"/>
  <c r="AM36" i="9" s="1"/>
  <c r="C15" i="21" s="1"/>
  <c r="AM35" i="9" a="1"/>
  <c r="AM35" i="9" s="1"/>
  <c r="C14" i="21" s="1"/>
  <c r="AM34" i="9" a="1"/>
  <c r="AM34" i="9" s="1"/>
  <c r="C13" i="21" s="1"/>
  <c r="AM33" i="9" a="1"/>
  <c r="AM33" i="9" s="1"/>
  <c r="C12" i="21" s="1"/>
  <c r="AM32" i="9" a="1"/>
  <c r="AM32" i="9" s="1"/>
  <c r="C11" i="21" s="1"/>
  <c r="AM31" i="9" a="1"/>
  <c r="AM31" i="9" s="1"/>
  <c r="C10" i="21" s="1"/>
  <c r="AM30" i="9" a="1"/>
  <c r="AM30" i="9" s="1"/>
  <c r="C9" i="21" s="1"/>
  <c r="AM29" i="9" a="1"/>
  <c r="AM29" i="9" s="1"/>
  <c r="C8" i="21" s="1"/>
  <c r="AM28" i="9" a="1"/>
  <c r="AM28" i="9" s="1"/>
  <c r="C7" i="21" s="1"/>
  <c r="AM27" i="9" a="1"/>
  <c r="AM27" i="9" s="1"/>
  <c r="C6" i="21" s="1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96" i="12"/>
  <c r="K97" i="12"/>
  <c r="K98" i="12"/>
  <c r="K99" i="12"/>
  <c r="K100" i="12"/>
  <c r="K101" i="12"/>
  <c r="K102" i="12"/>
  <c r="K103" i="12"/>
  <c r="K104" i="12"/>
  <c r="K105" i="12"/>
  <c r="K106" i="12"/>
  <c r="K107" i="12"/>
  <c r="K108" i="12"/>
  <c r="K109" i="12"/>
  <c r="K110" i="12"/>
  <c r="K111" i="12"/>
  <c r="K112" i="12"/>
  <c r="K113" i="12"/>
  <c r="K114" i="12"/>
  <c r="K115" i="12"/>
  <c r="K116" i="12"/>
  <c r="K117" i="12"/>
  <c r="K118" i="12"/>
  <c r="K119" i="12"/>
  <c r="K120" i="12"/>
  <c r="K121" i="12"/>
  <c r="K122" i="12"/>
  <c r="K123" i="12"/>
  <c r="K124" i="12"/>
  <c r="K125" i="12"/>
  <c r="K126" i="12"/>
  <c r="K127" i="12"/>
  <c r="K128" i="12"/>
  <c r="K129" i="12"/>
  <c r="K130" i="12"/>
  <c r="K131" i="12"/>
  <c r="K132" i="12"/>
  <c r="K133" i="12"/>
  <c r="K134" i="12"/>
  <c r="K135" i="12"/>
  <c r="K136" i="12"/>
  <c r="K137" i="12"/>
  <c r="K138" i="12"/>
  <c r="K139" i="12"/>
  <c r="K140" i="12"/>
  <c r="K141" i="12"/>
  <c r="K142" i="12"/>
  <c r="K143" i="12"/>
  <c r="K144" i="12"/>
  <c r="K145" i="12"/>
  <c r="K146" i="12"/>
  <c r="K147" i="12"/>
  <c r="K148" i="12"/>
  <c r="K149" i="12"/>
  <c r="K150" i="12"/>
  <c r="K151" i="12"/>
  <c r="K152" i="12"/>
  <c r="K153" i="12"/>
  <c r="K154" i="12"/>
  <c r="K155" i="12"/>
  <c r="K156" i="12"/>
  <c r="K157" i="12"/>
  <c r="K158" i="12"/>
  <c r="K159" i="12"/>
  <c r="K160" i="12"/>
  <c r="K161" i="12"/>
  <c r="K162" i="12"/>
  <c r="K163" i="12"/>
  <c r="K164" i="12"/>
  <c r="K165" i="12"/>
  <c r="K166" i="12"/>
  <c r="K167" i="12"/>
  <c r="K168" i="12"/>
  <c r="K169" i="12"/>
  <c r="K170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AG48" i="9" a="1"/>
  <c r="AG48" i="9" s="1"/>
  <c r="AH48" i="9" s="1"/>
  <c r="AI48" i="9" s="1" a="1"/>
  <c r="AI48" i="9" s="1"/>
  <c r="AJ48" i="9" s="1"/>
  <c r="AK48" i="9" s="1"/>
  <c r="AG47" i="9" a="1"/>
  <c r="AG47" i="9" s="1"/>
  <c r="AH47" i="9" s="1"/>
  <c r="AI47" i="9" s="1" a="1"/>
  <c r="AI47" i="9" s="1"/>
  <c r="AJ47" i="9" s="1"/>
  <c r="AK47" i="9" s="1"/>
  <c r="AG46" i="9" a="1"/>
  <c r="AG46" i="9" s="1"/>
  <c r="AH46" i="9" s="1"/>
  <c r="AI46" i="9" s="1" a="1"/>
  <c r="AI46" i="9" s="1"/>
  <c r="AJ46" i="9" s="1"/>
  <c r="AK46" i="9" s="1"/>
  <c r="AG45" i="9" a="1"/>
  <c r="AG45" i="9" s="1"/>
  <c r="AH45" i="9" s="1"/>
  <c r="AG44" i="9" a="1"/>
  <c r="AG44" i="9" s="1"/>
  <c r="AH44" i="9" s="1"/>
  <c r="AG43" i="9" a="1"/>
  <c r="AG43" i="9" s="1"/>
  <c r="AH43" i="9" s="1"/>
  <c r="AG42" i="9" a="1"/>
  <c r="AG42" i="9" s="1"/>
  <c r="AH42" i="9" s="1"/>
  <c r="AG41" i="9" a="1"/>
  <c r="AG41" i="9" s="1"/>
  <c r="AH41" i="9" s="1"/>
  <c r="AG40" i="9" a="1"/>
  <c r="AG40" i="9" s="1"/>
  <c r="AH40" i="9" s="1"/>
  <c r="AG39" i="9" a="1"/>
  <c r="AG39" i="9" s="1"/>
  <c r="AH39" i="9" s="1"/>
  <c r="AG38" i="9" a="1"/>
  <c r="AG38" i="9" s="1"/>
  <c r="AH38" i="9" s="1"/>
  <c r="AG37" i="9" a="1"/>
  <c r="AG37" i="9" s="1"/>
  <c r="AH37" i="9" s="1"/>
  <c r="AG36" i="9" a="1"/>
  <c r="AG36" i="9" s="1"/>
  <c r="AH36" i="9" s="1"/>
  <c r="AG35" i="9" a="1"/>
  <c r="AG35" i="9" s="1"/>
  <c r="AH35" i="9" s="1"/>
  <c r="AG34" i="9" a="1"/>
  <c r="AG34" i="9" s="1"/>
  <c r="AH34" i="9" s="1"/>
  <c r="AG33" i="9" a="1"/>
  <c r="AG33" i="9" s="1"/>
  <c r="AH33" i="9" s="1"/>
  <c r="AG32" i="9" a="1"/>
  <c r="AG32" i="9" s="1"/>
  <c r="AH32" i="9" s="1"/>
  <c r="AG31" i="9" a="1"/>
  <c r="AG31" i="9" s="1"/>
  <c r="AH31" i="9" s="1"/>
  <c r="AG30" i="9" a="1"/>
  <c r="AG30" i="9" s="1"/>
  <c r="AH30" i="9" s="1"/>
  <c r="AG29" i="9" a="1"/>
  <c r="AG29" i="9" s="1"/>
  <c r="AH29" i="9" s="1"/>
  <c r="AG28" i="9" a="1"/>
  <c r="AG28" i="9" s="1"/>
  <c r="AH28" i="9" s="1"/>
  <c r="AG27" i="9" a="1"/>
  <c r="AG27" i="9" s="1"/>
  <c r="AH27" i="9" s="1"/>
  <c r="F28" i="21" l="1"/>
  <c r="F29" i="21" s="1"/>
  <c r="F29" i="15"/>
  <c r="H28" i="15"/>
  <c r="G28" i="15"/>
  <c r="H27" i="15"/>
  <c r="G27" i="15"/>
  <c r="H26" i="15"/>
  <c r="I26" i="15" s="1"/>
  <c r="G26" i="15"/>
  <c r="H25" i="15"/>
  <c r="I25" i="15" s="1"/>
  <c r="G25" i="15"/>
  <c r="H24" i="15"/>
  <c r="I24" i="15" s="1"/>
  <c r="G24" i="15"/>
  <c r="H23" i="15"/>
  <c r="G23" i="15"/>
  <c r="H22" i="15"/>
  <c r="G22" i="15"/>
  <c r="H21" i="15"/>
  <c r="G21" i="15"/>
  <c r="H20" i="15"/>
  <c r="G20" i="15"/>
  <c r="H19" i="15"/>
  <c r="G19" i="15"/>
  <c r="H18" i="15"/>
  <c r="I18" i="15" s="1"/>
  <c r="G18" i="15"/>
  <c r="H17" i="15"/>
  <c r="I17" i="15" s="1"/>
  <c r="G17" i="15"/>
  <c r="H16" i="15"/>
  <c r="I16" i="15" s="1"/>
  <c r="G16" i="15"/>
  <c r="H15" i="15"/>
  <c r="G15" i="15"/>
  <c r="H14" i="15"/>
  <c r="G14" i="15"/>
  <c r="H13" i="15"/>
  <c r="G13" i="15"/>
  <c r="H12" i="15"/>
  <c r="G12" i="15"/>
  <c r="H11" i="15"/>
  <c r="G11" i="15"/>
  <c r="H10" i="15"/>
  <c r="I10" i="15" s="1"/>
  <c r="G10" i="15"/>
  <c r="H9" i="15"/>
  <c r="I9" i="15" s="1"/>
  <c r="G9" i="15"/>
  <c r="H8" i="15"/>
  <c r="I8" i="15" s="1"/>
  <c r="G8" i="15"/>
  <c r="H7" i="15"/>
  <c r="G7" i="15"/>
  <c r="H6" i="15"/>
  <c r="G6" i="15"/>
  <c r="H5" i="15"/>
  <c r="G5" i="15"/>
  <c r="H4" i="15"/>
  <c r="G4" i="15"/>
  <c r="G4" i="19"/>
  <c r="H4" i="19"/>
  <c r="I4" i="19" s="1"/>
  <c r="G5" i="19"/>
  <c r="H5" i="19"/>
  <c r="I5" i="19" s="1"/>
  <c r="G6" i="19"/>
  <c r="H6" i="19"/>
  <c r="I6" i="19" s="1"/>
  <c r="G7" i="19"/>
  <c r="H7" i="19"/>
  <c r="G8" i="19"/>
  <c r="H8" i="19"/>
  <c r="G9" i="19"/>
  <c r="H9" i="19"/>
  <c r="G10" i="19"/>
  <c r="H10" i="19"/>
  <c r="I10" i="19" s="1"/>
  <c r="G11" i="19"/>
  <c r="H11" i="19"/>
  <c r="I11" i="19" s="1"/>
  <c r="G12" i="19"/>
  <c r="H12" i="19"/>
  <c r="I12" i="19" s="1"/>
  <c r="G13" i="19"/>
  <c r="H13" i="19"/>
  <c r="I13" i="19" s="1"/>
  <c r="G14" i="19"/>
  <c r="H14" i="19"/>
  <c r="G15" i="19"/>
  <c r="H15" i="19"/>
  <c r="G16" i="19"/>
  <c r="H16" i="19"/>
  <c r="G17" i="19"/>
  <c r="H17" i="19"/>
  <c r="G18" i="19"/>
  <c r="H18" i="19"/>
  <c r="G19" i="19"/>
  <c r="H19" i="19"/>
  <c r="I19" i="19" s="1"/>
  <c r="G20" i="19"/>
  <c r="H20" i="19"/>
  <c r="I20" i="19" s="1"/>
  <c r="G21" i="19"/>
  <c r="H21" i="19"/>
  <c r="I21" i="19" s="1"/>
  <c r="G22" i="19"/>
  <c r="H22" i="19"/>
  <c r="G23" i="19"/>
  <c r="H23" i="19"/>
  <c r="G24" i="19"/>
  <c r="H24" i="19"/>
  <c r="I24" i="19" s="1"/>
  <c r="G25" i="19"/>
  <c r="H25" i="19"/>
  <c r="I25" i="19" s="1"/>
  <c r="G26" i="19"/>
  <c r="H26" i="19"/>
  <c r="I26" i="19" s="1"/>
  <c r="G27" i="19"/>
  <c r="H27" i="19"/>
  <c r="I27" i="19" s="1"/>
  <c r="G28" i="19"/>
  <c r="H28" i="19"/>
  <c r="I28" i="19" s="1"/>
  <c r="F29" i="19"/>
  <c r="H29" i="15" l="1"/>
  <c r="I5" i="15"/>
  <c r="I21" i="15"/>
  <c r="I4" i="15"/>
  <c r="I7" i="15"/>
  <c r="I13" i="15"/>
  <c r="I19" i="15"/>
  <c r="I22" i="15"/>
  <c r="I28" i="15"/>
  <c r="I6" i="15"/>
  <c r="I12" i="15"/>
  <c r="I15" i="15"/>
  <c r="I27" i="15"/>
  <c r="I11" i="15"/>
  <c r="I14" i="15"/>
  <c r="I20" i="15"/>
  <c r="I23" i="15"/>
  <c r="G29" i="15"/>
  <c r="I17" i="19"/>
  <c r="I14" i="19"/>
  <c r="I8" i="19"/>
  <c r="H29" i="19"/>
  <c r="I15" i="19"/>
  <c r="I22" i="19"/>
  <c r="I16" i="19"/>
  <c r="I7" i="19"/>
  <c r="I23" i="19"/>
  <c r="I9" i="19"/>
  <c r="I18" i="19"/>
  <c r="G29" i="19"/>
  <c r="I29" i="15" l="1"/>
  <c r="I29" i="19"/>
  <c r="F37" i="12"/>
  <c r="G37" i="12"/>
  <c r="H37" i="12"/>
  <c r="F73" i="12"/>
  <c r="G73" i="12"/>
  <c r="H73" i="12"/>
  <c r="F50" i="12"/>
  <c r="G50" i="12"/>
  <c r="H50" i="12"/>
  <c r="F48" i="12"/>
  <c r="G48" i="12"/>
  <c r="H48" i="12"/>
  <c r="F45" i="12"/>
  <c r="G45" i="12"/>
  <c r="H45" i="12"/>
  <c r="F47" i="12"/>
  <c r="G47" i="12"/>
  <c r="H47" i="12"/>
  <c r="F51" i="12"/>
  <c r="G51" i="12"/>
  <c r="H51" i="12"/>
  <c r="F53" i="12"/>
  <c r="G53" i="12"/>
  <c r="H53" i="12"/>
  <c r="F54" i="12"/>
  <c r="G54" i="12"/>
  <c r="H54" i="12"/>
  <c r="F55" i="12"/>
  <c r="G55" i="12"/>
  <c r="H55" i="12"/>
  <c r="F56" i="12"/>
  <c r="G56" i="12"/>
  <c r="H56" i="12"/>
  <c r="F57" i="12"/>
  <c r="G57" i="12"/>
  <c r="H57" i="12"/>
  <c r="F26" i="12"/>
  <c r="G26" i="12"/>
  <c r="H26" i="12"/>
  <c r="F27" i="12"/>
  <c r="G27" i="12"/>
  <c r="H27" i="12"/>
  <c r="F28" i="12"/>
  <c r="G28" i="12"/>
  <c r="H28" i="12"/>
  <c r="F29" i="12"/>
  <c r="G29" i="12"/>
  <c r="H29" i="12"/>
  <c r="F30" i="12"/>
  <c r="G30" i="12"/>
  <c r="H30" i="12"/>
  <c r="F58" i="12"/>
  <c r="G58" i="12"/>
  <c r="H58" i="12"/>
  <c r="H87" i="12"/>
  <c r="G87" i="12"/>
  <c r="F87" i="12"/>
  <c r="F74" i="12"/>
  <c r="G74" i="12"/>
  <c r="H74" i="12"/>
  <c r="F75" i="12"/>
  <c r="G75" i="12"/>
  <c r="H75" i="12"/>
  <c r="F76" i="12"/>
  <c r="G76" i="12"/>
  <c r="H76" i="12"/>
  <c r="F77" i="12"/>
  <c r="G77" i="12"/>
  <c r="H77" i="12"/>
  <c r="F78" i="12"/>
  <c r="G78" i="12"/>
  <c r="H78" i="12"/>
  <c r="F79" i="12"/>
  <c r="G79" i="12"/>
  <c r="H79" i="12"/>
  <c r="F80" i="12"/>
  <c r="G80" i="12"/>
  <c r="H80" i="12"/>
  <c r="F81" i="12"/>
  <c r="G81" i="12"/>
  <c r="H81" i="12"/>
  <c r="F82" i="12"/>
  <c r="G82" i="12"/>
  <c r="H82" i="12"/>
  <c r="F83" i="12"/>
  <c r="G83" i="12"/>
  <c r="H83" i="12"/>
  <c r="F84" i="12"/>
  <c r="G84" i="12"/>
  <c r="H84" i="12"/>
  <c r="F85" i="12"/>
  <c r="G85" i="12"/>
  <c r="H85" i="12"/>
  <c r="F86" i="12"/>
  <c r="G86" i="12"/>
  <c r="H86" i="12"/>
  <c r="F88" i="12"/>
  <c r="G88" i="12"/>
  <c r="H88" i="12"/>
  <c r="F105" i="12"/>
  <c r="G105" i="12"/>
  <c r="H105" i="12"/>
  <c r="F106" i="12"/>
  <c r="G106" i="12"/>
  <c r="H106" i="12"/>
  <c r="F107" i="12"/>
  <c r="G107" i="12"/>
  <c r="H107" i="12"/>
  <c r="B7" i="16" a="1"/>
  <c r="B7" i="16" s="1"/>
  <c r="F90" i="12"/>
  <c r="G90" i="12"/>
  <c r="H90" i="12"/>
  <c r="F91" i="12"/>
  <c r="G91" i="12"/>
  <c r="H91" i="12"/>
  <c r="F92" i="12"/>
  <c r="G92" i="12"/>
  <c r="H92" i="12"/>
  <c r="F93" i="12"/>
  <c r="G93" i="12"/>
  <c r="H93" i="12"/>
  <c r="F31" i="12"/>
  <c r="G31" i="12"/>
  <c r="H31" i="12"/>
  <c r="F52" i="12" l="1"/>
  <c r="G52" i="12"/>
  <c r="H52" i="12"/>
  <c r="F59" i="12"/>
  <c r="G59" i="12"/>
  <c r="H59" i="12"/>
  <c r="F60" i="12"/>
  <c r="G60" i="12"/>
  <c r="H60" i="12"/>
  <c r="F61" i="12"/>
  <c r="G61" i="12"/>
  <c r="H61" i="12"/>
  <c r="F62" i="12"/>
  <c r="G62" i="12"/>
  <c r="H62" i="12"/>
  <c r="F63" i="12"/>
  <c r="G63" i="12"/>
  <c r="H63" i="12"/>
  <c r="F64" i="12"/>
  <c r="G64" i="12"/>
  <c r="H64" i="12"/>
  <c r="F65" i="12"/>
  <c r="G65" i="12"/>
  <c r="H65" i="12"/>
  <c r="F66" i="12"/>
  <c r="G66" i="12"/>
  <c r="H66" i="12"/>
  <c r="F67" i="12"/>
  <c r="G67" i="12"/>
  <c r="H67" i="12"/>
  <c r="F68" i="12"/>
  <c r="G68" i="12"/>
  <c r="H68" i="12"/>
  <c r="F69" i="12"/>
  <c r="G69" i="12"/>
  <c r="H69" i="12"/>
  <c r="F70" i="12"/>
  <c r="G70" i="12"/>
  <c r="H70" i="12"/>
  <c r="F71" i="12"/>
  <c r="G71" i="12"/>
  <c r="H71" i="12"/>
  <c r="F72" i="12"/>
  <c r="G72" i="12"/>
  <c r="H72" i="12"/>
  <c r="F89" i="12"/>
  <c r="G89" i="12"/>
  <c r="H89" i="12"/>
  <c r="F94" i="12"/>
  <c r="G94" i="12"/>
  <c r="H94" i="12"/>
  <c r="F95" i="12"/>
  <c r="G95" i="12"/>
  <c r="H95" i="12"/>
  <c r="F96" i="12"/>
  <c r="G96" i="12"/>
  <c r="H96" i="12"/>
  <c r="F97" i="12"/>
  <c r="G97" i="12"/>
  <c r="H97" i="12"/>
  <c r="F98" i="12"/>
  <c r="G98" i="12"/>
  <c r="H98" i="12"/>
  <c r="F99" i="12"/>
  <c r="G99" i="12"/>
  <c r="H99" i="12"/>
  <c r="F100" i="12"/>
  <c r="G100" i="12"/>
  <c r="H100" i="12"/>
  <c r="F101" i="12"/>
  <c r="G101" i="12"/>
  <c r="H101" i="12"/>
  <c r="F102" i="12"/>
  <c r="G102" i="12"/>
  <c r="H102" i="12"/>
  <c r="F103" i="12"/>
  <c r="G103" i="12"/>
  <c r="H103" i="12"/>
  <c r="F104" i="12"/>
  <c r="G104" i="12"/>
  <c r="H104" i="12"/>
  <c r="AD48" i="9"/>
  <c r="AD47" i="9"/>
  <c r="AD46" i="9"/>
  <c r="AD45" i="9"/>
  <c r="AD44" i="9"/>
  <c r="AD43" i="9"/>
  <c r="AD42" i="9"/>
  <c r="AD41" i="9"/>
  <c r="AD40" i="9"/>
  <c r="AD39" i="9"/>
  <c r="AD38" i="9"/>
  <c r="AD37" i="9"/>
  <c r="AD36" i="9"/>
  <c r="AD35" i="9"/>
  <c r="AD34" i="9"/>
  <c r="AD33" i="9"/>
  <c r="AD32" i="9"/>
  <c r="AD31" i="9"/>
  <c r="AD30" i="9"/>
  <c r="AD29" i="9"/>
  <c r="AD28" i="9"/>
  <c r="AD27" i="9"/>
  <c r="J21" i="9"/>
  <c r="G23" i="9"/>
  <c r="J23" i="9"/>
  <c r="F138" i="12"/>
  <c r="G138" i="12"/>
  <c r="H138" i="12"/>
  <c r="AD49" i="9" l="1"/>
  <c r="J22" i="9" s="1"/>
  <c r="D7" i="16" a="1"/>
  <c r="D7" i="16" s="1"/>
  <c r="C7" i="16" a="1"/>
  <c r="C7" i="16" s="1"/>
  <c r="F162" i="12" l="1"/>
  <c r="F163" i="12"/>
  <c r="F164" i="12"/>
  <c r="F165" i="12"/>
  <c r="F166" i="12"/>
  <c r="F167" i="12"/>
  <c r="F168" i="12"/>
  <c r="F169" i="12"/>
  <c r="F170" i="12"/>
  <c r="G162" i="12"/>
  <c r="G163" i="12"/>
  <c r="G164" i="12"/>
  <c r="G165" i="12"/>
  <c r="G166" i="12"/>
  <c r="G167" i="12"/>
  <c r="G168" i="12"/>
  <c r="G169" i="12"/>
  <c r="G170" i="12"/>
  <c r="H162" i="12"/>
  <c r="H163" i="12"/>
  <c r="H164" i="12"/>
  <c r="H165" i="12"/>
  <c r="H166" i="12"/>
  <c r="H167" i="12"/>
  <c r="H168" i="12"/>
  <c r="H169" i="12"/>
  <c r="H170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H140" i="12"/>
  <c r="H141" i="12"/>
  <c r="H142" i="12"/>
  <c r="H143" i="12"/>
  <c r="H144" i="12"/>
  <c r="H145" i="12"/>
  <c r="H146" i="12"/>
  <c r="H147" i="12"/>
  <c r="H148" i="12"/>
  <c r="H149" i="12"/>
  <c r="H150" i="12"/>
  <c r="H151" i="12"/>
  <c r="H152" i="12"/>
  <c r="H153" i="12"/>
  <c r="H154" i="12"/>
  <c r="H155" i="12"/>
  <c r="H156" i="12"/>
  <c r="H157" i="12"/>
  <c r="H158" i="12"/>
  <c r="H159" i="12"/>
  <c r="H160" i="12"/>
  <c r="H161" i="12"/>
  <c r="AC25" i="9"/>
  <c r="AB25" i="9"/>
  <c r="AA25" i="9"/>
  <c r="Z25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C16" i="9" l="1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32" i="12"/>
  <c r="H33" i="12"/>
  <c r="H34" i="12"/>
  <c r="H35" i="12"/>
  <c r="H36" i="12"/>
  <c r="H38" i="12"/>
  <c r="H39" i="12"/>
  <c r="H40" i="12"/>
  <c r="H41" i="12"/>
  <c r="H42" i="12"/>
  <c r="H43" i="12"/>
  <c r="H44" i="12"/>
  <c r="H46" i="12"/>
  <c r="H49" i="12"/>
  <c r="H108" i="12"/>
  <c r="H109" i="12"/>
  <c r="H110" i="12"/>
  <c r="H111" i="12"/>
  <c r="H112" i="12"/>
  <c r="H113" i="12"/>
  <c r="H114" i="12"/>
  <c r="H115" i="12"/>
  <c r="H116" i="12"/>
  <c r="H117" i="12"/>
  <c r="H118" i="12"/>
  <c r="H119" i="12"/>
  <c r="H120" i="12"/>
  <c r="H121" i="12"/>
  <c r="H122" i="12"/>
  <c r="H123" i="12"/>
  <c r="H124" i="12"/>
  <c r="H125" i="12"/>
  <c r="H126" i="12"/>
  <c r="H127" i="12"/>
  <c r="H128" i="12"/>
  <c r="H129" i="12"/>
  <c r="H130" i="12"/>
  <c r="H131" i="12"/>
  <c r="H132" i="12"/>
  <c r="H133" i="12"/>
  <c r="H134" i="12"/>
  <c r="H135" i="12"/>
  <c r="H136" i="12"/>
  <c r="H137" i="12"/>
  <c r="H139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32" i="12"/>
  <c r="G33" i="12"/>
  <c r="G34" i="12"/>
  <c r="G35" i="12"/>
  <c r="G36" i="12"/>
  <c r="G38" i="12"/>
  <c r="G39" i="12"/>
  <c r="G40" i="12"/>
  <c r="G41" i="12"/>
  <c r="G42" i="12"/>
  <c r="G43" i="12"/>
  <c r="G44" i="12"/>
  <c r="G46" i="12"/>
  <c r="G49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9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32" i="12"/>
  <c r="F33" i="12"/>
  <c r="F34" i="12"/>
  <c r="F35" i="12"/>
  <c r="F36" i="12"/>
  <c r="F38" i="12"/>
  <c r="F39" i="12"/>
  <c r="F40" i="12"/>
  <c r="F41" i="12"/>
  <c r="F42" i="12"/>
  <c r="F43" i="12"/>
  <c r="F44" i="12"/>
  <c r="F46" i="12"/>
  <c r="F49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9" i="12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G2" i="5"/>
  <c r="G3" i="5"/>
  <c r="G4" i="5"/>
  <c r="G5" i="5"/>
  <c r="G6" i="5"/>
  <c r="G7" i="5"/>
  <c r="G8" i="5"/>
  <c r="G9" i="5"/>
  <c r="G10" i="5"/>
  <c r="G11" i="5"/>
  <c r="G12" i="5"/>
  <c r="G13" i="5"/>
  <c r="G14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K12" i="15" l="1"/>
  <c r="K9" i="15"/>
  <c r="K13" i="19"/>
  <c r="K10" i="19"/>
  <c r="K10" i="15"/>
  <c r="K13" i="15"/>
  <c r="K12" i="19"/>
  <c r="K9" i="19"/>
  <c r="K14" i="15"/>
  <c r="K11" i="15"/>
  <c r="K14" i="19"/>
  <c r="K8" i="15"/>
  <c r="K11" i="19"/>
  <c r="K8" i="19"/>
  <c r="AI39" i="9" a="1"/>
  <c r="AI39" i="9" s="1"/>
  <c r="AJ39" i="9" s="1"/>
  <c r="AK39" i="9" s="1"/>
  <c r="AL39" i="9" s="1" a="1"/>
  <c r="AL39" i="9" s="1"/>
  <c r="AI38" i="9" a="1"/>
  <c r="AI38" i="9" s="1"/>
  <c r="AJ38" i="9" s="1"/>
  <c r="AK38" i="9" s="1"/>
  <c r="AL38" i="9" s="1" a="1"/>
  <c r="AL38" i="9" s="1"/>
  <c r="AI40" i="9" a="1"/>
  <c r="AI40" i="9" s="1"/>
  <c r="AJ40" i="9" s="1"/>
  <c r="AK40" i="9" s="1"/>
  <c r="AL40" i="9" s="1" a="1"/>
  <c r="AL40" i="9" s="1"/>
  <c r="L19" i="19"/>
  <c r="L22" i="15"/>
  <c r="L19" i="15"/>
  <c r="L21" i="19"/>
  <c r="L20" i="15"/>
  <c r="L22" i="19"/>
  <c r="L20" i="19"/>
  <c r="L21" i="15"/>
  <c r="J7" i="19"/>
  <c r="J6" i="15"/>
  <c r="J6" i="19"/>
  <c r="J7" i="15"/>
  <c r="J5" i="19"/>
  <c r="J5" i="15"/>
  <c r="AI37" i="9" a="1"/>
  <c r="AI37" i="9" s="1"/>
  <c r="AJ37" i="9" s="1"/>
  <c r="AK37" i="9" s="1"/>
  <c r="AL37" i="9" s="1" a="1"/>
  <c r="AL37" i="9" s="1"/>
  <c r="AI36" i="9" a="1"/>
  <c r="AI36" i="9" s="1"/>
  <c r="AJ36" i="9" s="1"/>
  <c r="AK36" i="9" s="1"/>
  <c r="AL36" i="9" s="1" a="1"/>
  <c r="AL36" i="9" s="1"/>
  <c r="AI35" i="9" a="1"/>
  <c r="AI35" i="9" s="1"/>
  <c r="AJ35" i="9" s="1"/>
  <c r="AK35" i="9" s="1"/>
  <c r="AL35" i="9" s="1" a="1"/>
  <c r="AL35" i="9" s="1"/>
  <c r="L16" i="19"/>
  <c r="L16" i="15"/>
  <c r="L15" i="19"/>
  <c r="L18" i="19"/>
  <c r="L17" i="15"/>
  <c r="L18" i="15"/>
  <c r="L17" i="19"/>
  <c r="L15" i="15"/>
  <c r="AI31" i="9" a="1"/>
  <c r="AI31" i="9" s="1"/>
  <c r="AJ31" i="9" s="1"/>
  <c r="AK31" i="9" s="1"/>
  <c r="AL31" i="9" s="1" a="1"/>
  <c r="AL31" i="9" s="1"/>
  <c r="AI30" i="9" a="1"/>
  <c r="AI30" i="9" s="1"/>
  <c r="AJ30" i="9" s="1"/>
  <c r="AK30" i="9" s="1"/>
  <c r="AL30" i="9" s="1" a="1"/>
  <c r="AL30" i="9" s="1"/>
  <c r="AI29" i="9" a="1"/>
  <c r="AI29" i="9" s="1"/>
  <c r="AJ29" i="9" s="1"/>
  <c r="AK29" i="9" s="1"/>
  <c r="AL29" i="9" s="1" a="1"/>
  <c r="AL29" i="9" s="1"/>
  <c r="AI34" i="9" a="1"/>
  <c r="AI34" i="9" s="1"/>
  <c r="AJ34" i="9" s="1"/>
  <c r="AK34" i="9" s="1"/>
  <c r="AL34" i="9" s="1" a="1"/>
  <c r="AL34" i="9" s="1"/>
  <c r="AI33" i="9" a="1"/>
  <c r="AI33" i="9" s="1"/>
  <c r="AJ33" i="9" s="1"/>
  <c r="AK33" i="9" s="1"/>
  <c r="AL33" i="9" s="1" a="1"/>
  <c r="AL33" i="9" s="1"/>
  <c r="AI32" i="9" a="1"/>
  <c r="AI32" i="9" s="1"/>
  <c r="AJ32" i="9" s="1"/>
  <c r="AK32" i="9" s="1"/>
  <c r="AL32" i="9" s="1" a="1"/>
  <c r="AL32" i="9" s="1"/>
  <c r="L8" i="19"/>
  <c r="L10" i="15"/>
  <c r="L13" i="19"/>
  <c r="L13" i="15"/>
  <c r="L10" i="19"/>
  <c r="L14" i="15"/>
  <c r="L11" i="15"/>
  <c r="L12" i="19"/>
  <c r="L8" i="15"/>
  <c r="L9" i="19"/>
  <c r="L14" i="19"/>
  <c r="L12" i="15"/>
  <c r="L9" i="15"/>
  <c r="L11" i="19"/>
  <c r="K6" i="15"/>
  <c r="K7" i="19"/>
  <c r="K7" i="15"/>
  <c r="K6" i="19"/>
  <c r="K5" i="15"/>
  <c r="K5" i="19"/>
  <c r="K4" i="19"/>
  <c r="K4" i="15"/>
  <c r="AI28" i="9" a="1"/>
  <c r="AI28" i="9" s="1"/>
  <c r="AJ28" i="9" s="1"/>
  <c r="AK28" i="9" s="1"/>
  <c r="AL28" i="9" s="1" a="1"/>
  <c r="AL28" i="9" s="1"/>
  <c r="AI27" i="9" a="1"/>
  <c r="AI27" i="9" s="1"/>
  <c r="AJ27" i="9" s="1"/>
  <c r="AK27" i="9" s="1"/>
  <c r="AL27" i="9" s="1" a="1"/>
  <c r="AL27" i="9" s="1"/>
  <c r="L5" i="19"/>
  <c r="L7" i="15"/>
  <c r="L7" i="19"/>
  <c r="L5" i="15"/>
  <c r="L6" i="19"/>
  <c r="L6" i="15"/>
  <c r="J4" i="19"/>
  <c r="J4" i="15"/>
  <c r="J24" i="15"/>
  <c r="J23" i="19"/>
  <c r="J23" i="15"/>
  <c r="J24" i="19"/>
  <c r="J18" i="15"/>
  <c r="J15" i="15"/>
  <c r="J15" i="19"/>
  <c r="J18" i="19"/>
  <c r="J16" i="15"/>
  <c r="J17" i="19"/>
  <c r="J17" i="15"/>
  <c r="J16" i="19"/>
  <c r="K24" i="15"/>
  <c r="K24" i="19"/>
  <c r="K23" i="19"/>
  <c r="K23" i="15"/>
  <c r="L4" i="15"/>
  <c r="L4" i="19"/>
  <c r="J27" i="15"/>
  <c r="J28" i="19"/>
  <c r="J26" i="19"/>
  <c r="J28" i="15"/>
  <c r="J25" i="15"/>
  <c r="J25" i="19"/>
  <c r="J26" i="15"/>
  <c r="J27" i="19"/>
  <c r="K26" i="19"/>
  <c r="K28" i="15"/>
  <c r="K25" i="15"/>
  <c r="K28" i="19"/>
  <c r="K26" i="15"/>
  <c r="K27" i="15"/>
  <c r="K27" i="19"/>
  <c r="K25" i="19"/>
  <c r="J10" i="19"/>
  <c r="J12" i="15"/>
  <c r="J9" i="15"/>
  <c r="M9" i="15" s="1"/>
  <c r="J12" i="19"/>
  <c r="M12" i="19" s="1"/>
  <c r="J10" i="15"/>
  <c r="M10" i="15" s="1"/>
  <c r="J9" i="19"/>
  <c r="M9" i="19" s="1"/>
  <c r="J13" i="15"/>
  <c r="J14" i="19"/>
  <c r="J11" i="19"/>
  <c r="J14" i="15"/>
  <c r="M14" i="15" s="1"/>
  <c r="J11" i="15"/>
  <c r="J8" i="19"/>
  <c r="J13" i="19"/>
  <c r="J8" i="15"/>
  <c r="M8" i="15" s="1"/>
  <c r="K21" i="15"/>
  <c r="K21" i="19"/>
  <c r="K22" i="15"/>
  <c r="K19" i="15"/>
  <c r="K20" i="19"/>
  <c r="K20" i="15"/>
  <c r="K22" i="19"/>
  <c r="K19" i="19"/>
  <c r="AI45" i="9" a="1"/>
  <c r="AI45" i="9" s="1"/>
  <c r="AJ45" i="9" s="1"/>
  <c r="AK45" i="9" s="1"/>
  <c r="AL45" i="9" s="1" a="1"/>
  <c r="AL45" i="9" s="1"/>
  <c r="AI44" i="9" a="1"/>
  <c r="AI44" i="9" s="1"/>
  <c r="AJ44" i="9" s="1"/>
  <c r="AK44" i="9" s="1"/>
  <c r="AL44" i="9" s="1" a="1"/>
  <c r="AL44" i="9" s="1"/>
  <c r="AI43" i="9" a="1"/>
  <c r="AI43" i="9" s="1"/>
  <c r="AJ43" i="9" s="1"/>
  <c r="AK43" i="9" s="1"/>
  <c r="AL43" i="9" s="1" a="1"/>
  <c r="AL43" i="9" s="1"/>
  <c r="AI42" i="9" a="1"/>
  <c r="AI42" i="9" s="1"/>
  <c r="AJ42" i="9" s="1"/>
  <c r="AK42" i="9" s="1"/>
  <c r="AL42" i="9" s="1" a="1"/>
  <c r="AL42" i="9" s="1"/>
  <c r="L27" i="19"/>
  <c r="L28" i="15"/>
  <c r="L25" i="15"/>
  <c r="L26" i="19"/>
  <c r="L28" i="19"/>
  <c r="L26" i="15"/>
  <c r="L27" i="15"/>
  <c r="L25" i="19"/>
  <c r="J21" i="19"/>
  <c r="J20" i="19"/>
  <c r="J21" i="15"/>
  <c r="M21" i="15" s="1"/>
  <c r="J22" i="15"/>
  <c r="J19" i="15"/>
  <c r="J22" i="19"/>
  <c r="J20" i="15"/>
  <c r="J19" i="19"/>
  <c r="K15" i="15"/>
  <c r="K16" i="19"/>
  <c r="K15" i="19"/>
  <c r="K18" i="19"/>
  <c r="K16" i="15"/>
  <c r="K17" i="15"/>
  <c r="K17" i="19"/>
  <c r="K18" i="15"/>
  <c r="AI41" i="9" a="1"/>
  <c r="AI41" i="9" s="1"/>
  <c r="AJ41" i="9" s="1"/>
  <c r="AK41" i="9" s="1"/>
  <c r="AL41" i="9" s="1" a="1"/>
  <c r="AL41" i="9" s="1"/>
  <c r="L24" i="19"/>
  <c r="L23" i="19"/>
  <c r="L23" i="15"/>
  <c r="L24" i="15"/>
  <c r="M6" i="19" l="1"/>
  <c r="M22" i="15"/>
  <c r="M24" i="19"/>
  <c r="M20" i="19"/>
  <c r="M11" i="19"/>
  <c r="M10" i="19"/>
  <c r="M13" i="15"/>
  <c r="M28" i="19"/>
  <c r="M4" i="19"/>
  <c r="M25" i="19"/>
  <c r="M18" i="19"/>
  <c r="M25" i="15"/>
  <c r="M15" i="19"/>
  <c r="M5" i="15"/>
  <c r="M22" i="19"/>
  <c r="M28" i="15"/>
  <c r="M15" i="15"/>
  <c r="M20" i="15"/>
  <c r="M26" i="19"/>
  <c r="M18" i="15"/>
  <c r="M7" i="15"/>
  <c r="M21" i="19"/>
  <c r="M19" i="19"/>
  <c r="M19" i="15"/>
  <c r="M5" i="19"/>
  <c r="M12" i="15"/>
  <c r="M27" i="15"/>
  <c r="M17" i="15"/>
  <c r="M23" i="15"/>
  <c r="M14" i="19"/>
  <c r="M16" i="19"/>
  <c r="M6" i="15"/>
  <c r="M13" i="19"/>
  <c r="M27" i="19"/>
  <c r="M17" i="19"/>
  <c r="M23" i="19"/>
  <c r="M7" i="19"/>
  <c r="M11" i="15"/>
  <c r="M26" i="15"/>
  <c r="M4" i="15"/>
  <c r="M16" i="15"/>
  <c r="M24" i="15"/>
  <c r="M8" i="19"/>
  <c r="M29" i="19" l="1"/>
  <c r="M29" i="1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<sst xmlns="http://schemas.openxmlformats.org/spreadsheetml/2006/main" count="805" uniqueCount="160">
  <si>
    <t>G.W./CTN</t>
  </si>
  <si>
    <t>Size</t>
  </si>
  <si>
    <t>Brand</t>
  </si>
  <si>
    <t>H (Inch)</t>
  </si>
  <si>
    <t>W (Inch)</t>
  </si>
  <si>
    <t>L (Inch)</t>
  </si>
  <si>
    <t>Firedex</t>
  </si>
  <si>
    <t>Carton ID</t>
  </si>
  <si>
    <t>Firedex-S</t>
  </si>
  <si>
    <t>Firedex-L</t>
  </si>
  <si>
    <t>L (CM)</t>
  </si>
  <si>
    <t>W (CM)</t>
  </si>
  <si>
    <t>H (CM)</t>
  </si>
  <si>
    <t>Original Production Plan</t>
  </si>
  <si>
    <t>Brunt</t>
  </si>
  <si>
    <t>Chippewa</t>
  </si>
  <si>
    <t>Weinbrenner</t>
  </si>
  <si>
    <t>Harley Davidson</t>
  </si>
  <si>
    <t>Pairs/Carton:</t>
  </si>
  <si>
    <t>Ctn/Layer:</t>
  </si>
  <si>
    <t>Total Pairs:</t>
  </si>
  <si>
    <t>Max Pallets:</t>
  </si>
  <si>
    <t>Max Layer:</t>
  </si>
  <si>
    <t>Total Cartons:</t>
  </si>
  <si>
    <t>Pallet Capacity:</t>
  </si>
  <si>
    <t>Pallets Used:</t>
  </si>
  <si>
    <t>Pairs</t>
  </si>
  <si>
    <t>Pallet</t>
  </si>
  <si>
    <t>Cartons</t>
  </si>
  <si>
    <t>Layers</t>
  </si>
  <si>
    <t>Pallet 1</t>
  </si>
  <si>
    <t>Pallet 2</t>
  </si>
  <si>
    <t>Pallet 3</t>
  </si>
  <si>
    <t>Pallet 4</t>
  </si>
  <si>
    <t>Pallet 5</t>
  </si>
  <si>
    <t>Pallet 6</t>
  </si>
  <si>
    <t>Pallet 7</t>
  </si>
  <si>
    <t>Pallet 8</t>
  </si>
  <si>
    <t>Pallet 9</t>
  </si>
  <si>
    <t>Pallet 10</t>
  </si>
  <si>
    <t>Pallet 11</t>
  </si>
  <si>
    <t>Pallet 12</t>
  </si>
  <si>
    <t>Pallet 13</t>
  </si>
  <si>
    <t>Pallet 14</t>
  </si>
  <si>
    <t>Pallet 15</t>
  </si>
  <si>
    <t>Pallet 16</t>
  </si>
  <si>
    <t>Pallet 17</t>
  </si>
  <si>
    <t>Pallet 18</t>
  </si>
  <si>
    <t>Pallet 19</t>
  </si>
  <si>
    <t>Pallet 20</t>
  </si>
  <si>
    <t>Pallet 21</t>
  </si>
  <si>
    <t>Pallet 22</t>
  </si>
  <si>
    <t>TOTAL</t>
  </si>
  <si>
    <t>Brunt-S</t>
  </si>
  <si>
    <t>Brunt-M</t>
  </si>
  <si>
    <t>Brunt-L</t>
  </si>
  <si>
    <t>Chippewa-S</t>
  </si>
  <si>
    <t>Chippewa-L</t>
  </si>
  <si>
    <t>Weinbrenner-S</t>
  </si>
  <si>
    <t>Weinbrenner-L</t>
  </si>
  <si>
    <t>HD-S</t>
  </si>
  <si>
    <t>HD-L</t>
  </si>
  <si>
    <t>US Boot-S</t>
  </si>
  <si>
    <t>US Boot-L</t>
  </si>
  <si>
    <t>B-Grade</t>
  </si>
  <si>
    <t>Missing</t>
  </si>
  <si>
    <t>Finished Count</t>
  </si>
  <si>
    <t>Check</t>
  </si>
  <si>
    <t>Unmade</t>
  </si>
  <si>
    <t>PO#:</t>
  </si>
  <si>
    <t>Brand:</t>
  </si>
  <si>
    <t>Style #:</t>
  </si>
  <si>
    <t>Style Name:</t>
  </si>
  <si>
    <t>W</t>
  </si>
  <si>
    <t>Width</t>
  </si>
  <si>
    <t>M</t>
  </si>
  <si>
    <t>XW</t>
  </si>
  <si>
    <t>Width (if applicable):</t>
  </si>
  <si>
    <t>Last Updated:</t>
  </si>
  <si>
    <t>Change Log</t>
  </si>
  <si>
    <t>Worksheet Documentation:</t>
  </si>
  <si>
    <t>Date</t>
  </si>
  <si>
    <t>What's Changed?</t>
  </si>
  <si>
    <t>By Whom?</t>
  </si>
  <si>
    <t>• Information source:</t>
  </si>
  <si>
    <t>General/Production/Weekly Production Plan</t>
  </si>
  <si>
    <t>339840-00</t>
  </si>
  <si>
    <t>FDXL200-M-AS</t>
  </si>
  <si>
    <t>WOS-M</t>
  </si>
  <si>
    <t>FDXL200-M-AS ( Width: Medium)</t>
  </si>
  <si>
    <t>PACKING LIST</t>
  </si>
  <si>
    <t>Carton Dimensions (CM)</t>
  </si>
  <si>
    <t>PO#</t>
  </si>
  <si>
    <t>ITEM#</t>
  </si>
  <si>
    <t>DESCRIPTION</t>
  </si>
  <si>
    <t>SIZE#</t>
  </si>
  <si>
    <t>Q'TY</t>
  </si>
  <si>
    <t>CTNS</t>
  </si>
  <si>
    <t>G.W./TOTAL</t>
  </si>
  <si>
    <t>Length</t>
  </si>
  <si>
    <t>HEIGHT</t>
  </si>
  <si>
    <t>CBM</t>
  </si>
  <si>
    <t>Total</t>
  </si>
  <si>
    <t>Input:</t>
  </si>
  <si>
    <t>• Orginal Count (Orginal Production Plan) comes from on Weekly Production Plan as well.</t>
  </si>
  <si>
    <t xml:space="preserve">    Enter the pairs of shoes planned. Get from the grey area.</t>
  </si>
  <si>
    <t>• Finished Count: what we ended with</t>
  </si>
  <si>
    <t>• B-Grade, missing, unmade…</t>
  </si>
  <si>
    <t xml:space="preserve">• Fill out the </t>
  </si>
  <si>
    <t>grey area</t>
  </si>
  <si>
    <r>
      <t>• PO#, Brand, Style #, Style Name, Width</t>
    </r>
    <r>
      <rPr>
        <sz val="12"/>
        <color theme="1"/>
        <rFont val="Aptos Narrow"/>
        <family val="2"/>
        <scheme val="minor"/>
      </rPr>
      <t xml:space="preserve"> can all be found from </t>
    </r>
    <r>
      <rPr>
        <b/>
        <sz val="12"/>
        <color theme="1"/>
        <rFont val="Aptos Narrow"/>
        <scheme val="minor"/>
      </rPr>
      <t>Weekly Production Plan</t>
    </r>
    <r>
      <rPr>
        <sz val="12"/>
        <color theme="1"/>
        <rFont val="Aptos Narrow"/>
        <family val="2"/>
        <scheme val="minor"/>
      </rPr>
      <t>.</t>
    </r>
  </si>
  <si>
    <t>• The program will generate the output at PackingPalletDetail.</t>
  </si>
  <si>
    <t>• It generates only one style (or one width for Wein/Firedex) at once.</t>
  </si>
  <si>
    <t>General/Container/Customer Shipping Packing List</t>
  </si>
  <si>
    <t>The whole project folderis saved at:</t>
  </si>
  <si>
    <t>The generator workbook is in:</t>
  </si>
  <si>
    <t>General/Container/Customer Shipping Packing List/Packing List Generator</t>
  </si>
  <si>
    <t>General/Container/Customer Shipping Packing List/Packing List Generator/backup</t>
  </si>
  <si>
    <t>It is okay to mess up your own copy. Just copy from the back up folder:</t>
  </si>
  <si>
    <t>PackingPalletDetail:</t>
  </si>
  <si>
    <t>Concat+Rename:</t>
  </si>
  <si>
    <r>
      <t xml:space="preserve">• Multiple PO, or styles. </t>
    </r>
    <r>
      <rPr>
        <b/>
        <sz val="12"/>
        <rFont val="Arial"/>
        <family val="2"/>
      </rPr>
      <t>Cut</t>
    </r>
    <r>
      <rPr>
        <sz val="12"/>
        <rFont val="Arial"/>
        <family val="2"/>
      </rPr>
      <t xml:space="preserve"> </t>
    </r>
    <r>
      <rPr>
        <b/>
        <sz val="12"/>
        <rFont val="Arial"/>
        <family val="2"/>
      </rPr>
      <t>(Ctrl+X)</t>
    </r>
    <r>
      <rPr>
        <sz val="12"/>
        <rFont val="Arial"/>
        <family val="2"/>
      </rPr>
      <t xml:space="preserve"> and </t>
    </r>
    <r>
      <rPr>
        <b/>
        <sz val="12"/>
        <rFont val="Arial"/>
        <family val="2"/>
      </rPr>
      <t>Paste (Ctrl+V)</t>
    </r>
    <r>
      <rPr>
        <sz val="12"/>
        <rFont val="Arial"/>
        <family val="2"/>
      </rPr>
      <t xml:space="preserve"> to move the data around to this sheet.</t>
    </r>
  </si>
  <si>
    <r>
      <t xml:space="preserve">• Manually add a total row for </t>
    </r>
    <r>
      <rPr>
        <b/>
        <sz val="12"/>
        <rFont val="Arial"/>
        <family val="2"/>
      </rPr>
      <t>pairs</t>
    </r>
    <r>
      <rPr>
        <sz val="12"/>
        <rFont val="Arial"/>
        <family val="2"/>
      </rPr>
      <t xml:space="preserve">, </t>
    </r>
    <r>
      <rPr>
        <b/>
        <sz val="12"/>
        <rFont val="Arial"/>
        <family val="2"/>
      </rPr>
      <t>Pallet Count</t>
    </r>
    <r>
      <rPr>
        <sz val="12"/>
        <rFont val="Arial"/>
        <family val="2"/>
      </rPr>
      <t xml:space="preserve">, </t>
    </r>
    <r>
      <rPr>
        <b/>
        <sz val="12"/>
        <rFont val="Arial"/>
        <family val="2"/>
      </rPr>
      <t>Q'TY</t>
    </r>
    <r>
      <rPr>
        <sz val="12"/>
        <rFont val="Arial"/>
        <family val="2"/>
      </rPr>
      <t xml:space="preserve">, </t>
    </r>
    <r>
      <rPr>
        <b/>
        <sz val="12"/>
        <rFont val="Arial"/>
        <family val="2"/>
      </rPr>
      <t>CTNS</t>
    </r>
    <r>
      <rPr>
        <sz val="12"/>
        <rFont val="Arial"/>
        <family val="2"/>
      </rPr>
      <t xml:space="preserve">, </t>
    </r>
    <r>
      <rPr>
        <b/>
        <sz val="12"/>
        <rFont val="Arial"/>
        <family val="2"/>
      </rPr>
      <t>G.W./TOTAL</t>
    </r>
    <r>
      <rPr>
        <sz val="12"/>
        <rFont val="Arial"/>
        <family val="2"/>
      </rPr>
      <t xml:space="preserve">, </t>
    </r>
    <r>
      <rPr>
        <b/>
        <sz val="12"/>
        <rFont val="Arial"/>
        <family val="2"/>
      </rPr>
      <t>CBM</t>
    </r>
  </si>
  <si>
    <t>• Save a copy to the project folder and print a pdf version to the customer</t>
  </si>
  <si>
    <t>Carton:</t>
  </si>
  <si>
    <t>• Stores carton types we've encountered so far. Might need update in the future. Orange column</t>
  </si>
  <si>
    <t xml:space="preserve">  is auto-populated.</t>
  </si>
  <si>
    <t>SizeCarton:</t>
  </si>
  <si>
    <t>• Just update blue columns.</t>
  </si>
  <si>
    <t xml:space="preserve">Length (Inch) </t>
  </si>
  <si>
    <t>Width (inch)</t>
  </si>
  <si>
    <t xml:space="preserve">Height (inch) </t>
  </si>
  <si>
    <t>Weight (KG)</t>
  </si>
  <si>
    <t>Pallet Specifications</t>
  </si>
  <si>
    <t>Description</t>
  </si>
  <si>
    <t>Single Pallet</t>
  </si>
  <si>
    <t>Total weight (KG)</t>
  </si>
  <si>
    <t>Height (inch)</t>
  </si>
  <si>
    <t>Length (inch)</t>
  </si>
  <si>
    <t>Largerst Size</t>
  </si>
  <si>
    <t>Carton Height (cm)</t>
  </si>
  <si>
    <t>Layer Height (cm)</t>
  </si>
  <si>
    <t>Layer Height (inch)</t>
  </si>
  <si>
    <t>Pallet Total Height (inch)</t>
  </si>
  <si>
    <t>Total Weight</t>
  </si>
  <si>
    <t>&lt;- Only need to update the blue field</t>
  </si>
  <si>
    <t>Layer Length (inch)</t>
  </si>
  <si>
    <t>Layer Width (inch)</t>
  </si>
  <si>
    <t>Pallet Total Length (inch)</t>
  </si>
  <si>
    <t>Pallet Total Width (inch)</t>
  </si>
  <si>
    <t>Carton Unit Weight</t>
  </si>
  <si>
    <t>Total Carton Weight (kg)</t>
  </si>
  <si>
    <t>Pallet Weight (kg)</t>
  </si>
  <si>
    <t>Total Pallet Weight (kg)</t>
  </si>
  <si>
    <t>Total Weight (lbs)</t>
  </si>
  <si>
    <t>kg</t>
  </si>
  <si>
    <t>lbs</t>
  </si>
  <si>
    <t>Pallet Dimensions and Weights</t>
  </si>
  <si>
    <t/>
  </si>
  <si>
    <t>&lt;- Copy and Paste Number Format and Paste 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</si>
</sst>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4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name val="Arial"/>
      <family val="2"/>
    </font>
    <font>
      <sz val="12"/>
      <name val="新細明體"/>
      <family val="1"/>
      <charset val="136"/>
    </font>
    <font>
      <b/>
      <sz val="12"/>
      <color theme="1"/>
      <name val="Aptos Narrow"/>
      <scheme val="minor"/>
    </font>
    <font>
      <sz val="12"/>
      <name val="Arial"/>
      <family val="2"/>
    </font>
    <font>
      <sz val="11"/>
      <color theme="1"/>
      <name val="Aptos Narrow"/>
      <family val="2"/>
      <scheme val="minor"/>
    </font>
    <font>
      <b/>
      <sz val="12"/>
      <color rgb="FFFFFFFF"/>
      <name val="Arial"/>
      <family val="2"/>
    </font>
    <font>
      <b/>
      <sz val="12"/>
      <name val="Aptos Narrow"/>
      <scheme val="minor"/>
    </font>
    <font>
      <sz val="12"/>
      <name val="Aptos Narrow"/>
      <scheme val="minor"/>
    </font>
    <font>
      <b/>
      <sz val="12"/>
      <color rgb="FFFFFFFF"/>
      <name val="Aptos Narrow"/>
      <scheme val="minor"/>
    </font>
    <font>
      <sz val="8"/>
      <name val="Aptos Narrow"/>
      <family val="2"/>
      <scheme val="minor"/>
    </font>
    <font>
      <b/>
      <sz val="12"/>
      <name val="Arial"/>
      <family val="2"/>
    </font>
    <font>
      <sz val="12"/>
      <color theme="1"/>
      <name val="Aptos Narrow"/>
      <family val="2"/>
      <charset val="136"/>
      <scheme val="minor"/>
    </font>
    <font>
      <b/>
      <sz val="12"/>
      <color rgb="FFFF0000"/>
      <name val="Arial"/>
      <family val="2"/>
    </font>
    <font>
      <b/>
      <sz val="12"/>
      <color rgb="FF000000"/>
      <name val="Aptos Narrow"/>
    </font>
    <font>
      <i/>
      <sz val="12"/>
      <color rgb="FF8C8C8C"/>
      <name val="Aptos Narrow"/>
      <scheme val="minor"/>
    </font>
    <font>
      <u/>
      <sz val="12"/>
      <color theme="10"/>
      <name val="Aptos Narrow"/>
      <family val="2"/>
      <scheme val="minor"/>
    </font>
    <font>
      <b/>
      <sz val="16"/>
      <color theme="1"/>
      <name val="Aptos Narrow"/>
      <scheme val="minor"/>
    </font>
    <font>
      <sz val="12"/>
      <color theme="1"/>
      <name val="Aptos Narrow"/>
      <scheme val="minor"/>
    </font>
    <font>
      <sz val="12"/>
      <color rgb="FF0000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153D64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4472C4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787878"/>
      </left>
      <right style="thin">
        <color rgb="FF787878"/>
      </right>
      <top/>
      <bottom style="thin">
        <color rgb="FF78787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87878"/>
      </left>
      <right/>
      <top/>
      <bottom/>
      <diagonal/>
    </border>
  </borders>
  <cellStyleXfs count="7">
    <xf numFmtId="0" fontId="0" fillId="0" borderId="0"/>
    <xf numFmtId="0" fontId="2" fillId="0" borderId="0"/>
    <xf numFmtId="0" fontId="3" fillId="0" borderId="0"/>
    <xf numFmtId="0" fontId="1" fillId="0" borderId="0"/>
    <xf numFmtId="0" fontId="6" fillId="0" borderId="0"/>
    <xf numFmtId="0" fontId="13" fillId="0" borderId="0">
      <alignment vertical="center"/>
    </xf>
    <xf numFmtId="0" fontId="17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2" xfId="0" applyBorder="1"/>
    <xf numFmtId="2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/>
    <xf numFmtId="0" fontId="8" fillId="0" borderId="0" xfId="0" applyFont="1"/>
    <xf numFmtId="0" fontId="9" fillId="0" borderId="0" xfId="0" applyFont="1"/>
    <xf numFmtId="0" fontId="9" fillId="3" borderId="0" xfId="0" applyFont="1" applyFill="1"/>
    <xf numFmtId="0" fontId="3" fillId="0" borderId="0" xfId="0" applyFont="1"/>
    <xf numFmtId="0" fontId="5" fillId="0" borderId="0" xfId="0" applyFont="1"/>
    <xf numFmtId="0" fontId="5" fillId="3" borderId="0" xfId="0" applyFont="1" applyFill="1"/>
    <xf numFmtId="0" fontId="10" fillId="4" borderId="3" xfId="0" applyFont="1" applyFill="1" applyBorder="1" applyAlignment="1">
      <alignment horizontal="center"/>
    </xf>
    <xf numFmtId="0" fontId="3" fillId="0" borderId="4" xfId="0" applyFont="1" applyBorder="1"/>
    <xf numFmtId="0" fontId="3" fillId="0" borderId="5" xfId="0" applyFont="1" applyBorder="1"/>
    <xf numFmtId="0" fontId="10" fillId="4" borderId="6" xfId="0" applyFont="1" applyFill="1" applyBorder="1" applyAlignment="1">
      <alignment horizontal="center"/>
    </xf>
    <xf numFmtId="0" fontId="10" fillId="4" borderId="7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2" fontId="0" fillId="0" borderId="2" xfId="0" applyNumberFormat="1" applyBorder="1"/>
    <xf numFmtId="0" fontId="0" fillId="6" borderId="0" xfId="0" applyFill="1"/>
    <xf numFmtId="1" fontId="0" fillId="0" borderId="0" xfId="0" applyNumberFormat="1"/>
    <xf numFmtId="0" fontId="7" fillId="2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/>
    </xf>
    <xf numFmtId="1" fontId="0" fillId="0" borderId="2" xfId="0" applyNumberFormat="1" applyBorder="1"/>
    <xf numFmtId="0" fontId="4" fillId="0" borderId="0" xfId="0" applyFont="1" applyAlignment="1">
      <alignment horizontal="center"/>
    </xf>
    <xf numFmtId="0" fontId="9" fillId="3" borderId="0" xfId="0" applyFont="1" applyFill="1" applyAlignment="1">
      <alignment horizontal="center"/>
    </xf>
    <xf numFmtId="0" fontId="16" fillId="0" borderId="0" xfId="0" applyFont="1"/>
    <xf numFmtId="0" fontId="5" fillId="0" borderId="1" xfId="0" applyFont="1" applyBorder="1" applyAlignment="1">
      <alignment horizontal="center"/>
    </xf>
    <xf numFmtId="0" fontId="14" fillId="0" borderId="0" xfId="0" applyFont="1" applyAlignment="1">
      <alignment horizontal="right"/>
    </xf>
    <xf numFmtId="14" fontId="5" fillId="7" borderId="0" xfId="0" applyNumberFormat="1" applyFont="1" applyFill="1"/>
    <xf numFmtId="0" fontId="12" fillId="0" borderId="0" xfId="0" applyFont="1"/>
    <xf numFmtId="0" fontId="12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12" fillId="0" borderId="8" xfId="0" applyFont="1" applyBorder="1" applyAlignment="1">
      <alignment horizontal="center"/>
    </xf>
    <xf numFmtId="0" fontId="5" fillId="0" borderId="12" xfId="0" applyFont="1" applyBorder="1"/>
    <xf numFmtId="0" fontId="5" fillId="0" borderId="13" xfId="0" applyFont="1" applyBorder="1"/>
    <xf numFmtId="0" fontId="5" fillId="0" borderId="8" xfId="0" applyFont="1" applyBorder="1"/>
    <xf numFmtId="0" fontId="12" fillId="0" borderId="12" xfId="0" applyFont="1" applyBorder="1"/>
    <xf numFmtId="0" fontId="12" fillId="0" borderId="0" xfId="0" applyFont="1" applyAlignment="1">
      <alignment horizontal="right"/>
    </xf>
    <xf numFmtId="0" fontId="17" fillId="0" borderId="0" xfId="6" applyBorder="1"/>
    <xf numFmtId="49" fontId="12" fillId="7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5" fillId="0" borderId="14" xfId="0" applyFont="1" applyBorder="1"/>
    <xf numFmtId="0" fontId="5" fillId="0" borderId="15" xfId="0" applyFont="1" applyBorder="1"/>
    <xf numFmtId="0" fontId="5" fillId="0" borderId="16" xfId="0" applyFont="1" applyBorder="1"/>
    <xf numFmtId="0" fontId="0" fillId="0" borderId="8" xfId="0" applyBorder="1" applyAlignment="1">
      <alignment horizontal="center" vertical="center"/>
    </xf>
    <xf numFmtId="0" fontId="18" fillId="0" borderId="0" xfId="0" applyFont="1" applyAlignment="1">
      <alignment horizontal="centerContinuous" vertical="center"/>
    </xf>
    <xf numFmtId="0" fontId="4" fillId="8" borderId="8" xfId="0" applyFont="1" applyFill="1" applyBorder="1" applyAlignment="1">
      <alignment horizontal="center"/>
    </xf>
    <xf numFmtId="0" fontId="4" fillId="8" borderId="17" xfId="0" applyFont="1" applyFill="1" applyBorder="1" applyAlignment="1">
      <alignment horizontal="centerContinuous"/>
    </xf>
    <xf numFmtId="2" fontId="0" fillId="0" borderId="8" xfId="0" applyNumberFormat="1" applyBorder="1" applyAlignment="1">
      <alignment horizontal="center" vertical="center"/>
    </xf>
    <xf numFmtId="2" fontId="4" fillId="8" borderId="8" xfId="0" applyNumberFormat="1" applyFont="1" applyFill="1" applyBorder="1" applyAlignment="1">
      <alignment horizontal="center"/>
    </xf>
    <xf numFmtId="0" fontId="19" fillId="0" borderId="0" xfId="0" applyFont="1"/>
    <xf numFmtId="0" fontId="5" fillId="0" borderId="17" xfId="0" applyFont="1" applyBorder="1"/>
    <xf numFmtId="0" fontId="12" fillId="0" borderId="17" xfId="0" applyFont="1" applyBorder="1" applyAlignment="1">
      <alignment horizontal="center"/>
    </xf>
    <xf numFmtId="0" fontId="4" fillId="8" borderId="21" xfId="0" applyFont="1" applyFill="1" applyBorder="1" applyAlignment="1">
      <alignment horizontal="center"/>
    </xf>
    <xf numFmtId="0" fontId="20" fillId="0" borderId="21" xfId="0" applyFont="1" applyBorder="1" applyAlignment="1">
      <alignment horizontal="center" vertical="center"/>
    </xf>
    <xf numFmtId="0" fontId="21" fillId="9" borderId="0" xfId="0" applyFont="1" applyFill="1" applyAlignment="1">
      <alignment horizontal="centerContinuous"/>
    </xf>
    <xf numFmtId="0" fontId="22" fillId="0" borderId="20" xfId="0" applyFont="1" applyBorder="1" applyAlignment="1">
      <alignment horizontal="center"/>
    </xf>
    <xf numFmtId="0" fontId="22" fillId="0" borderId="20" xfId="0" applyFont="1" applyBorder="1" applyAlignment="1">
      <alignment horizontal="center" wrapText="1"/>
    </xf>
    <xf numFmtId="0" fontId="20" fillId="0" borderId="22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4" fillId="8" borderId="21" xfId="0" applyFont="1" applyFill="1" applyBorder="1" applyAlignment="1">
      <alignment horizontal="center" vertical="center"/>
    </xf>
    <xf numFmtId="0" fontId="4" fillId="8" borderId="23" xfId="0" applyFont="1" applyFill="1" applyBorder="1" applyAlignment="1">
      <alignment horizontal="centerContinuous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10" fillId="10" borderId="24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4" fillId="8" borderId="21" xfId="0" applyNumberFormat="1" applyFont="1" applyFill="1" applyBorder="1" applyAlignment="1">
      <alignment horizontal="center"/>
    </xf>
    <xf numFmtId="0" fontId="21" fillId="9" borderId="2" xfId="0" applyFont="1" applyFill="1" applyBorder="1" applyAlignment="1">
      <alignment horizontal="center" vertical="center"/>
    </xf>
    <xf numFmtId="0" fontId="0" fillId="0" borderId="23" xfId="0" applyBorder="1"/>
    <xf numFmtId="0" fontId="8" fillId="5" borderId="0" xfId="0" applyFont="1" applyFill="1" applyAlignment="1">
      <alignment horizontal="center"/>
    </xf>
    <xf numFmtId="0" fontId="0" fillId="13" borderId="0" xfId="0" applyFill="1"/>
    <xf numFmtId="1" fontId="20" fillId="0" borderId="21" xfId="0" applyNumberFormat="1" applyFont="1" applyBorder="1" applyAlignment="1">
      <alignment horizontal="center" vertical="center"/>
    </xf>
    <xf numFmtId="0" fontId="23" fillId="8" borderId="21" xfId="0" applyFont="1" applyFill="1" applyBorder="1" applyAlignment="1">
      <alignment horizontal="center" vertical="center" wrapText="1"/>
    </xf>
    <xf numFmtId="0" fontId="23" fillId="8" borderId="21" xfId="0" applyFont="1" applyFill="1" applyBorder="1" applyAlignment="1">
      <alignment horizontal="centerContinuous" vertical="center" wrapText="1"/>
    </xf>
    <xf numFmtId="0" fontId="23" fillId="8" borderId="21" xfId="0" applyFont="1" applyFill="1" applyBorder="1" applyAlignment="1">
      <alignment horizontal="centerContinuous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</cellXfs>
  <cellStyles count="7">
    <cellStyle name="Hyperlink" xfId="6" builtinId="8"/>
    <cellStyle name="Normal" xfId="0" builtinId="0"/>
    <cellStyle name="Normal 2" xfId="4" xr:uid="{231B14EE-1218-3142-8192-F4F97372372A}"/>
    <cellStyle name="Normal 3" xfId="5" xr:uid="{F9A2EA60-EA87-6548-88E5-26D6E31EDA9D}"/>
    <cellStyle name="Normal 4" xfId="3" xr:uid="{DA7B1A02-6672-0D40-9A1E-5D0A23659D28}"/>
    <cellStyle name="一般 2" xfId="2" xr:uid="{D396D067-E73B-8C4B-ADB7-8EC597C98DBB}"/>
    <cellStyle name="一般_複本 1-DR" xfId="1" xr:uid="{7D4FB318-3E29-8D48-9C9D-FAE4DF18E27E}"/>
  </cellStyles>
  <dxfs count="32"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" formatCode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" formatCode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" formatCode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" formatCode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" formatCode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" formatCode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center" textRotation="0" wrapText="0" indent="0" justifyLastLine="0" shrinkToFit="0" readingOrder="0"/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38100</xdr:colOff>
      <xdr:row>16</xdr:row>
      <xdr:rowOff>25400</xdr:rowOff>
    </xdr:from>
    <xdr:to>
      <xdr:col>9</xdr:col>
      <xdr:colOff>1244600</xdr:colOff>
      <xdr:row>19</xdr:row>
      <xdr:rowOff>137385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79B41E-6DF1-3CFE-E424-4BF352D09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4600" y="1866900"/>
          <a:ext cx="6235700" cy="72158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21</xdr:row>
          <xdr:rowOff>50800</xdr:rowOff>
        </xdr:from>
        <xdr:to>
          <xdr:col>12</xdr:col>
          <xdr:colOff>711200</xdr:colOff>
          <xdr:row>23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Narrow" charset="0"/>
                </a:rPr>
                <a:t>Plan Package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21</xdr:row>
          <xdr:rowOff>50800</xdr:rowOff>
        </xdr:from>
        <xdr:to>
          <xdr:col>14</xdr:col>
          <xdr:colOff>812800</xdr:colOff>
          <xdr:row>23</xdr:row>
          <xdr:rowOff>25400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Narrow" charset="0"/>
                </a:rPr>
                <a:t>Generate Packing 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C96C45-2243-FC4E-95E7-B6D22BE2878A}" name="SizeCarton" displayName="SizeCarton" ref="A4:M170" totalsRowShown="0" headerRowDxfId="30">
  <autoFilter ref="A4:M170" xr:uid="{EAC96C45-2243-FC4E-95E7-B6D22BE2878A}"/>
  <sortState xmlns:xlrd2="http://schemas.microsoft.com/office/spreadsheetml/2017/richdata2" ref="A5:E139">
    <sortCondition ref="A5:A139"/>
    <sortCondition ref="B5:B139"/>
  </sortState>
  <tableColumns count="13">
    <tableColumn id="13" xr3:uid="{DFBB466B-A8F9-8444-88F0-3BFDFA3B6AC1}" name="Brand" dataDxfId="29"/>
    <tableColumn id="2" xr3:uid="{9E925481-6C8C-4940-8670-BAA13446056C}" name="Size"/>
    <tableColumn id="8" xr3:uid="{C2EE1F2B-F508-D748-A352-B0436339554C}" name="Width" dataDxfId="28"/>
    <tableColumn id="3" xr3:uid="{5AD002CD-85D6-5941-BC1F-E35FD3C3EBA6}" name="G.W./CTN"/>
    <tableColumn id="7" xr3:uid="{7239818C-83B4-234A-9832-E7548386E613}" name="Carton ID" dataDxfId="27"/>
    <tableColumn id="1" xr3:uid="{BB11DC9A-D03A-FB4C-B38F-BE2D1B7CE05A}" name="L (CM)" dataDxfId="26">
      <calculatedColumnFormula>VLOOKUP(SizeCarton[[#This Row],[Carton ID]],Carton[#All],2,0)</calculatedColumnFormula>
    </tableColumn>
    <tableColumn id="4" xr3:uid="{F3F7749B-DAE7-C24C-A8E9-11DD1C02B362}" name="W (CM)" dataDxfId="25">
      <calculatedColumnFormula>VLOOKUP(SizeCarton[[#This Row],[Carton ID]],Carton[#All],3,0)</calculatedColumnFormula>
    </tableColumn>
    <tableColumn id="5" xr3:uid="{B7F5C552-995D-DF4C-BD5B-83BE465448D7}" name="H (CM)" dataDxfId="24">
      <calculatedColumnFormula>VLOOKUP(SizeCarton[[#This Row],[Carton ID]],Carton[#All],4,0)</calculatedColumnFormula>
    </tableColumn>
    <tableColumn id="14" xr3:uid="{847C8010-60A3-C64C-BBC9-1A2C16A1C55A}" name="L (Inch)" dataDxfId="23">
      <calculatedColumnFormula>VLOOKUP(SizeCarton[[#This Row],[Carton ID]],Carton[#All],5,0)</calculatedColumnFormula>
    </tableColumn>
    <tableColumn id="12" xr3:uid="{3CEF7675-12CD-D94E-9F92-C63113411812}" name="W (Inch)" dataDxfId="22">
      <calculatedColumnFormula>VLOOKUP(SizeCarton[[#This Row],[Carton ID]],Carton[#All],6,0)</calculatedColumnFormula>
    </tableColumn>
    <tableColumn id="11" xr3:uid="{52E45CC9-CD72-5E4F-8F6C-5EC950118B3C}" name="H (Inch)" dataDxfId="21">
      <calculatedColumnFormula>VLOOKUP(SizeCarton[[#This Row],[Carton ID]],Carton[#All],7,0)</calculatedColumnFormula>
    </tableColumn>
    <tableColumn id="6" xr3:uid="{431C4610-4647-C04D-A3DC-D3254A3B3B06}" name="Layer Length (inch)" dataDxfId="20"/>
    <tableColumn id="9" xr3:uid="{0B7AE93E-B329-7B4B-B430-D3DCB52BD9F7}" name="Layer Width (inch)" dataDxfId="19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3A37F7-57FE-584F-AB2B-5A3C77BEE7B3}" name="Carton" displayName="Carton" ref="A1:G14" totalsRowShown="0" headerRowDxfId="18" dataDxfId="17" tableBorderDxfId="16">
  <autoFilter ref="A1:G14" xr:uid="{1C3A37F7-57FE-584F-AB2B-5A3C77BEE7B3}"/>
  <tableColumns count="7">
    <tableColumn id="1" xr3:uid="{55C52227-3B2E-E946-81DD-83259C08BA05}" name="Carton ID" dataDxfId="15"/>
    <tableColumn id="2" xr3:uid="{69B77527-0AE0-A64B-9C50-82D382DADDAC}" name="L (CM)" dataDxfId="14"/>
    <tableColumn id="3" xr3:uid="{045E626F-08DF-F448-995C-68679DB3E77D}" name="W (CM)" dataDxfId="13"/>
    <tableColumn id="4" xr3:uid="{BFAFAC40-0651-FB47-B931-42864CBBC963}" name="H (CM)" dataDxfId="12"/>
    <tableColumn id="5" xr3:uid="{2E25F75A-F78A-2C42-87FC-35FC9232EE79}" name="L (Inch)" dataDxfId="11">
      <calculatedColumnFormula>CONVERT(Carton[[#This Row],[L (CM)]],"cm","in")</calculatedColumnFormula>
    </tableColumn>
    <tableColumn id="6" xr3:uid="{651B51D5-B155-F545-B7D3-5910C7AB255A}" name="W (Inch)" dataDxfId="10">
      <calculatedColumnFormula>CONVERT(Carton[[#This Row],[W (CM)]],"cm","in")</calculatedColumnFormula>
    </tableColumn>
    <tableColumn id="7" xr3:uid="{405CA29A-1CA0-1448-A0A2-48C6B61EDE3B}" name="H (Inch)" dataDxfId="9">
      <calculatedColumnFormula>CONVERT(Carton[[#This Row],[H (CM)]],"cm","in")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375B710-9906-F641-9C93-D2F55B145812}" name="PalletDimension" displayName="PalletDimension" ref="B3:F4" totalsRowShown="0" headerRowDxfId="8" headerRowBorderDxfId="7" tableBorderDxfId="6" totalsRowBorderDxfId="5">
  <autoFilter ref="B3:F4" xr:uid="{9375B710-9906-F641-9C93-D2F55B145812}"/>
  <tableColumns count="5">
    <tableColumn id="1" xr3:uid="{803F1A62-2538-2F4F-846F-DD400C4762AD}" name="Description" dataDxfId="4"/>
    <tableColumn id="2" xr3:uid="{11976EBF-907E-9741-A198-7580EE387F74}" name="Length (inch)" dataDxfId="3"/>
    <tableColumn id="5" xr3:uid="{1A3B9759-B701-A848-9E0A-F4CC23E7EF98}" name="Width (inch)" dataDxfId="2"/>
    <tableColumn id="3" xr3:uid="{448ABCB8-5428-CF49-80D6-D22CF9AA11BF}" name="Height (inch)" dataDxfId="1"/>
    <tableColumn id="6" xr3:uid="{553CDC5F-CDCE-FB48-AEC0-9335AF6E600B}" name="Weight (KG)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netorgft15508245-my.sharepoint.com/shared?id=%2Fsites%2Fallamericansoles%2Ecom%2FShared%20Documents%2FGeneral%2FCustomer%20Shipping%20Packing%20List&amp;listurl=https%3A%2F%2Fnetorgft15508245%2Esharepoint%2Ecom%2Fsites%2Fallamericansoles%2Ecom%2FShared%20Documents" TargetMode="External"/><Relationship Id="rId2" Type="http://schemas.openxmlformats.org/officeDocument/2006/relationships/hyperlink" Target="https://netorgft15508245-my.sharepoint.com/shared?id=%2Fsites%2Fallamericansoles%2Ecom%2FShared%20Documents%2FGeneral%2FCustomer%20Shipping%20Packing%20List&amp;listurl=https%3A%2F%2Fnetorgft15508245%2Esharepoint%2Ecom%2Fsites%2Fallamericansoles%2Ecom%2FShared%20Documents" TargetMode="External"/><Relationship Id="rId1" Type="http://schemas.openxmlformats.org/officeDocument/2006/relationships/hyperlink" Target="https://netorgft15508245-my.sharepoint.com/shared?id=%2Fsites%2Fallamericansoles%2Ecom%2FShared%20Documents%2FGeneral%2FProduction%2FWeekly%20Production%20Plan&amp;listurl=https%3A%2F%2Fnetorgft15508245%2Esharepoint%2Ecom%2Fsites%2Fallamericansoles%2Ecom%2FShared%20Documents&amp;viewid=88e85787%2D5c03%2D499d%2Daffb%2D3c7a9811928d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netorgft15508245-my.sharepoint.com/shared?id=%2Fsites%2Fallamericansoles%2Ecom%2FShared%20Documents%2FGeneral%2FCustomer%20Shipping%20Packing%20List%2FPacking%20List%20Generator%2Fbackup&amp;listurl=https%3A%2F%2Fnetorgft15508245%2Esharepoint%2Ecom%2Fsites%2Fallamericansoles%2Ecom%2FShared%20Documents&amp;viewid=88e85787%2D5c03%2D499d%2Daffb%2D3c7a9811928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058F9-6CD9-B642-A7FB-4088AB65EC03}">
  <sheetPr codeName="Sheet1">
    <tabColor rgb="FFFF0000"/>
  </sheetPr>
  <dimension ref="A1:O63"/>
  <sheetViews>
    <sheetView workbookViewId="0">
      <selection activeCell="D4" sqref="D4"/>
    </sheetView>
  </sheetViews>
  <sheetFormatPr baseColWidth="10" defaultRowHeight="16"/>
  <cols>
    <col min="4" max="4" width="11.83203125" customWidth="1"/>
    <col min="10" max="10" width="20.5" customWidth="1"/>
    <col min="12" max="12" width="18.5" customWidth="1"/>
    <col min="13" max="13" width="60.5" customWidth="1"/>
    <col min="14" max="14" width="18.1640625" customWidth="1"/>
  </cols>
  <sheetData>
    <row r="1" spans="1:15">
      <c r="A1" s="9"/>
      <c r="B1" s="28" t="s">
        <v>78</v>
      </c>
      <c r="C1" s="29">
        <v>46147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</row>
    <row r="3" spans="1:15">
      <c r="A3" s="9"/>
      <c r="B3" s="28"/>
      <c r="C3" s="9"/>
      <c r="D3" s="9"/>
      <c r="E3" s="9"/>
      <c r="F3" s="9"/>
      <c r="G3" s="9"/>
      <c r="H3" s="9"/>
      <c r="I3" s="9"/>
      <c r="J3" s="9"/>
      <c r="K3" s="9"/>
      <c r="L3" s="30" t="s">
        <v>79</v>
      </c>
      <c r="M3" s="9"/>
      <c r="N3" s="9"/>
      <c r="O3" s="9"/>
    </row>
    <row r="4" spans="1:15" ht="17" thickBo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</row>
    <row r="5" spans="1:15">
      <c r="A5" s="9"/>
      <c r="B5" s="31" t="s">
        <v>80</v>
      </c>
      <c r="C5" s="32"/>
      <c r="D5" s="32"/>
      <c r="E5" s="32"/>
      <c r="F5" s="32"/>
      <c r="G5" s="32"/>
      <c r="H5" s="32"/>
      <c r="I5" s="32"/>
      <c r="J5" s="33"/>
      <c r="K5" s="9"/>
      <c r="L5" s="34" t="s">
        <v>81</v>
      </c>
      <c r="M5" s="34" t="s">
        <v>82</v>
      </c>
      <c r="N5" s="34" t="s">
        <v>83</v>
      </c>
      <c r="O5" s="9"/>
    </row>
    <row r="6" spans="1:15">
      <c r="A6" s="9"/>
      <c r="B6" s="38"/>
      <c r="C6" s="9"/>
      <c r="D6" s="9"/>
      <c r="E6" s="9"/>
      <c r="F6" s="9"/>
      <c r="G6" s="9"/>
      <c r="H6" s="9"/>
      <c r="I6" s="9"/>
      <c r="J6" s="36"/>
      <c r="K6" s="9"/>
      <c r="L6" s="54"/>
      <c r="M6" s="54"/>
      <c r="N6" s="54"/>
      <c r="O6" s="9"/>
    </row>
    <row r="7" spans="1:15">
      <c r="A7" s="9"/>
      <c r="B7" s="38"/>
      <c r="D7" s="9" t="s">
        <v>114</v>
      </c>
      <c r="G7" s="40" t="s">
        <v>113</v>
      </c>
      <c r="H7" s="9"/>
      <c r="I7" s="9"/>
      <c r="J7" s="36"/>
      <c r="K7" s="9"/>
      <c r="L7" s="54"/>
      <c r="M7" s="54"/>
      <c r="N7" s="54"/>
      <c r="O7" s="9"/>
    </row>
    <row r="8" spans="1:15">
      <c r="A8" s="9"/>
      <c r="B8" s="38"/>
      <c r="C8" s="9"/>
      <c r="D8" s="9" t="s">
        <v>115</v>
      </c>
      <c r="E8" s="9"/>
      <c r="F8" s="9"/>
      <c r="G8" s="40" t="s">
        <v>116</v>
      </c>
      <c r="H8" s="9"/>
      <c r="I8" s="9"/>
      <c r="J8" s="36"/>
      <c r="K8" s="9"/>
      <c r="L8" s="54"/>
      <c r="M8" s="54"/>
      <c r="N8" s="54"/>
      <c r="O8" s="9"/>
    </row>
    <row r="9" spans="1:15">
      <c r="A9" s="9"/>
      <c r="B9" s="38"/>
      <c r="C9" s="9"/>
      <c r="D9" s="9" t="s">
        <v>118</v>
      </c>
      <c r="E9" s="9"/>
      <c r="F9" s="9"/>
      <c r="G9" s="9"/>
      <c r="H9" s="9"/>
      <c r="I9" s="9"/>
      <c r="J9" s="36"/>
      <c r="K9" s="9"/>
      <c r="L9" s="54"/>
      <c r="M9" s="54"/>
      <c r="N9" s="54"/>
      <c r="O9" s="9"/>
    </row>
    <row r="10" spans="1:15">
      <c r="A10" s="9"/>
      <c r="B10" s="38"/>
      <c r="C10" s="9"/>
      <c r="D10" s="40" t="s">
        <v>117</v>
      </c>
      <c r="E10" s="9"/>
      <c r="F10" s="9"/>
      <c r="H10" s="9"/>
      <c r="I10" s="9"/>
      <c r="J10" s="36"/>
      <c r="K10" s="9"/>
      <c r="L10" s="54"/>
      <c r="M10" s="54"/>
      <c r="N10" s="54"/>
      <c r="O10" s="9"/>
    </row>
    <row r="11" spans="1:15">
      <c r="A11" s="9"/>
      <c r="B11" s="38"/>
      <c r="C11" s="9"/>
      <c r="D11" s="9"/>
      <c r="E11" s="9"/>
      <c r="F11" s="9"/>
      <c r="G11" s="9"/>
      <c r="H11" s="9"/>
      <c r="I11" s="9"/>
      <c r="J11" s="36"/>
      <c r="K11" s="9"/>
      <c r="L11" s="54"/>
      <c r="M11" s="54"/>
      <c r="N11" s="54"/>
      <c r="O11" s="9"/>
    </row>
    <row r="12" spans="1:15">
      <c r="A12" s="9"/>
      <c r="B12" s="38"/>
      <c r="C12" s="9"/>
      <c r="D12" s="9"/>
      <c r="E12" s="9"/>
      <c r="F12" s="9"/>
      <c r="G12" s="9"/>
      <c r="H12" s="9"/>
      <c r="I12" s="9"/>
      <c r="J12" s="36"/>
      <c r="K12" s="9"/>
      <c r="L12" s="54"/>
      <c r="M12" s="54"/>
      <c r="N12" s="54"/>
      <c r="O12" s="9"/>
    </row>
    <row r="13" spans="1:15">
      <c r="A13" s="9"/>
      <c r="B13" s="35"/>
      <c r="C13" s="39" t="s">
        <v>103</v>
      </c>
      <c r="D13" s="9" t="s">
        <v>108</v>
      </c>
      <c r="E13" s="41" t="s">
        <v>109</v>
      </c>
      <c r="F13" s="9"/>
      <c r="G13" s="9"/>
      <c r="H13" s="9"/>
      <c r="I13" s="9"/>
      <c r="J13" s="36"/>
      <c r="K13" s="9"/>
      <c r="L13" s="37"/>
      <c r="M13" s="37"/>
      <c r="N13" s="37"/>
      <c r="O13" s="9"/>
    </row>
    <row r="14" spans="1:15">
      <c r="A14" s="9"/>
      <c r="B14" s="38"/>
      <c r="D14" s="52" t="s">
        <v>110</v>
      </c>
      <c r="J14" s="36"/>
      <c r="K14" s="9"/>
      <c r="L14" s="37"/>
      <c r="M14" s="37"/>
      <c r="N14" s="37"/>
      <c r="O14" s="9"/>
    </row>
    <row r="15" spans="1:15">
      <c r="A15" s="9"/>
      <c r="B15" s="35"/>
      <c r="C15" s="9"/>
      <c r="D15" t="s">
        <v>104</v>
      </c>
      <c r="J15" s="36"/>
      <c r="K15" s="9"/>
      <c r="L15" s="37"/>
      <c r="M15" s="37"/>
      <c r="N15" s="37"/>
      <c r="O15" s="9"/>
    </row>
    <row r="16" spans="1:15">
      <c r="A16" s="9"/>
      <c r="B16" s="35"/>
      <c r="C16" s="9"/>
      <c r="D16" t="s">
        <v>105</v>
      </c>
      <c r="J16" s="36"/>
      <c r="K16" s="9"/>
      <c r="L16" s="37"/>
      <c r="M16" s="37"/>
      <c r="N16" s="37"/>
      <c r="O16" s="9"/>
    </row>
    <row r="17" spans="1:15">
      <c r="A17" s="9"/>
      <c r="B17" s="35"/>
      <c r="C17" s="9"/>
      <c r="J17" s="36"/>
      <c r="K17" s="9"/>
      <c r="L17" s="37"/>
      <c r="M17" s="37"/>
      <c r="N17" s="37"/>
      <c r="O17" s="9"/>
    </row>
    <row r="18" spans="1:15">
      <c r="A18" s="9"/>
      <c r="B18" s="35"/>
      <c r="C18" s="9"/>
      <c r="J18" s="36"/>
      <c r="K18" s="9"/>
      <c r="L18" s="37"/>
      <c r="M18" s="37"/>
      <c r="N18" s="37"/>
      <c r="O18" s="9"/>
    </row>
    <row r="19" spans="1:15">
      <c r="A19" s="9"/>
      <c r="B19" s="35"/>
      <c r="C19" s="9"/>
      <c r="J19" s="36"/>
      <c r="K19" s="9"/>
      <c r="L19" s="53"/>
      <c r="M19" s="53"/>
      <c r="N19" s="53"/>
      <c r="O19" s="9"/>
    </row>
    <row r="20" spans="1:15">
      <c r="A20" s="9"/>
      <c r="B20" s="35"/>
      <c r="C20" s="9"/>
      <c r="J20" s="36"/>
      <c r="K20" s="9"/>
      <c r="L20" s="53"/>
      <c r="M20" s="53"/>
      <c r="N20" s="53"/>
      <c r="O20" s="9"/>
    </row>
    <row r="21" spans="1:15">
      <c r="A21" s="9"/>
      <c r="B21" s="35"/>
      <c r="C21" s="9"/>
      <c r="D21" s="9" t="s">
        <v>84</v>
      </c>
      <c r="E21" s="9"/>
      <c r="F21" s="40" t="s">
        <v>85</v>
      </c>
      <c r="G21" s="9"/>
      <c r="H21" s="9"/>
      <c r="I21" s="9"/>
      <c r="J21" s="36"/>
      <c r="K21" s="9"/>
      <c r="L21" s="53"/>
      <c r="M21" s="53"/>
      <c r="N21" s="53"/>
      <c r="O21" s="9"/>
    </row>
    <row r="22" spans="1:15">
      <c r="A22" s="9"/>
      <c r="B22" s="35"/>
      <c r="C22" s="9"/>
      <c r="D22" s="9"/>
      <c r="E22" s="9"/>
      <c r="G22" s="9"/>
      <c r="H22" s="9"/>
      <c r="I22" s="9"/>
      <c r="J22" s="36"/>
      <c r="K22" s="9"/>
      <c r="L22" s="53"/>
      <c r="M22" s="53"/>
      <c r="N22" s="53"/>
      <c r="O22" s="9"/>
    </row>
    <row r="23" spans="1:15">
      <c r="A23" s="9"/>
      <c r="B23" s="35"/>
      <c r="C23" s="9"/>
      <c r="D23" t="s">
        <v>106</v>
      </c>
      <c r="E23" s="9"/>
      <c r="F23" s="9"/>
      <c r="G23" s="9"/>
      <c r="H23" s="9"/>
      <c r="I23" s="9"/>
      <c r="J23" s="36"/>
      <c r="K23" s="9"/>
      <c r="L23" s="37"/>
      <c r="M23" s="37"/>
      <c r="N23" s="37"/>
      <c r="O23" s="9"/>
    </row>
    <row r="24" spans="1:15">
      <c r="A24" s="9"/>
      <c r="B24" s="35"/>
      <c r="C24" s="39"/>
      <c r="D24" t="s">
        <v>107</v>
      </c>
      <c r="E24" s="9"/>
      <c r="F24" s="9"/>
      <c r="G24" s="9"/>
      <c r="H24" s="9"/>
      <c r="I24" s="9"/>
      <c r="J24" s="36"/>
      <c r="K24" s="9"/>
      <c r="L24" s="37"/>
      <c r="M24" s="37"/>
      <c r="N24" s="37"/>
      <c r="O24" s="9"/>
    </row>
    <row r="25" spans="1:15">
      <c r="A25" s="9"/>
      <c r="B25" s="35"/>
      <c r="C25" s="9"/>
      <c r="J25" s="36"/>
      <c r="K25" s="9"/>
      <c r="L25" s="37"/>
      <c r="M25" s="37"/>
      <c r="N25" s="37"/>
      <c r="O25" s="9"/>
    </row>
    <row r="26" spans="1:15">
      <c r="A26" s="9"/>
      <c r="B26" s="35"/>
      <c r="C26" s="39" t="s">
        <v>119</v>
      </c>
      <c r="D26" s="9" t="s">
        <v>111</v>
      </c>
      <c r="E26" s="9"/>
      <c r="F26" s="9"/>
      <c r="G26" s="9"/>
      <c r="H26" s="9"/>
      <c r="I26" s="9"/>
      <c r="J26" s="36"/>
      <c r="K26" s="9"/>
      <c r="L26" s="37"/>
      <c r="M26" s="37"/>
      <c r="N26" s="37"/>
      <c r="O26" s="9"/>
    </row>
    <row r="27" spans="1:15">
      <c r="A27" s="9"/>
      <c r="B27" s="35"/>
      <c r="C27" s="9"/>
      <c r="D27" s="9" t="s">
        <v>112</v>
      </c>
      <c r="E27" s="9"/>
      <c r="F27" s="9"/>
      <c r="G27" s="9"/>
      <c r="H27" s="9"/>
      <c r="I27" s="9"/>
      <c r="J27" s="36"/>
      <c r="K27" s="9"/>
      <c r="L27" s="37"/>
      <c r="M27" s="37"/>
      <c r="N27" s="37"/>
      <c r="O27" s="9"/>
    </row>
    <row r="28" spans="1:15">
      <c r="A28" s="9"/>
      <c r="B28" s="35"/>
      <c r="C28" s="9"/>
      <c r="D28" s="9"/>
      <c r="E28" s="9"/>
      <c r="F28" s="9"/>
      <c r="G28" s="9"/>
      <c r="H28" s="9"/>
      <c r="I28" s="9"/>
      <c r="J28" s="36"/>
      <c r="K28" s="9"/>
      <c r="L28" s="37"/>
      <c r="M28" s="37"/>
      <c r="N28" s="37"/>
      <c r="O28" s="9"/>
    </row>
    <row r="29" spans="1:15">
      <c r="A29" s="9"/>
      <c r="B29" s="35"/>
      <c r="C29" s="39" t="s">
        <v>120</v>
      </c>
      <c r="D29" s="9" t="s">
        <v>121</v>
      </c>
      <c r="E29" s="9"/>
      <c r="F29" s="9"/>
      <c r="G29" s="9"/>
      <c r="H29" s="9"/>
      <c r="I29" s="9"/>
      <c r="J29" s="36"/>
      <c r="K29" s="9"/>
      <c r="L29" s="37"/>
      <c r="M29" s="37"/>
      <c r="N29" s="37"/>
      <c r="O29" s="9"/>
    </row>
    <row r="30" spans="1:15">
      <c r="A30" s="9"/>
      <c r="B30" s="35"/>
      <c r="C30" s="9"/>
      <c r="D30" s="9" t="s">
        <v>122</v>
      </c>
      <c r="E30" s="9"/>
      <c r="F30" s="9"/>
      <c r="G30" s="9"/>
      <c r="H30" s="9"/>
      <c r="I30" s="9"/>
      <c r="J30" s="36"/>
      <c r="K30" s="9"/>
      <c r="L30" s="37"/>
      <c r="M30" s="37"/>
      <c r="N30" s="37"/>
      <c r="O30" s="9"/>
    </row>
    <row r="31" spans="1:15">
      <c r="A31" s="9"/>
      <c r="B31" s="35"/>
      <c r="C31" s="9"/>
      <c r="D31" s="9" t="s">
        <v>123</v>
      </c>
      <c r="E31" s="9"/>
      <c r="F31" s="9"/>
      <c r="G31" s="9"/>
      <c r="H31" s="9"/>
      <c r="I31" s="9"/>
      <c r="J31" s="36"/>
      <c r="K31" s="9"/>
      <c r="L31" s="37"/>
      <c r="M31" s="37"/>
      <c r="N31" s="37"/>
      <c r="O31" s="9"/>
    </row>
    <row r="32" spans="1:15">
      <c r="A32" s="9"/>
      <c r="B32" s="35"/>
      <c r="C32" s="9"/>
      <c r="D32" s="9"/>
      <c r="E32" s="9"/>
      <c r="F32" s="9"/>
      <c r="G32" s="9"/>
      <c r="H32" s="9"/>
      <c r="I32" s="9"/>
      <c r="J32" s="36"/>
      <c r="K32" s="9"/>
      <c r="L32" s="37"/>
      <c r="M32" s="37"/>
      <c r="N32" s="37"/>
      <c r="O32" s="9"/>
    </row>
    <row r="33" spans="1:15">
      <c r="A33" s="9"/>
      <c r="B33" s="35"/>
      <c r="C33" s="39" t="s">
        <v>124</v>
      </c>
      <c r="D33" s="9" t="s">
        <v>125</v>
      </c>
      <c r="E33" s="9"/>
      <c r="F33" s="9"/>
      <c r="G33" s="9"/>
      <c r="H33" s="9"/>
      <c r="I33" s="9"/>
      <c r="J33" s="36"/>
      <c r="K33" s="9"/>
      <c r="L33" s="37"/>
      <c r="M33" s="37"/>
      <c r="N33" s="37"/>
      <c r="O33" s="9"/>
    </row>
    <row r="34" spans="1:15">
      <c r="A34" s="9"/>
      <c r="B34" s="35"/>
      <c r="C34" s="9"/>
      <c r="D34" s="9" t="s">
        <v>126</v>
      </c>
      <c r="E34" s="9"/>
      <c r="F34" s="9"/>
      <c r="G34" s="9"/>
      <c r="H34" s="9"/>
      <c r="I34" s="9"/>
      <c r="J34" s="36"/>
      <c r="K34" s="9"/>
      <c r="L34" s="37"/>
      <c r="M34" s="37"/>
      <c r="N34" s="37"/>
      <c r="O34" s="9"/>
    </row>
    <row r="35" spans="1:15">
      <c r="A35" s="9"/>
      <c r="B35" s="35"/>
      <c r="C35" s="9"/>
      <c r="D35" s="9"/>
      <c r="E35" s="9"/>
      <c r="F35" s="9"/>
      <c r="G35" s="9"/>
      <c r="H35" s="9"/>
      <c r="I35" s="9"/>
      <c r="J35" s="36"/>
      <c r="K35" s="9"/>
      <c r="L35" s="37"/>
      <c r="M35" s="37"/>
      <c r="N35" s="37"/>
      <c r="O35" s="9"/>
    </row>
    <row r="36" spans="1:15">
      <c r="A36" s="9"/>
      <c r="B36" s="35"/>
      <c r="C36" s="39" t="s">
        <v>127</v>
      </c>
      <c r="D36" s="9" t="s">
        <v>128</v>
      </c>
      <c r="E36" s="9"/>
      <c r="F36" s="9"/>
      <c r="G36" s="9"/>
      <c r="H36" s="9"/>
      <c r="I36" s="9"/>
      <c r="J36" s="36"/>
      <c r="K36" s="9"/>
      <c r="L36" s="37"/>
      <c r="M36" s="37"/>
      <c r="N36" s="37"/>
      <c r="O36" s="9"/>
    </row>
    <row r="37" spans="1:15">
      <c r="A37" s="9"/>
      <c r="B37" s="35"/>
      <c r="C37" s="39"/>
      <c r="D37" s="9"/>
      <c r="E37" s="9"/>
      <c r="F37" s="9"/>
      <c r="G37" s="9"/>
      <c r="H37" s="9"/>
      <c r="I37" s="9"/>
      <c r="J37" s="36"/>
      <c r="K37" s="9"/>
      <c r="L37" s="37"/>
      <c r="M37" s="37"/>
      <c r="N37" s="37"/>
      <c r="O37" s="9"/>
    </row>
    <row r="38" spans="1:15">
      <c r="A38" s="9"/>
      <c r="B38" s="35"/>
      <c r="C38" s="9"/>
      <c r="D38" s="9"/>
      <c r="E38" s="9"/>
      <c r="F38" s="9"/>
      <c r="G38" s="9"/>
      <c r="H38" s="9"/>
      <c r="I38" s="9"/>
      <c r="J38" s="36"/>
      <c r="K38" s="9"/>
      <c r="L38" s="37"/>
      <c r="M38" s="37"/>
      <c r="N38" s="37"/>
      <c r="O38" s="9"/>
    </row>
    <row r="39" spans="1:15">
      <c r="A39" s="9"/>
      <c r="B39" s="35"/>
      <c r="C39" s="9"/>
      <c r="D39" s="9"/>
      <c r="E39" s="42"/>
      <c r="F39" s="9"/>
      <c r="G39" s="9"/>
      <c r="H39" s="9"/>
      <c r="I39" s="9"/>
      <c r="J39" s="36"/>
      <c r="K39" s="9"/>
      <c r="L39" s="37"/>
      <c r="M39" s="37"/>
      <c r="N39" s="37"/>
      <c r="O39" s="9"/>
    </row>
    <row r="40" spans="1:15">
      <c r="A40" s="9"/>
      <c r="B40" s="35"/>
      <c r="C40" s="9"/>
      <c r="D40" s="9"/>
      <c r="E40" s="42"/>
      <c r="F40" s="9"/>
      <c r="G40" s="9"/>
      <c r="H40" s="9"/>
      <c r="I40" s="9"/>
      <c r="J40" s="36"/>
      <c r="K40" s="9"/>
      <c r="L40" s="37"/>
      <c r="M40" s="37"/>
      <c r="N40" s="37"/>
      <c r="O40" s="9"/>
    </row>
    <row r="41" spans="1:15">
      <c r="A41" s="9"/>
      <c r="B41" s="35"/>
      <c r="C41" s="9"/>
      <c r="D41" s="9"/>
      <c r="E41" s="42"/>
      <c r="F41" s="9"/>
      <c r="G41" s="9"/>
      <c r="H41" s="9"/>
      <c r="I41" s="9"/>
      <c r="J41" s="36"/>
      <c r="K41" s="9"/>
      <c r="L41" s="37"/>
      <c r="M41" s="37"/>
      <c r="N41" s="37"/>
      <c r="O41" s="9"/>
    </row>
    <row r="42" spans="1:15">
      <c r="A42" s="9"/>
      <c r="B42" s="35"/>
      <c r="C42" s="9"/>
      <c r="D42" s="9"/>
      <c r="E42" s="42"/>
      <c r="F42" s="9"/>
      <c r="G42" s="9"/>
      <c r="H42" s="9"/>
      <c r="I42" s="9"/>
      <c r="J42" s="36"/>
      <c r="K42" s="9"/>
      <c r="L42" s="37"/>
      <c r="M42" s="37"/>
      <c r="N42" s="37"/>
      <c r="O42" s="9"/>
    </row>
    <row r="43" spans="1:15">
      <c r="A43" s="9"/>
      <c r="B43" s="35"/>
      <c r="C43" s="9"/>
      <c r="D43" s="9"/>
      <c r="E43" s="42"/>
      <c r="F43" s="9"/>
      <c r="G43" s="9"/>
      <c r="H43" s="9"/>
      <c r="I43" s="9"/>
      <c r="J43" s="36"/>
      <c r="K43" s="9"/>
      <c r="L43" s="37"/>
      <c r="M43" s="37"/>
      <c r="N43" s="37"/>
      <c r="O43" s="9"/>
    </row>
    <row r="44" spans="1:15">
      <c r="A44" s="9"/>
      <c r="B44" s="35"/>
      <c r="C44" s="9"/>
      <c r="D44" s="9"/>
      <c r="E44" s="42"/>
      <c r="F44" s="9"/>
      <c r="G44" s="9"/>
      <c r="H44" s="9"/>
      <c r="I44" s="9"/>
      <c r="J44" s="36"/>
      <c r="K44" s="9"/>
      <c r="L44" s="37"/>
      <c r="M44" s="37"/>
      <c r="N44" s="37"/>
      <c r="O44" s="9"/>
    </row>
    <row r="45" spans="1:15">
      <c r="A45" s="9"/>
      <c r="B45" s="35"/>
      <c r="C45" s="9"/>
      <c r="D45" s="9"/>
      <c r="E45" s="42"/>
      <c r="F45" s="9"/>
      <c r="G45" s="9"/>
      <c r="H45" s="9"/>
      <c r="I45" s="9"/>
      <c r="J45" s="36"/>
      <c r="K45" s="9"/>
      <c r="L45" s="37"/>
      <c r="M45" s="37"/>
      <c r="N45" s="37"/>
      <c r="O45" s="9"/>
    </row>
    <row r="46" spans="1:15">
      <c r="A46" s="9"/>
      <c r="B46" s="35"/>
      <c r="C46" s="9"/>
      <c r="D46" s="9"/>
      <c r="E46" s="42"/>
      <c r="F46" s="9"/>
      <c r="G46" s="9"/>
      <c r="H46" s="9"/>
      <c r="I46" s="9"/>
      <c r="J46" s="36"/>
      <c r="K46" s="9"/>
      <c r="L46" s="37"/>
      <c r="M46" s="37"/>
      <c r="N46" s="37"/>
      <c r="O46" s="9"/>
    </row>
    <row r="47" spans="1:15">
      <c r="A47" s="9"/>
      <c r="B47" s="35"/>
      <c r="C47" s="9"/>
      <c r="D47" s="9"/>
      <c r="E47" s="9"/>
      <c r="F47" s="9"/>
      <c r="G47" s="9"/>
      <c r="H47" s="9"/>
      <c r="I47" s="9"/>
      <c r="J47" s="36"/>
      <c r="K47" s="9"/>
      <c r="L47" s="37"/>
      <c r="M47" s="37"/>
      <c r="N47" s="37"/>
      <c r="O47" s="9"/>
    </row>
    <row r="48" spans="1:15">
      <c r="A48" s="9"/>
      <c r="B48" s="35"/>
      <c r="C48" s="9"/>
      <c r="D48" s="9"/>
      <c r="E48" s="9"/>
      <c r="F48" s="9"/>
      <c r="G48" s="9"/>
      <c r="H48" s="9"/>
      <c r="I48" s="9"/>
      <c r="J48" s="36"/>
      <c r="K48" s="9"/>
      <c r="L48" s="37"/>
      <c r="M48" s="37"/>
      <c r="N48" s="37"/>
      <c r="O48" s="9"/>
    </row>
    <row r="49" spans="1:15">
      <c r="A49" s="9"/>
      <c r="B49" s="35"/>
      <c r="C49" s="9"/>
      <c r="D49" s="9"/>
      <c r="E49" s="9"/>
      <c r="F49" s="9"/>
      <c r="G49" s="9"/>
      <c r="H49" s="9"/>
      <c r="I49" s="9"/>
      <c r="J49" s="36"/>
      <c r="K49" s="9"/>
      <c r="L49" s="37"/>
      <c r="M49" s="37"/>
      <c r="N49" s="37"/>
      <c r="O49" s="9"/>
    </row>
    <row r="50" spans="1:15">
      <c r="A50" s="9"/>
      <c r="B50" s="35"/>
      <c r="C50" s="9"/>
      <c r="D50" s="9"/>
      <c r="E50" s="9"/>
      <c r="F50" s="9"/>
      <c r="G50" s="9"/>
      <c r="H50" s="9"/>
      <c r="I50" s="9"/>
      <c r="J50" s="36"/>
      <c r="K50" s="9"/>
      <c r="L50" s="37"/>
      <c r="M50" s="37"/>
      <c r="N50" s="37"/>
      <c r="O50" s="9"/>
    </row>
    <row r="51" spans="1:15">
      <c r="A51" s="9"/>
      <c r="B51" s="35"/>
      <c r="C51" s="9"/>
      <c r="D51" s="9"/>
      <c r="E51" s="9"/>
      <c r="F51" s="9"/>
      <c r="G51" s="9"/>
      <c r="H51" s="9"/>
      <c r="I51" s="9"/>
      <c r="J51" s="36"/>
      <c r="K51" s="9"/>
      <c r="L51" s="37"/>
      <c r="M51" s="37"/>
      <c r="N51" s="37"/>
      <c r="O51" s="9"/>
    </row>
    <row r="52" spans="1:15">
      <c r="A52" s="9"/>
      <c r="B52" s="35"/>
      <c r="C52" s="9"/>
      <c r="D52" s="9"/>
      <c r="E52" s="9"/>
      <c r="F52" s="9"/>
      <c r="G52" s="9"/>
      <c r="H52" s="9"/>
      <c r="I52" s="9"/>
      <c r="J52" s="36"/>
      <c r="K52" s="9"/>
      <c r="L52" s="37"/>
      <c r="M52" s="37"/>
      <c r="N52" s="37"/>
      <c r="O52" s="9"/>
    </row>
    <row r="53" spans="1:15">
      <c r="A53" s="9"/>
      <c r="B53" s="35"/>
      <c r="C53" s="9"/>
      <c r="D53" s="9"/>
      <c r="E53" s="9"/>
      <c r="F53" s="9"/>
      <c r="G53" s="9"/>
      <c r="H53" s="9"/>
      <c r="I53" s="9"/>
      <c r="J53" s="36"/>
      <c r="K53" s="9"/>
      <c r="L53" s="37"/>
      <c r="M53" s="37"/>
      <c r="N53" s="37"/>
      <c r="O53" s="9"/>
    </row>
    <row r="54" spans="1:15">
      <c r="A54" s="9"/>
      <c r="B54" s="35"/>
      <c r="C54" s="9"/>
      <c r="D54" s="9"/>
      <c r="E54" s="9"/>
      <c r="F54" s="9"/>
      <c r="G54" s="9"/>
      <c r="H54" s="9"/>
      <c r="I54" s="9"/>
      <c r="J54" s="36"/>
      <c r="K54" s="9"/>
      <c r="L54" s="37"/>
      <c r="M54" s="37"/>
      <c r="N54" s="37"/>
      <c r="O54" s="9"/>
    </row>
    <row r="55" spans="1:15">
      <c r="A55" s="9"/>
      <c r="B55" s="35"/>
      <c r="C55" s="9"/>
      <c r="D55" s="9"/>
      <c r="E55" s="9"/>
      <c r="F55" s="9"/>
      <c r="G55" s="9"/>
      <c r="H55" s="9"/>
      <c r="I55" s="9"/>
      <c r="J55" s="36"/>
      <c r="K55" s="9"/>
      <c r="L55" s="37"/>
      <c r="M55" s="37"/>
      <c r="N55" s="37"/>
      <c r="O55" s="9"/>
    </row>
    <row r="56" spans="1:15">
      <c r="A56" s="9"/>
      <c r="B56" s="35"/>
      <c r="C56" s="9"/>
      <c r="D56" s="9"/>
      <c r="E56" s="9"/>
      <c r="F56" s="9"/>
      <c r="G56" s="9"/>
      <c r="H56" s="9"/>
      <c r="I56" s="9"/>
      <c r="J56" s="36"/>
      <c r="K56" s="9"/>
      <c r="L56" s="37"/>
      <c r="M56" s="37"/>
      <c r="N56" s="37"/>
      <c r="O56" s="9"/>
    </row>
    <row r="57" spans="1:15">
      <c r="A57" s="9"/>
      <c r="B57" s="35"/>
      <c r="C57" s="9"/>
      <c r="D57" s="9"/>
      <c r="E57" s="9"/>
      <c r="F57" s="9"/>
      <c r="G57" s="9"/>
      <c r="H57" s="9"/>
      <c r="I57" s="9"/>
      <c r="J57" s="36"/>
      <c r="K57" s="9"/>
      <c r="L57" s="37"/>
      <c r="M57" s="37"/>
      <c r="N57" s="37"/>
      <c r="O57" s="9"/>
    </row>
    <row r="58" spans="1:15">
      <c r="A58" s="9"/>
      <c r="B58" s="35"/>
      <c r="C58" s="9"/>
      <c r="D58" s="9"/>
      <c r="E58" s="42"/>
      <c r="F58" s="9"/>
      <c r="G58" s="40"/>
      <c r="H58" s="9"/>
      <c r="I58" s="9"/>
      <c r="J58" s="36"/>
      <c r="K58" s="9"/>
      <c r="L58" s="37"/>
      <c r="M58" s="37"/>
      <c r="N58" s="37"/>
      <c r="O58" s="9"/>
    </row>
    <row r="59" spans="1:15">
      <c r="A59" s="9"/>
      <c r="B59" s="35"/>
      <c r="C59" s="9"/>
      <c r="D59" s="9"/>
      <c r="E59" s="42"/>
      <c r="F59" s="9"/>
      <c r="G59" s="40"/>
      <c r="H59" s="9"/>
      <c r="I59" s="9"/>
      <c r="J59" s="36"/>
      <c r="K59" s="9"/>
      <c r="L59" s="37"/>
      <c r="M59" s="37"/>
      <c r="N59" s="37"/>
      <c r="O59" s="9"/>
    </row>
    <row r="60" spans="1:15">
      <c r="A60" s="9"/>
      <c r="B60" s="35"/>
      <c r="C60" s="9"/>
      <c r="D60" s="9"/>
      <c r="E60" s="9"/>
      <c r="F60" s="9"/>
      <c r="G60" s="9"/>
      <c r="H60" s="9"/>
      <c r="I60" s="9"/>
      <c r="J60" s="36"/>
      <c r="K60" s="9"/>
      <c r="L60" s="37"/>
      <c r="M60" s="37"/>
      <c r="N60" s="37"/>
      <c r="O60" s="9"/>
    </row>
    <row r="61" spans="1:15">
      <c r="A61" s="9"/>
      <c r="B61" s="35"/>
      <c r="C61" s="9"/>
      <c r="D61" s="9"/>
      <c r="E61" s="9"/>
      <c r="F61" s="9"/>
      <c r="G61" s="9"/>
      <c r="H61" s="9"/>
      <c r="I61" s="9"/>
      <c r="J61" s="36"/>
      <c r="K61" s="9"/>
      <c r="L61" s="37"/>
      <c r="M61" s="37"/>
      <c r="N61" s="37"/>
      <c r="O61" s="9"/>
    </row>
    <row r="62" spans="1:15" ht="17" thickBot="1">
      <c r="A62" s="9"/>
      <c r="B62" s="43"/>
      <c r="C62" s="44"/>
      <c r="D62" s="44"/>
      <c r="E62" s="44"/>
      <c r="F62" s="44"/>
      <c r="G62" s="44"/>
      <c r="H62" s="44"/>
      <c r="I62" s="44"/>
      <c r="J62" s="45"/>
      <c r="K62" s="9"/>
      <c r="L62" s="37"/>
      <c r="M62" s="37"/>
      <c r="N62" s="37"/>
      <c r="O62" s="9"/>
    </row>
    <row r="63" spans="1:1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</sheetData>
  <hyperlinks>
    <hyperlink ref="F21" r:id="rId1" display="General/Production/Last Chart" xr:uid="{07D4B36A-56DC-4448-9B2D-D245078FB84B}"/>
    <hyperlink ref="G7" r:id="rId2" display="General/Container/Packing List" xr:uid="{E1C331D3-6B05-2E4B-97C2-C72C81FB4AED}"/>
    <hyperlink ref="G8" r:id="rId3" display="General/Container/Packing List" xr:uid="{A0DF4BEF-CCF0-FC45-AA54-A634DBB7314A}"/>
    <hyperlink ref="D10" r:id="rId4" xr:uid="{169EFECF-A38A-B144-8616-D195D9659553}"/>
  </hyperlinks>
  <pageMargins left="0.7" right="0.7" top="0.75" bottom="0.75" header="0.3" footer="0.3"/>
  <pageSetup orientation="portrait" horizontalDpi="0" verticalDpi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B5887-9306-5F4B-B529-0F2E58D4243C}">
  <sheetPr codeName="Sheet2">
    <tabColor rgb="FF0070C0"/>
  </sheetPr>
  <dimension ref="A2:AQ51"/>
  <sheetViews>
    <sheetView topLeftCell="A5" workbookViewId="0">
      <selection activeCell="AL45" sqref="AL45"/>
    </sheetView>
  </sheetViews>
  <sheetFormatPr baseColWidth="10" defaultRowHeight="16"/>
  <cols>
    <col min="2" max="2" width="20.6640625" bestFit="1" customWidth="1"/>
    <col min="33" max="33" width="10.83203125" customWidth="1"/>
    <col min="34" max="34" width="14" customWidth="1"/>
    <col min="35" max="35" width="17.33203125" customWidth="1"/>
    <col min="36" max="36" width="16.1640625" customWidth="1"/>
    <col min="37" max="37" width="17.1640625" customWidth="1"/>
    <col min="38" max="38" width="22.6640625" customWidth="1"/>
    <col min="39" max="39" width="30.5" customWidth="1"/>
    <col min="40" max="40" width="21.83203125" bestFit="1" customWidth="1"/>
    <col min="41" max="41" width="27.1640625" customWidth="1"/>
    <col min="42" max="42" width="16.5" customWidth="1"/>
    <col min="43" max="43" width="19.83203125" customWidth="1"/>
  </cols>
  <sheetData>
    <row r="2" spans="1:29">
      <c r="B2" s="4" t="s">
        <v>69</v>
      </c>
      <c r="C2" s="7" t="s">
        <v>86</v>
      </c>
    </row>
    <row r="3" spans="1:29">
      <c r="B3" s="4" t="s">
        <v>70</v>
      </c>
      <c r="C3" s="7" t="s">
        <v>6</v>
      </c>
    </row>
    <row r="4" spans="1:29">
      <c r="B4" s="4" t="s">
        <v>71</v>
      </c>
      <c r="C4" s="7" t="s">
        <v>87</v>
      </c>
    </row>
    <row r="5" spans="1:29">
      <c r="B5" s="4" t="s">
        <v>72</v>
      </c>
      <c r="C5" s="7" t="s">
        <v>89</v>
      </c>
    </row>
    <row r="6" spans="1:29">
      <c r="B6" s="4" t="s">
        <v>77</v>
      </c>
      <c r="C6" s="25" t="s">
        <v>75</v>
      </c>
    </row>
    <row r="10" spans="1:29">
      <c r="C10" s="21">
        <v>3</v>
      </c>
      <c r="D10" s="21">
        <v>3.5</v>
      </c>
      <c r="E10" s="21">
        <v>4</v>
      </c>
      <c r="F10" s="21">
        <v>4.5</v>
      </c>
      <c r="G10" s="21">
        <v>5</v>
      </c>
      <c r="H10" s="21">
        <v>5.5</v>
      </c>
      <c r="I10" s="21">
        <v>6</v>
      </c>
      <c r="J10" s="21">
        <v>6.5</v>
      </c>
      <c r="K10" s="21">
        <v>7</v>
      </c>
      <c r="L10" s="21">
        <v>7.5</v>
      </c>
      <c r="M10" s="21">
        <v>8</v>
      </c>
      <c r="N10" s="21">
        <v>8.5</v>
      </c>
      <c r="O10" s="21">
        <v>9</v>
      </c>
      <c r="P10" s="21">
        <v>9.5</v>
      </c>
      <c r="Q10" s="21">
        <v>10</v>
      </c>
      <c r="R10" s="21">
        <v>10.5</v>
      </c>
      <c r="S10" s="21">
        <v>11</v>
      </c>
      <c r="T10" s="21">
        <v>11.5</v>
      </c>
      <c r="U10" s="21">
        <v>12</v>
      </c>
      <c r="V10" s="21">
        <v>12.5</v>
      </c>
      <c r="W10" s="21">
        <v>13</v>
      </c>
      <c r="X10" s="21">
        <v>13.5</v>
      </c>
      <c r="Y10" s="21">
        <v>14</v>
      </c>
      <c r="Z10" s="21">
        <v>14.5</v>
      </c>
      <c r="AA10" s="21">
        <v>15</v>
      </c>
      <c r="AB10" s="21">
        <v>15.5</v>
      </c>
      <c r="AC10" s="21">
        <v>16</v>
      </c>
    </row>
    <row r="11" spans="1:29">
      <c r="B11" s="4" t="s">
        <v>13</v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>
        <v>42</v>
      </c>
      <c r="N11" s="22"/>
      <c r="O11" s="22">
        <v>72</v>
      </c>
      <c r="P11" s="22"/>
      <c r="Q11" s="22">
        <v>342</v>
      </c>
      <c r="R11" s="22">
        <v>144</v>
      </c>
      <c r="S11" s="22">
        <v>204</v>
      </c>
      <c r="T11" s="22">
        <v>48</v>
      </c>
      <c r="U11" s="22">
        <v>144</v>
      </c>
      <c r="V11" s="22"/>
      <c r="W11" s="22"/>
      <c r="X11" s="22"/>
      <c r="Y11" s="22"/>
      <c r="Z11" s="22"/>
      <c r="AA11" s="22"/>
      <c r="AB11" s="22"/>
      <c r="AC11" s="22"/>
    </row>
    <row r="12" spans="1:29">
      <c r="B12" s="4" t="s">
        <v>66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>
        <v>42</v>
      </c>
      <c r="N12" s="22"/>
      <c r="O12" s="22">
        <v>72</v>
      </c>
      <c r="P12" s="22"/>
      <c r="Q12" s="22">
        <v>342</v>
      </c>
      <c r="R12" s="22">
        <v>144</v>
      </c>
      <c r="S12" s="22">
        <v>204</v>
      </c>
      <c r="T12" s="22">
        <v>48</v>
      </c>
      <c r="U12" s="22">
        <v>144</v>
      </c>
      <c r="V12" s="22"/>
      <c r="W12" s="22"/>
      <c r="X12" s="22"/>
      <c r="Y12" s="22"/>
      <c r="Z12" s="22"/>
      <c r="AA12" s="22"/>
      <c r="AB12" s="22"/>
      <c r="AC12" s="22"/>
    </row>
    <row r="13" spans="1:29">
      <c r="B13" s="4" t="s">
        <v>64</v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</row>
    <row r="14" spans="1:29">
      <c r="A14" s="4"/>
      <c r="B14" s="4" t="s">
        <v>65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</row>
    <row r="15" spans="1:29">
      <c r="B15" s="4" t="s">
        <v>68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</row>
    <row r="16" spans="1:29">
      <c r="B16" s="4" t="s">
        <v>67</v>
      </c>
      <c r="C16" s="24">
        <f>C11-C12-C13-C14-C15</f>
        <v>0</v>
      </c>
      <c r="D16" s="24">
        <f t="shared" ref="D16:AC16" si="0">D11-D12-D13-D14</f>
        <v>0</v>
      </c>
      <c r="E16" s="24">
        <f t="shared" si="0"/>
        <v>0</v>
      </c>
      <c r="F16" s="24">
        <f t="shared" si="0"/>
        <v>0</v>
      </c>
      <c r="G16" s="24">
        <f t="shared" si="0"/>
        <v>0</v>
      </c>
      <c r="H16" s="24">
        <f t="shared" si="0"/>
        <v>0</v>
      </c>
      <c r="I16" s="24">
        <f t="shared" si="0"/>
        <v>0</v>
      </c>
      <c r="J16" s="24">
        <f t="shared" si="0"/>
        <v>0</v>
      </c>
      <c r="K16" s="24">
        <f t="shared" si="0"/>
        <v>0</v>
      </c>
      <c r="L16" s="24">
        <f t="shared" si="0"/>
        <v>0</v>
      </c>
      <c r="M16" s="24">
        <f t="shared" si="0"/>
        <v>0</v>
      </c>
      <c r="N16" s="24">
        <f t="shared" si="0"/>
        <v>0</v>
      </c>
      <c r="O16" s="24">
        <f t="shared" si="0"/>
        <v>0</v>
      </c>
      <c r="P16" s="24">
        <f t="shared" si="0"/>
        <v>0</v>
      </c>
      <c r="Q16" s="24">
        <f t="shared" si="0"/>
        <v>0</v>
      </c>
      <c r="R16" s="24">
        <f t="shared" si="0"/>
        <v>0</v>
      </c>
      <c r="S16" s="24">
        <f t="shared" si="0"/>
        <v>0</v>
      </c>
      <c r="T16" s="24">
        <f t="shared" si="0"/>
        <v>0</v>
      </c>
      <c r="U16" s="24">
        <f t="shared" si="0"/>
        <v>0</v>
      </c>
      <c r="V16" s="24">
        <f t="shared" si="0"/>
        <v>0</v>
      </c>
      <c r="W16" s="24">
        <f t="shared" si="0"/>
        <v>0</v>
      </c>
      <c r="X16" s="24">
        <f t="shared" si="0"/>
        <v>0</v>
      </c>
      <c r="Y16" s="24">
        <f t="shared" si="0"/>
        <v>0</v>
      </c>
      <c r="Z16" s="24">
        <f t="shared" si="0"/>
        <v>0</v>
      </c>
      <c r="AA16" s="24">
        <f t="shared" si="0"/>
        <v>0</v>
      </c>
      <c r="AB16" s="24">
        <f t="shared" si="0"/>
        <v>0</v>
      </c>
      <c r="AC16" s="24">
        <f t="shared" si="0"/>
        <v>0</v>
      </c>
    </row>
    <row r="21" spans="2:43">
      <c r="B21" s="5" t="s">
        <v>18</v>
      </c>
      <c r="C21" s="6"/>
      <c r="D21" s="7">
        <v>6</v>
      </c>
      <c r="E21" s="5" t="s">
        <v>19</v>
      </c>
      <c r="F21" s="6"/>
      <c r="G21" s="7">
        <v>3</v>
      </c>
      <c r="H21" s="5" t="s">
        <v>20</v>
      </c>
      <c r="I21" s="6"/>
      <c r="J21" s="6">
        <f>SUM(C12:AC12)</f>
        <v>996</v>
      </c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</row>
    <row r="22" spans="2:43">
      <c r="B22" s="5" t="s">
        <v>21</v>
      </c>
      <c r="C22" s="6"/>
      <c r="D22" s="7">
        <v>22</v>
      </c>
      <c r="E22" s="5" t="s">
        <v>22</v>
      </c>
      <c r="F22" s="9"/>
      <c r="G22" s="10">
        <v>3</v>
      </c>
      <c r="H22" s="5" t="s">
        <v>23</v>
      </c>
      <c r="I22" s="6"/>
      <c r="J22" s="6">
        <f>AD49</f>
        <v>166</v>
      </c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</row>
    <row r="23" spans="2:43">
      <c r="B23" s="9"/>
      <c r="C23" s="9"/>
      <c r="D23" s="9"/>
      <c r="E23" s="5" t="s">
        <v>24</v>
      </c>
      <c r="F23" s="6"/>
      <c r="G23" s="6">
        <f>PairCtn*CtnLayer*MaxLayer</f>
        <v>54</v>
      </c>
      <c r="H23" s="5" t="s">
        <v>25</v>
      </c>
      <c r="I23" s="6"/>
      <c r="J23" s="6">
        <f>COUNT(AF27:AF48)</f>
        <v>19</v>
      </c>
      <c r="K23" s="5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</row>
    <row r="24" spans="2:43">
      <c r="B24" s="9"/>
      <c r="C24" s="9"/>
      <c r="D24" s="9"/>
      <c r="E24" s="5"/>
      <c r="F24" s="6"/>
      <c r="G24" s="6"/>
      <c r="H24" s="5"/>
      <c r="I24" s="6"/>
      <c r="J24" s="6"/>
      <c r="K24" s="5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</row>
    <row r="25" spans="2:43">
      <c r="B25" s="11" t="s">
        <v>26</v>
      </c>
      <c r="C25" s="27">
        <f>C12</f>
        <v>0</v>
      </c>
      <c r="D25" s="27">
        <f t="shared" ref="D25:AC25" si="1">D12</f>
        <v>0</v>
      </c>
      <c r="E25" s="27">
        <f t="shared" si="1"/>
        <v>0</v>
      </c>
      <c r="F25" s="27">
        <f t="shared" si="1"/>
        <v>0</v>
      </c>
      <c r="G25" s="27">
        <f t="shared" si="1"/>
        <v>0</v>
      </c>
      <c r="H25" s="27">
        <f t="shared" si="1"/>
        <v>0</v>
      </c>
      <c r="I25" s="27">
        <f t="shared" si="1"/>
        <v>0</v>
      </c>
      <c r="J25" s="27">
        <f t="shared" si="1"/>
        <v>0</v>
      </c>
      <c r="K25" s="27">
        <f t="shared" si="1"/>
        <v>0</v>
      </c>
      <c r="L25" s="27">
        <f t="shared" si="1"/>
        <v>0</v>
      </c>
      <c r="M25" s="27">
        <f t="shared" si="1"/>
        <v>42</v>
      </c>
      <c r="N25" s="27">
        <f t="shared" si="1"/>
        <v>0</v>
      </c>
      <c r="O25" s="27">
        <f t="shared" si="1"/>
        <v>72</v>
      </c>
      <c r="P25" s="27">
        <f t="shared" si="1"/>
        <v>0</v>
      </c>
      <c r="Q25" s="27">
        <f t="shared" si="1"/>
        <v>342</v>
      </c>
      <c r="R25" s="27">
        <f t="shared" si="1"/>
        <v>144</v>
      </c>
      <c r="S25" s="27">
        <f t="shared" si="1"/>
        <v>204</v>
      </c>
      <c r="T25" s="27">
        <f t="shared" si="1"/>
        <v>48</v>
      </c>
      <c r="U25" s="27">
        <f t="shared" si="1"/>
        <v>144</v>
      </c>
      <c r="V25" s="27">
        <f t="shared" si="1"/>
        <v>0</v>
      </c>
      <c r="W25" s="27">
        <f t="shared" si="1"/>
        <v>0</v>
      </c>
      <c r="X25" s="27">
        <f t="shared" si="1"/>
        <v>0</v>
      </c>
      <c r="Y25" s="27">
        <f t="shared" si="1"/>
        <v>0</v>
      </c>
      <c r="Z25" s="27">
        <f t="shared" si="1"/>
        <v>0</v>
      </c>
      <c r="AA25" s="27">
        <f t="shared" si="1"/>
        <v>0</v>
      </c>
      <c r="AB25" s="27">
        <f t="shared" si="1"/>
        <v>0</v>
      </c>
      <c r="AC25" s="27">
        <f t="shared" si="1"/>
        <v>0</v>
      </c>
      <c r="AD25" s="12"/>
      <c r="AE25" s="13"/>
      <c r="AF25" s="8"/>
    </row>
    <row r="26" spans="2:43">
      <c r="B26" s="14" t="s">
        <v>27</v>
      </c>
      <c r="C26" s="15">
        <v>3</v>
      </c>
      <c r="D26" s="15">
        <v>3.5</v>
      </c>
      <c r="E26" s="15">
        <v>4</v>
      </c>
      <c r="F26" s="15">
        <v>4.5</v>
      </c>
      <c r="G26" s="15">
        <v>5</v>
      </c>
      <c r="H26" s="15">
        <v>5.5</v>
      </c>
      <c r="I26" s="15">
        <v>6</v>
      </c>
      <c r="J26" s="15">
        <v>6.5</v>
      </c>
      <c r="K26" s="15">
        <v>7</v>
      </c>
      <c r="L26" s="15">
        <v>7.5</v>
      </c>
      <c r="M26" s="15">
        <v>8</v>
      </c>
      <c r="N26" s="15">
        <v>8.5</v>
      </c>
      <c r="O26" s="15">
        <v>9</v>
      </c>
      <c r="P26" s="15">
        <v>9.5</v>
      </c>
      <c r="Q26" s="15">
        <v>10</v>
      </c>
      <c r="R26" s="15">
        <v>10.5</v>
      </c>
      <c r="S26" s="15">
        <v>11</v>
      </c>
      <c r="T26" s="15">
        <v>11.5</v>
      </c>
      <c r="U26" s="15">
        <v>12</v>
      </c>
      <c r="V26" s="15">
        <v>12.5</v>
      </c>
      <c r="W26" s="15">
        <v>13</v>
      </c>
      <c r="X26" s="15">
        <v>13.5</v>
      </c>
      <c r="Y26" s="15">
        <v>14</v>
      </c>
      <c r="Z26" s="15">
        <v>14.5</v>
      </c>
      <c r="AA26" s="15">
        <v>15</v>
      </c>
      <c r="AB26" s="15">
        <v>15.5</v>
      </c>
      <c r="AC26" s="15">
        <v>16</v>
      </c>
      <c r="AD26" s="15" t="s">
        <v>28</v>
      </c>
      <c r="AE26" s="14" t="s">
        <v>26</v>
      </c>
      <c r="AF26" s="14" t="s">
        <v>29</v>
      </c>
      <c r="AH26" s="67" t="s">
        <v>139</v>
      </c>
      <c r="AI26" s="67" t="s">
        <v>140</v>
      </c>
      <c r="AJ26" s="67" t="s">
        <v>141</v>
      </c>
      <c r="AK26" s="67" t="s">
        <v>142</v>
      </c>
      <c r="AL26" s="67" t="s">
        <v>143</v>
      </c>
      <c r="AM26" s="67" t="s">
        <v>148</v>
      </c>
      <c r="AN26" s="67" t="s">
        <v>149</v>
      </c>
      <c r="AO26" s="67" t="s">
        <v>151</v>
      </c>
      <c r="AP26" s="67" t="s">
        <v>152</v>
      </c>
      <c r="AQ26" s="67" t="s">
        <v>153</v>
      </c>
    </row>
    <row r="27" spans="2:43">
      <c r="B27" s="16" t="s">
        <v>30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>
        <v>7</v>
      </c>
      <c r="N27" s="17"/>
      <c r="O27" s="17">
        <v>2</v>
      </c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>
        <f>SUM(C27:AC27)</f>
        <v>9</v>
      </c>
      <c r="AE27" s="17">
        <v>54</v>
      </c>
      <c r="AF27" s="17">
        <v>3</v>
      </c>
      <c r="AG27" cm="1">
        <f t="array" ref="AG27">IFERROR(_xlfn.XLOOKUP(TRUE,C27:AC27&lt;&gt;"",C27:AC27,,0,-1),"")</f>
        <v>2</v>
      </c>
      <c r="AH27" s="65">
        <f t="shared" ref="AH27:AH48" si="2">IFERROR(INDEX(Sizes,MATCH(AG27,C27:AC27,0)),"")</f>
        <v>9</v>
      </c>
      <c r="AI27" s="65" cm="1">
        <f t="array" ref="AI27">IFERROR(_xlfn._xlws.FILTER(SizeCarton[H (CM)],(SizeCarton[Brand]=Brand)*(SizeCarton[Size]=Input!AH27)*(SizeCarton[Width]=Width)),"")</f>
        <v>51.5</v>
      </c>
      <c r="AJ27" s="65">
        <f>IFERROR(AI27*AF27,"")</f>
        <v>154.5</v>
      </c>
      <c r="AK27" s="66">
        <f>IFERROR(CONVERT(AJ27,"cm","in"),"")</f>
        <v>60.826771653543311</v>
      </c>
      <c r="AL27" s="66" cm="1">
        <f t="array" ref="AL27">AK27+PalletDimension[Height (inch)]</f>
        <v>65.826771653543318</v>
      </c>
      <c r="AM27" s="74" cm="1">
        <f t="array" ref="AM27">IFERROR(_xlfn._xlws.FILTER(SizeCarton[Layer Length (inch)],(SizeCarton[Brand]=Brand)*(SizeCarton[Size]=Input!AH27)*(SizeCarton[Width]=Width)),"")</f>
        <v>50</v>
      </c>
      <c r="AN27" s="74" cm="1">
        <f t="array" ref="AN27">IFERROR(_xlfn._xlws.FILTER(SizeCarton[Layer Width (inch)],(SizeCarton[Brand]=Brand)*(SizeCarton[Size]=Input!AH27)*(SizeCarton[Width]=Width)),"")</f>
        <v>40</v>
      </c>
      <c r="AO27" s="74">
        <f>SUMPRODUCT(C27:AC27,$C$51:$AC$51)</f>
        <v>146.19999999999999</v>
      </c>
      <c r="AP27" s="74" cm="1">
        <f t="array" ref="AP27">IF(AD27&lt;&gt;0,PalletDimension[Weight (KG)],0)</f>
        <v>15</v>
      </c>
      <c r="AQ27" s="74">
        <f>AO27+AP27</f>
        <v>161.19999999999999</v>
      </c>
    </row>
    <row r="28" spans="2:43">
      <c r="B28" s="16" t="s">
        <v>31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>
        <v>9</v>
      </c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>
        <f t="shared" ref="AD28:AD48" si="3">SUM(C28:AC28)</f>
        <v>9</v>
      </c>
      <c r="AE28" s="17">
        <v>54</v>
      </c>
      <c r="AF28" s="17">
        <v>3</v>
      </c>
      <c r="AG28" cm="1">
        <f t="array" ref="AG28">IFERROR(_xlfn.XLOOKUP(TRUE,C28:AC28&lt;&gt;"",C28:AC28,,0,-1),"")</f>
        <v>9</v>
      </c>
      <c r="AH28" s="65">
        <f t="shared" si="2"/>
        <v>9</v>
      </c>
      <c r="AI28" s="65" cm="1">
        <f t="array" ref="AI28">IFERROR(_xlfn._xlws.FILTER(SizeCarton[H (CM)],(SizeCarton[Brand]=Brand)*(SizeCarton[Size]=Input!AH28)*(SizeCarton[Width]=Width)),"")</f>
        <v>51.5</v>
      </c>
      <c r="AJ28" s="65">
        <f t="shared" ref="AJ28:AJ48" si="4">IFERROR(AI28*AF28,"")</f>
        <v>154.5</v>
      </c>
      <c r="AK28" s="66">
        <f t="shared" ref="AK28:AK48" si="5">IFERROR(CONVERT(AJ28,"cm","in"),"")</f>
        <v>60.826771653543311</v>
      </c>
      <c r="AL28" s="66" cm="1">
        <f t="array" ref="AL28">AK28+PalletDimension[Height (inch)]</f>
        <v>65.826771653543318</v>
      </c>
      <c r="AM28" s="74" cm="1">
        <f t="array" ref="AM28">IFERROR(_xlfn._xlws.FILTER(SizeCarton[Layer Length (inch)],(SizeCarton[Brand]=Brand)*(SizeCarton[Size]=Input!AH28)*(SizeCarton[Width]=Width)),"")</f>
        <v>50</v>
      </c>
      <c r="AN28" s="74" cm="1">
        <f t="array" ref="AN28">IFERROR(_xlfn._xlws.FILTER(SizeCarton[Layer Width (inch)],(SizeCarton[Brand]=Brand)*(SizeCarton[Size]=Input!AH28)*(SizeCarton[Width]=Width)),"")</f>
        <v>40</v>
      </c>
      <c r="AO28" s="74">
        <f t="shared" ref="AO28:AO48" si="6">SUMPRODUCT(C28:AC28,$C$51:$AC$51)</f>
        <v>147.6</v>
      </c>
      <c r="AP28" s="74" cm="1">
        <f t="array" ref="AP28">IF(AD28&lt;&gt;0,PalletDimension[Weight (KG)],0)</f>
        <v>15</v>
      </c>
      <c r="AQ28" s="74">
        <f t="shared" ref="AQ28:AQ48" si="7">AO28+AP28</f>
        <v>162.6</v>
      </c>
    </row>
    <row r="29" spans="2:43">
      <c r="B29" s="16" t="s">
        <v>32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>
        <v>1</v>
      </c>
      <c r="P29" s="17"/>
      <c r="Q29" s="17">
        <v>8</v>
      </c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>
        <f t="shared" si="3"/>
        <v>9</v>
      </c>
      <c r="AE29" s="17">
        <v>54</v>
      </c>
      <c r="AF29" s="17">
        <v>3</v>
      </c>
      <c r="AG29" cm="1">
        <f t="array" ref="AG29">IFERROR(_xlfn.XLOOKUP(TRUE,C29:AC29&lt;&gt;"",C29:AC29,,0,-1),"")</f>
        <v>8</v>
      </c>
      <c r="AH29" s="65">
        <f t="shared" si="2"/>
        <v>10</v>
      </c>
      <c r="AI29" s="65" cm="1">
        <f t="array" ref="AI29">IFERROR(_xlfn._xlws.FILTER(SizeCarton[H (CM)],(SizeCarton[Brand]=Brand)*(SizeCarton[Size]=Input!AH29)*(SizeCarton[Width]=Width)),"")</f>
        <v>51.5</v>
      </c>
      <c r="AJ29" s="65">
        <f t="shared" si="4"/>
        <v>154.5</v>
      </c>
      <c r="AK29" s="66">
        <f t="shared" si="5"/>
        <v>60.826771653543311</v>
      </c>
      <c r="AL29" s="66" cm="1">
        <f t="array" ref="AL29">AK29+PalletDimension[Height (inch)]</f>
        <v>65.826771653543318</v>
      </c>
      <c r="AM29" s="74" cm="1">
        <f t="array" ref="AM29">IFERROR(_xlfn._xlws.FILTER(SizeCarton[Layer Length (inch)],(SizeCarton[Brand]=Brand)*(SizeCarton[Size]=Input!AH29)*(SizeCarton[Width]=Width)),"")</f>
        <v>50</v>
      </c>
      <c r="AN29" s="74" cm="1">
        <f t="array" ref="AN29">IFERROR(_xlfn._xlws.FILTER(SizeCarton[Layer Width (inch)],(SizeCarton[Brand]=Brand)*(SizeCarton[Size]=Input!AH29)*(SizeCarton[Width]=Width)),"")</f>
        <v>40</v>
      </c>
      <c r="AO29" s="74">
        <f t="shared" si="6"/>
        <v>151.6</v>
      </c>
      <c r="AP29" s="74" cm="1">
        <f t="array" ref="AP29">IF(AD29&lt;&gt;0,PalletDimension[Weight (KG)],0)</f>
        <v>15</v>
      </c>
      <c r="AQ29" s="74">
        <f t="shared" si="7"/>
        <v>166.6</v>
      </c>
    </row>
    <row r="30" spans="2:43">
      <c r="B30" s="16" t="s">
        <v>33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>
        <v>9</v>
      </c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>
        <f t="shared" si="3"/>
        <v>9</v>
      </c>
      <c r="AE30" s="17">
        <v>54</v>
      </c>
      <c r="AF30" s="17">
        <v>3</v>
      </c>
      <c r="AG30" cm="1">
        <f t="array" ref="AG30">IFERROR(_xlfn.XLOOKUP(TRUE,C30:AC30&lt;&gt;"",C30:AC30,,0,-1),"")</f>
        <v>9</v>
      </c>
      <c r="AH30" s="65">
        <f t="shared" si="2"/>
        <v>10</v>
      </c>
      <c r="AI30" s="65" cm="1">
        <f t="array" ref="AI30">IFERROR(_xlfn._xlws.FILTER(SizeCarton[H (CM)],(SizeCarton[Brand]=Brand)*(SizeCarton[Size]=Input!AH30)*(SizeCarton[Width]=Width)),"")</f>
        <v>51.5</v>
      </c>
      <c r="AJ30" s="65">
        <f t="shared" si="4"/>
        <v>154.5</v>
      </c>
      <c r="AK30" s="66">
        <f t="shared" si="5"/>
        <v>60.826771653543311</v>
      </c>
      <c r="AL30" s="66" cm="1">
        <f t="array" ref="AL30">AK30+PalletDimension[Height (inch)]</f>
        <v>65.826771653543318</v>
      </c>
      <c r="AM30" s="74" cm="1">
        <f t="array" ref="AM30">IFERROR(_xlfn._xlws.FILTER(SizeCarton[Layer Length (inch)],(SizeCarton[Brand]=Brand)*(SizeCarton[Size]=Input!AH30)*(SizeCarton[Width]=Width)),"")</f>
        <v>50</v>
      </c>
      <c r="AN30" s="74" cm="1">
        <f t="array" ref="AN30">IFERROR(_xlfn._xlws.FILTER(SizeCarton[Layer Width (inch)],(SizeCarton[Brand]=Brand)*(SizeCarton[Size]=Input!AH30)*(SizeCarton[Width]=Width)),"")</f>
        <v>40</v>
      </c>
      <c r="AO30" s="74">
        <f t="shared" si="6"/>
        <v>152.1</v>
      </c>
      <c r="AP30" s="74" cm="1">
        <f t="array" ref="AP30">IF(AD30&lt;&gt;0,PalletDimension[Weight (KG)],0)</f>
        <v>15</v>
      </c>
      <c r="AQ30" s="74">
        <f t="shared" si="7"/>
        <v>167.1</v>
      </c>
    </row>
    <row r="31" spans="2:43">
      <c r="B31" s="16" t="s">
        <v>34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>
        <v>9</v>
      </c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>
        <f t="shared" si="3"/>
        <v>9</v>
      </c>
      <c r="AE31" s="17">
        <v>54</v>
      </c>
      <c r="AF31" s="17">
        <v>3</v>
      </c>
      <c r="AG31" cm="1">
        <f t="array" ref="AG31">IFERROR(_xlfn.XLOOKUP(TRUE,C31:AC31&lt;&gt;"",C31:AC31,,0,-1),"")</f>
        <v>9</v>
      </c>
      <c r="AH31" s="65">
        <f t="shared" si="2"/>
        <v>10</v>
      </c>
      <c r="AI31" s="65" cm="1">
        <f t="array" ref="AI31">IFERROR(_xlfn._xlws.FILTER(SizeCarton[H (CM)],(SizeCarton[Brand]=Brand)*(SizeCarton[Size]=Input!AH31)*(SizeCarton[Width]=Width)),"")</f>
        <v>51.5</v>
      </c>
      <c r="AJ31" s="65">
        <f t="shared" si="4"/>
        <v>154.5</v>
      </c>
      <c r="AK31" s="66">
        <f t="shared" si="5"/>
        <v>60.826771653543311</v>
      </c>
      <c r="AL31" s="66" cm="1">
        <f t="array" ref="AL31">AK31+PalletDimension[Height (inch)]</f>
        <v>65.826771653543318</v>
      </c>
      <c r="AM31" s="74" cm="1">
        <f t="array" ref="AM31">IFERROR(_xlfn._xlws.FILTER(SizeCarton[Layer Length (inch)],(SizeCarton[Brand]=Brand)*(SizeCarton[Size]=Input!AH31)*(SizeCarton[Width]=Width)),"")</f>
        <v>50</v>
      </c>
      <c r="AN31" s="74" cm="1">
        <f t="array" ref="AN31">IFERROR(_xlfn._xlws.FILTER(SizeCarton[Layer Width (inch)],(SizeCarton[Brand]=Brand)*(SizeCarton[Size]=Input!AH31)*(SizeCarton[Width]=Width)),"")</f>
        <v>40</v>
      </c>
      <c r="AO31" s="74">
        <f t="shared" si="6"/>
        <v>152.1</v>
      </c>
      <c r="AP31" s="74" cm="1">
        <f t="array" ref="AP31">IF(AD31&lt;&gt;0,PalletDimension[Weight (KG)],0)</f>
        <v>15</v>
      </c>
      <c r="AQ31" s="74">
        <f t="shared" si="7"/>
        <v>167.1</v>
      </c>
    </row>
    <row r="32" spans="2:43">
      <c r="B32" s="16" t="s">
        <v>35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>
        <v>9</v>
      </c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>
        <f t="shared" si="3"/>
        <v>9</v>
      </c>
      <c r="AE32" s="17">
        <v>54</v>
      </c>
      <c r="AF32" s="17">
        <v>3</v>
      </c>
      <c r="AG32" cm="1">
        <f t="array" ref="AG32">IFERROR(_xlfn.XLOOKUP(TRUE,C32:AC32&lt;&gt;"",C32:AC32,,0,-1),"")</f>
        <v>9</v>
      </c>
      <c r="AH32" s="65">
        <f t="shared" si="2"/>
        <v>10</v>
      </c>
      <c r="AI32" s="65" cm="1">
        <f t="array" ref="AI32">IFERROR(_xlfn._xlws.FILTER(SizeCarton[H (CM)],(SizeCarton[Brand]=Brand)*(SizeCarton[Size]=Input!AH32)*(SizeCarton[Width]=Width)),"")</f>
        <v>51.5</v>
      </c>
      <c r="AJ32" s="65">
        <f t="shared" si="4"/>
        <v>154.5</v>
      </c>
      <c r="AK32" s="66">
        <f t="shared" si="5"/>
        <v>60.826771653543311</v>
      </c>
      <c r="AL32" s="66" cm="1">
        <f t="array" ref="AL32">AK32+PalletDimension[Height (inch)]</f>
        <v>65.826771653543318</v>
      </c>
      <c r="AM32" s="74" cm="1">
        <f t="array" ref="AM32">IFERROR(_xlfn._xlws.FILTER(SizeCarton[Layer Length (inch)],(SizeCarton[Brand]=Brand)*(SizeCarton[Size]=Input!AH32)*(SizeCarton[Width]=Width)),"")</f>
        <v>50</v>
      </c>
      <c r="AN32" s="74" cm="1">
        <f t="array" ref="AN32">IFERROR(_xlfn._xlws.FILTER(SizeCarton[Layer Width (inch)],(SizeCarton[Brand]=Brand)*(SizeCarton[Size]=Input!AH32)*(SizeCarton[Width]=Width)),"")</f>
        <v>40</v>
      </c>
      <c r="AO32" s="74">
        <f t="shared" si="6"/>
        <v>152.1</v>
      </c>
      <c r="AP32" s="74" cm="1">
        <f t="array" ref="AP32">IF(AD32&lt;&gt;0,PalletDimension[Weight (KG)],0)</f>
        <v>15</v>
      </c>
      <c r="AQ32" s="74">
        <f t="shared" si="7"/>
        <v>167.1</v>
      </c>
    </row>
    <row r="33" spans="2:43">
      <c r="B33" s="16" t="s">
        <v>36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>
        <v>9</v>
      </c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>
        <f t="shared" si="3"/>
        <v>9</v>
      </c>
      <c r="AE33" s="17">
        <v>54</v>
      </c>
      <c r="AF33" s="17">
        <v>3</v>
      </c>
      <c r="AG33" cm="1">
        <f t="array" ref="AG33">IFERROR(_xlfn.XLOOKUP(TRUE,C33:AC33&lt;&gt;"",C33:AC33,,0,-1),"")</f>
        <v>9</v>
      </c>
      <c r="AH33" s="65">
        <f t="shared" si="2"/>
        <v>10</v>
      </c>
      <c r="AI33" s="65" cm="1">
        <f t="array" ref="AI33">IFERROR(_xlfn._xlws.FILTER(SizeCarton[H (CM)],(SizeCarton[Brand]=Brand)*(SizeCarton[Size]=Input!AH33)*(SizeCarton[Width]=Width)),"")</f>
        <v>51.5</v>
      </c>
      <c r="AJ33" s="65">
        <f t="shared" si="4"/>
        <v>154.5</v>
      </c>
      <c r="AK33" s="66">
        <f t="shared" si="5"/>
        <v>60.826771653543311</v>
      </c>
      <c r="AL33" s="66" cm="1">
        <f t="array" ref="AL33">AK33+PalletDimension[Height (inch)]</f>
        <v>65.826771653543318</v>
      </c>
      <c r="AM33" s="74" cm="1">
        <f t="array" ref="AM33">IFERROR(_xlfn._xlws.FILTER(SizeCarton[Layer Length (inch)],(SizeCarton[Brand]=Brand)*(SizeCarton[Size]=Input!AH33)*(SizeCarton[Width]=Width)),"")</f>
        <v>50</v>
      </c>
      <c r="AN33" s="74" cm="1">
        <f t="array" ref="AN33">IFERROR(_xlfn._xlws.FILTER(SizeCarton[Layer Width (inch)],(SizeCarton[Brand]=Brand)*(SizeCarton[Size]=Input!AH33)*(SizeCarton[Width]=Width)),"")</f>
        <v>40</v>
      </c>
      <c r="AO33" s="74">
        <f t="shared" si="6"/>
        <v>152.1</v>
      </c>
      <c r="AP33" s="74" cm="1">
        <f t="array" ref="AP33">IF(AD33&lt;&gt;0,PalletDimension[Weight (KG)],0)</f>
        <v>15</v>
      </c>
      <c r="AQ33" s="74">
        <f t="shared" si="7"/>
        <v>167.1</v>
      </c>
    </row>
    <row r="34" spans="2:43">
      <c r="B34" s="16" t="s">
        <v>37</v>
      </c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>
        <v>9</v>
      </c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>
        <f t="shared" si="3"/>
        <v>9</v>
      </c>
      <c r="AE34" s="17">
        <v>54</v>
      </c>
      <c r="AF34" s="17">
        <v>3</v>
      </c>
      <c r="AG34" cm="1">
        <f t="array" ref="AG34">IFERROR(_xlfn.XLOOKUP(TRUE,C34:AC34&lt;&gt;"",C34:AC34,,0,-1),"")</f>
        <v>9</v>
      </c>
      <c r="AH34" s="65">
        <f t="shared" si="2"/>
        <v>10</v>
      </c>
      <c r="AI34" s="65" cm="1">
        <f t="array" ref="AI34">IFERROR(_xlfn._xlws.FILTER(SizeCarton[H (CM)],(SizeCarton[Brand]=Brand)*(SizeCarton[Size]=Input!AH34)*(SizeCarton[Width]=Width)),"")</f>
        <v>51.5</v>
      </c>
      <c r="AJ34" s="65">
        <f t="shared" si="4"/>
        <v>154.5</v>
      </c>
      <c r="AK34" s="66">
        <f t="shared" si="5"/>
        <v>60.826771653543311</v>
      </c>
      <c r="AL34" s="66" cm="1">
        <f t="array" ref="AL34">AK34+PalletDimension[Height (inch)]</f>
        <v>65.826771653543318</v>
      </c>
      <c r="AM34" s="74" cm="1">
        <f t="array" ref="AM34">IFERROR(_xlfn._xlws.FILTER(SizeCarton[Layer Length (inch)],(SizeCarton[Brand]=Brand)*(SizeCarton[Size]=Input!AH34)*(SizeCarton[Width]=Width)),"")</f>
        <v>50</v>
      </c>
      <c r="AN34" s="74" cm="1">
        <f t="array" ref="AN34">IFERROR(_xlfn._xlws.FILTER(SizeCarton[Layer Width (inch)],(SizeCarton[Brand]=Brand)*(SizeCarton[Size]=Input!AH34)*(SizeCarton[Width]=Width)),"")</f>
        <v>40</v>
      </c>
      <c r="AO34" s="74">
        <f t="shared" si="6"/>
        <v>152.1</v>
      </c>
      <c r="AP34" s="74" cm="1">
        <f t="array" ref="AP34">IF(AD34&lt;&gt;0,PalletDimension[Weight (KG)],0)</f>
        <v>15</v>
      </c>
      <c r="AQ34" s="74">
        <f t="shared" si="7"/>
        <v>167.1</v>
      </c>
    </row>
    <row r="35" spans="2:43">
      <c r="B35" s="16" t="s">
        <v>38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>
        <v>4</v>
      </c>
      <c r="R35" s="17">
        <v>5</v>
      </c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>
        <f t="shared" si="3"/>
        <v>9</v>
      </c>
      <c r="AE35" s="17">
        <v>54</v>
      </c>
      <c r="AF35" s="17">
        <v>3</v>
      </c>
      <c r="AG35" cm="1">
        <f t="array" ref="AG35">IFERROR(_xlfn.XLOOKUP(TRUE,C35:AC35&lt;&gt;"",C35:AC35,,0,-1),"")</f>
        <v>5</v>
      </c>
      <c r="AH35" s="65">
        <f t="shared" si="2"/>
        <v>10.5</v>
      </c>
      <c r="AI35" s="65" cm="1">
        <f t="array" ref="AI35">IFERROR(_xlfn._xlws.FILTER(SizeCarton[H (CM)],(SizeCarton[Brand]=Brand)*(SizeCarton[Size]=Input!AH35)*(SizeCarton[Width]=Width)),"")</f>
        <v>55.5</v>
      </c>
      <c r="AJ35" s="65">
        <f t="shared" si="4"/>
        <v>166.5</v>
      </c>
      <c r="AK35" s="66">
        <f t="shared" si="5"/>
        <v>65.551181102362207</v>
      </c>
      <c r="AL35" s="66" cm="1">
        <f t="array" ref="AL35">AK35+PalletDimension[Height (inch)]</f>
        <v>70.551181102362207</v>
      </c>
      <c r="AM35" s="74" cm="1">
        <f t="array" ref="AM35">IFERROR(_xlfn._xlws.FILTER(SizeCarton[Layer Length (inch)],(SizeCarton[Brand]=Brand)*(SizeCarton[Size]=Input!AH35)*(SizeCarton[Width]=Width)),"")</f>
        <v>50</v>
      </c>
      <c r="AN35" s="74" cm="1">
        <f t="array" ref="AN35">IFERROR(_xlfn._xlws.FILTER(SizeCarton[Layer Width (inch)],(SizeCarton[Brand]=Brand)*(SizeCarton[Size]=Input!AH35)*(SizeCarton[Width]=Width)),"")</f>
        <v>40</v>
      </c>
      <c r="AO35" s="74">
        <f t="shared" si="6"/>
        <v>156.6</v>
      </c>
      <c r="AP35" s="74" cm="1">
        <f t="array" ref="AP35">IF(AD35&lt;&gt;0,PalletDimension[Weight (KG)],0)</f>
        <v>15</v>
      </c>
      <c r="AQ35" s="74">
        <f t="shared" si="7"/>
        <v>171.6</v>
      </c>
    </row>
    <row r="36" spans="2:43">
      <c r="B36" s="16" t="s">
        <v>39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>
        <v>9</v>
      </c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>
        <f t="shared" si="3"/>
        <v>9</v>
      </c>
      <c r="AE36" s="17">
        <v>54</v>
      </c>
      <c r="AF36" s="17">
        <v>3</v>
      </c>
      <c r="AG36" cm="1">
        <f t="array" ref="AG36">IFERROR(_xlfn.XLOOKUP(TRUE,C36:AC36&lt;&gt;"",C36:AC36,,0,-1),"")</f>
        <v>9</v>
      </c>
      <c r="AH36" s="65">
        <f t="shared" si="2"/>
        <v>10.5</v>
      </c>
      <c r="AI36" s="65" cm="1">
        <f t="array" ref="AI36">IFERROR(_xlfn._xlws.FILTER(SizeCarton[H (CM)],(SizeCarton[Brand]=Brand)*(SizeCarton[Size]=Input!AH36)*(SizeCarton[Width]=Width)),"")</f>
        <v>55.5</v>
      </c>
      <c r="AJ36" s="65">
        <f t="shared" si="4"/>
        <v>166.5</v>
      </c>
      <c r="AK36" s="66">
        <f t="shared" si="5"/>
        <v>65.551181102362207</v>
      </c>
      <c r="AL36" s="66" cm="1">
        <f t="array" ref="AL36">AK36+PalletDimension[Height (inch)]</f>
        <v>70.551181102362207</v>
      </c>
      <c r="AM36" s="74" cm="1">
        <f t="array" ref="AM36">IFERROR(_xlfn._xlws.FILTER(SizeCarton[Layer Length (inch)],(SizeCarton[Brand]=Brand)*(SizeCarton[Size]=Input!AH36)*(SizeCarton[Width]=Width)),"")</f>
        <v>50</v>
      </c>
      <c r="AN36" s="74" cm="1">
        <f t="array" ref="AN36">IFERROR(_xlfn._xlws.FILTER(SizeCarton[Layer Width (inch)],(SizeCarton[Brand]=Brand)*(SizeCarton[Size]=Input!AH36)*(SizeCarton[Width]=Width)),"")</f>
        <v>40</v>
      </c>
      <c r="AO36" s="74">
        <f t="shared" si="6"/>
        <v>160.20000000000002</v>
      </c>
      <c r="AP36" s="74" cm="1">
        <f t="array" ref="AP36">IF(AD36&lt;&gt;0,PalletDimension[Weight (KG)],0)</f>
        <v>15</v>
      </c>
      <c r="AQ36" s="74">
        <f t="shared" si="7"/>
        <v>175.20000000000002</v>
      </c>
    </row>
    <row r="37" spans="2:43">
      <c r="B37" s="16" t="s">
        <v>40</v>
      </c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>
        <v>9</v>
      </c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>
        <f t="shared" si="3"/>
        <v>9</v>
      </c>
      <c r="AE37" s="17">
        <v>54</v>
      </c>
      <c r="AF37" s="17">
        <v>3</v>
      </c>
      <c r="AG37" cm="1">
        <f t="array" ref="AG37">IFERROR(_xlfn.XLOOKUP(TRUE,C37:AC37&lt;&gt;"",C37:AC37,,0,-1),"")</f>
        <v>9</v>
      </c>
      <c r="AH37" s="65">
        <f t="shared" si="2"/>
        <v>10.5</v>
      </c>
      <c r="AI37" s="65" cm="1">
        <f t="array" ref="AI37">IFERROR(_xlfn._xlws.FILTER(SizeCarton[H (CM)],(SizeCarton[Brand]=Brand)*(SizeCarton[Size]=Input!AH37)*(SizeCarton[Width]=Width)),"")</f>
        <v>55.5</v>
      </c>
      <c r="AJ37" s="65">
        <f t="shared" si="4"/>
        <v>166.5</v>
      </c>
      <c r="AK37" s="66">
        <f t="shared" si="5"/>
        <v>65.551181102362207</v>
      </c>
      <c r="AL37" s="66" cm="1">
        <f t="array" ref="AL37">AK37+PalletDimension[Height (inch)]</f>
        <v>70.551181102362207</v>
      </c>
      <c r="AM37" s="74" cm="1">
        <f t="array" ref="AM37">IFERROR(_xlfn._xlws.FILTER(SizeCarton[Layer Length (inch)],(SizeCarton[Brand]=Brand)*(SizeCarton[Size]=Input!AH37)*(SizeCarton[Width]=Width)),"")</f>
        <v>50</v>
      </c>
      <c r="AN37" s="74" cm="1">
        <f t="array" ref="AN37">IFERROR(_xlfn._xlws.FILTER(SizeCarton[Layer Width (inch)],(SizeCarton[Brand]=Brand)*(SizeCarton[Size]=Input!AH37)*(SizeCarton[Width]=Width)),"")</f>
        <v>40</v>
      </c>
      <c r="AO37" s="74">
        <f t="shared" si="6"/>
        <v>160.20000000000002</v>
      </c>
      <c r="AP37" s="74" cm="1">
        <f t="array" ref="AP37">IF(AD37&lt;&gt;0,PalletDimension[Weight (KG)],0)</f>
        <v>15</v>
      </c>
      <c r="AQ37" s="74">
        <f t="shared" si="7"/>
        <v>175.20000000000002</v>
      </c>
    </row>
    <row r="38" spans="2:43">
      <c r="B38" s="16" t="s">
        <v>41</v>
      </c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>
        <v>1</v>
      </c>
      <c r="S38" s="17">
        <v>8</v>
      </c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>
        <f t="shared" si="3"/>
        <v>9</v>
      </c>
      <c r="AE38" s="17">
        <v>54</v>
      </c>
      <c r="AF38" s="17">
        <v>3</v>
      </c>
      <c r="AG38" cm="1">
        <f t="array" ref="AG38">IFERROR(_xlfn.XLOOKUP(TRUE,C38:AC38&lt;&gt;"",C38:AC38,,0,-1),"")</f>
        <v>8</v>
      </c>
      <c r="AH38" s="65">
        <f t="shared" si="2"/>
        <v>11</v>
      </c>
      <c r="AI38" s="65" cm="1">
        <f t="array" ref="AI38">IFERROR(_xlfn._xlws.FILTER(SizeCarton[H (CM)],(SizeCarton[Brand]=Brand)*(SizeCarton[Size]=Input!AH38)*(SizeCarton[Width]=Width)),"")</f>
        <v>55.5</v>
      </c>
      <c r="AJ38" s="65">
        <f t="shared" si="4"/>
        <v>166.5</v>
      </c>
      <c r="AK38" s="66">
        <f t="shared" si="5"/>
        <v>65.551181102362207</v>
      </c>
      <c r="AL38" s="66" cm="1">
        <f t="array" ref="AL38">AK38+PalletDimension[Height (inch)]</f>
        <v>70.551181102362207</v>
      </c>
      <c r="AM38" s="74" cm="1">
        <f t="array" ref="AM38">IFERROR(_xlfn._xlws.FILTER(SizeCarton[Layer Length (inch)],(SizeCarton[Brand]=Brand)*(SizeCarton[Size]=Input!AH38)*(SizeCarton[Width]=Width)),"")</f>
        <v>50</v>
      </c>
      <c r="AN38" s="74" cm="1">
        <f t="array" ref="AN38">IFERROR(_xlfn._xlws.FILTER(SizeCarton[Layer Width (inch)],(SizeCarton[Brand]=Brand)*(SizeCarton[Size]=Input!AH38)*(SizeCarton[Width]=Width)),"")</f>
        <v>40</v>
      </c>
      <c r="AO38" s="74">
        <f t="shared" si="6"/>
        <v>161.80000000000001</v>
      </c>
      <c r="AP38" s="74" cm="1">
        <f t="array" ref="AP38">IF(AD38&lt;&gt;0,PalletDimension[Weight (KG)],0)</f>
        <v>15</v>
      </c>
      <c r="AQ38" s="74">
        <f t="shared" si="7"/>
        <v>176.8</v>
      </c>
    </row>
    <row r="39" spans="2:43">
      <c r="B39" s="16" t="s">
        <v>42</v>
      </c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>
        <v>9</v>
      </c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>
        <f t="shared" si="3"/>
        <v>9</v>
      </c>
      <c r="AE39" s="17">
        <v>54</v>
      </c>
      <c r="AF39" s="17">
        <v>3</v>
      </c>
      <c r="AG39" cm="1">
        <f t="array" ref="AG39">IFERROR(_xlfn.XLOOKUP(TRUE,C39:AC39&lt;&gt;"",C39:AC39,,0,-1),"")</f>
        <v>9</v>
      </c>
      <c r="AH39" s="65">
        <f t="shared" si="2"/>
        <v>11</v>
      </c>
      <c r="AI39" s="65" cm="1">
        <f t="array" ref="AI39">IFERROR(_xlfn._xlws.FILTER(SizeCarton[H (CM)],(SizeCarton[Brand]=Brand)*(SizeCarton[Size]=Input!AH39)*(SizeCarton[Width]=Width)),"")</f>
        <v>55.5</v>
      </c>
      <c r="AJ39" s="65">
        <f t="shared" si="4"/>
        <v>166.5</v>
      </c>
      <c r="AK39" s="66">
        <f t="shared" si="5"/>
        <v>65.551181102362207</v>
      </c>
      <c r="AL39" s="66" cm="1">
        <f t="array" ref="AL39">AK39+PalletDimension[Height (inch)]</f>
        <v>70.551181102362207</v>
      </c>
      <c r="AM39" s="74" cm="1">
        <f t="array" ref="AM39">IFERROR(_xlfn._xlws.FILTER(SizeCarton[Layer Length (inch)],(SizeCarton[Brand]=Brand)*(SizeCarton[Size]=Input!AH39)*(SizeCarton[Width]=Width)),"")</f>
        <v>50</v>
      </c>
      <c r="AN39" s="74" cm="1">
        <f t="array" ref="AN39">IFERROR(_xlfn._xlws.FILTER(SizeCarton[Layer Width (inch)],(SizeCarton[Brand]=Brand)*(SizeCarton[Size]=Input!AH39)*(SizeCarton[Width]=Width)),"")</f>
        <v>40</v>
      </c>
      <c r="AO39" s="74">
        <f t="shared" si="6"/>
        <v>162</v>
      </c>
      <c r="AP39" s="74" cm="1">
        <f t="array" ref="AP39">IF(AD39&lt;&gt;0,PalletDimension[Weight (KG)],0)</f>
        <v>15</v>
      </c>
      <c r="AQ39" s="74">
        <f t="shared" si="7"/>
        <v>177</v>
      </c>
    </row>
    <row r="40" spans="2:43">
      <c r="B40" s="16" t="s">
        <v>43</v>
      </c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>
        <v>9</v>
      </c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>
        <f t="shared" si="3"/>
        <v>9</v>
      </c>
      <c r="AE40" s="17">
        <v>54</v>
      </c>
      <c r="AF40" s="17">
        <v>3</v>
      </c>
      <c r="AG40" cm="1">
        <f t="array" ref="AG40">IFERROR(_xlfn.XLOOKUP(TRUE,C40:AC40&lt;&gt;"",C40:AC40,,0,-1),"")</f>
        <v>9</v>
      </c>
      <c r="AH40" s="65">
        <f t="shared" si="2"/>
        <v>11</v>
      </c>
      <c r="AI40" s="65" cm="1">
        <f t="array" ref="AI40">IFERROR(_xlfn._xlws.FILTER(SizeCarton[H (CM)],(SizeCarton[Brand]=Brand)*(SizeCarton[Size]=Input!AH40)*(SizeCarton[Width]=Width)),"")</f>
        <v>55.5</v>
      </c>
      <c r="AJ40" s="65">
        <f t="shared" si="4"/>
        <v>166.5</v>
      </c>
      <c r="AK40" s="66">
        <f t="shared" si="5"/>
        <v>65.551181102362207</v>
      </c>
      <c r="AL40" s="66" cm="1">
        <f t="array" ref="AL40">AK40+PalletDimension[Height (inch)]</f>
        <v>70.551181102362207</v>
      </c>
      <c r="AM40" s="74" cm="1">
        <f t="array" ref="AM40">IFERROR(_xlfn._xlws.FILTER(SizeCarton[Layer Length (inch)],(SizeCarton[Brand]=Brand)*(SizeCarton[Size]=Input!AH40)*(SizeCarton[Width]=Width)),"")</f>
        <v>50</v>
      </c>
      <c r="AN40" s="74" cm="1">
        <f t="array" ref="AN40">IFERROR(_xlfn._xlws.FILTER(SizeCarton[Layer Width (inch)],(SizeCarton[Brand]=Brand)*(SizeCarton[Size]=Input!AH40)*(SizeCarton[Width]=Width)),"")</f>
        <v>40</v>
      </c>
      <c r="AO40" s="74">
        <f t="shared" si="6"/>
        <v>162</v>
      </c>
      <c r="AP40" s="74" cm="1">
        <f t="array" ref="AP40">IF(AD40&lt;&gt;0,PalletDimension[Weight (KG)],0)</f>
        <v>15</v>
      </c>
      <c r="AQ40" s="74">
        <f t="shared" si="7"/>
        <v>177</v>
      </c>
    </row>
    <row r="41" spans="2:43">
      <c r="B41" s="16" t="s">
        <v>44</v>
      </c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>
        <v>8</v>
      </c>
      <c r="T41" s="17">
        <v>1</v>
      </c>
      <c r="U41" s="17"/>
      <c r="V41" s="17"/>
      <c r="W41" s="17"/>
      <c r="X41" s="17"/>
      <c r="Y41" s="17"/>
      <c r="Z41" s="17"/>
      <c r="AA41" s="17"/>
      <c r="AB41" s="17"/>
      <c r="AC41" s="17"/>
      <c r="AD41" s="17">
        <f t="shared" si="3"/>
        <v>9</v>
      </c>
      <c r="AE41" s="17">
        <v>54</v>
      </c>
      <c r="AF41" s="17">
        <v>3</v>
      </c>
      <c r="AG41" cm="1">
        <f t="array" ref="AG41">IFERROR(_xlfn.XLOOKUP(TRUE,C41:AC41&lt;&gt;"",C41:AC41,,0,-1),"")</f>
        <v>1</v>
      </c>
      <c r="AH41" s="65">
        <f t="shared" si="2"/>
        <v>11.5</v>
      </c>
      <c r="AI41" s="65" cm="1">
        <f t="array" ref="AI41">IFERROR(_xlfn._xlws.FILTER(SizeCarton[H (CM)],(SizeCarton[Brand]=Brand)*(SizeCarton[Size]=Input!AH41)*(SizeCarton[Width]=Width)),"")</f>
        <v>55.5</v>
      </c>
      <c r="AJ41" s="65">
        <f t="shared" si="4"/>
        <v>166.5</v>
      </c>
      <c r="AK41" s="66">
        <f t="shared" si="5"/>
        <v>65.551181102362207</v>
      </c>
      <c r="AL41" s="66" cm="1">
        <f t="array" ref="AL41">AK41+PalletDimension[Height (inch)]</f>
        <v>70.551181102362207</v>
      </c>
      <c r="AM41" s="74" cm="1">
        <f t="array" ref="AM41">IFERROR(_xlfn._xlws.FILTER(SizeCarton[Layer Length (inch)],(SizeCarton[Brand]=Brand)*(SizeCarton[Size]=Input!AH41)*(SizeCarton[Width]=Width)),"")</f>
        <v>50</v>
      </c>
      <c r="AN41" s="74" cm="1">
        <f t="array" ref="AN41">IFERROR(_xlfn._xlws.FILTER(SizeCarton[Layer Width (inch)],(SizeCarton[Brand]=Brand)*(SizeCarton[Size]=Input!AH41)*(SizeCarton[Width]=Width)),"")</f>
        <v>40</v>
      </c>
      <c r="AO41" s="74">
        <f t="shared" si="6"/>
        <v>162.30000000000001</v>
      </c>
      <c r="AP41" s="74" cm="1">
        <f t="array" ref="AP41">IF(AD41&lt;&gt;0,PalletDimension[Weight (KG)],0)</f>
        <v>15</v>
      </c>
      <c r="AQ41" s="74">
        <f t="shared" si="7"/>
        <v>177.3</v>
      </c>
    </row>
    <row r="42" spans="2:43">
      <c r="B42" s="16" t="s">
        <v>45</v>
      </c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>
        <v>7</v>
      </c>
      <c r="U42" s="17">
        <v>2</v>
      </c>
      <c r="V42" s="17"/>
      <c r="W42" s="17"/>
      <c r="X42" s="17"/>
      <c r="Y42" s="17"/>
      <c r="Z42" s="17"/>
      <c r="AA42" s="17"/>
      <c r="AB42" s="17"/>
      <c r="AC42" s="17"/>
      <c r="AD42" s="17">
        <f t="shared" si="3"/>
        <v>9</v>
      </c>
      <c r="AE42" s="17">
        <v>54</v>
      </c>
      <c r="AF42" s="17">
        <v>3</v>
      </c>
      <c r="AG42" cm="1">
        <f t="array" ref="AG42">IFERROR(_xlfn.XLOOKUP(TRUE,C42:AC42&lt;&gt;"",C42:AC42,,0,-1),"")</f>
        <v>2</v>
      </c>
      <c r="AH42" s="65">
        <f t="shared" si="2"/>
        <v>12</v>
      </c>
      <c r="AI42" s="65" cm="1">
        <f t="array" ref="AI42">IFERROR(_xlfn._xlws.FILTER(SizeCarton[H (CM)],(SizeCarton[Brand]=Brand)*(SizeCarton[Size]=Input!AH42)*(SizeCarton[Width]=Width)),"")</f>
        <v>55.5</v>
      </c>
      <c r="AJ42" s="65">
        <f t="shared" si="4"/>
        <v>166.5</v>
      </c>
      <c r="AK42" s="66">
        <f t="shared" si="5"/>
        <v>65.551181102362207</v>
      </c>
      <c r="AL42" s="66" cm="1">
        <f t="array" ref="AL42">AK42+PalletDimension[Height (inch)]</f>
        <v>70.551181102362207</v>
      </c>
      <c r="AM42" s="74" cm="1">
        <f t="array" ref="AM42">IFERROR(_xlfn._xlws.FILTER(SizeCarton[Layer Length (inch)],(SizeCarton[Brand]=Brand)*(SizeCarton[Size]=Input!AH42)*(SizeCarton[Width]=Width)),"")</f>
        <v>50</v>
      </c>
      <c r="AN42" s="74" cm="1">
        <f t="array" ref="AN42">IFERROR(_xlfn._xlws.FILTER(SizeCarton[Layer Width (inch)],(SizeCarton[Brand]=Brand)*(SizeCarton[Size]=Input!AH42)*(SizeCarton[Width]=Width)),"")</f>
        <v>40</v>
      </c>
      <c r="AO42" s="74">
        <f t="shared" si="6"/>
        <v>165.5</v>
      </c>
      <c r="AP42" s="74" cm="1">
        <f t="array" ref="AP42">IF(AD42&lt;&gt;0,PalletDimension[Weight (KG)],0)</f>
        <v>15</v>
      </c>
      <c r="AQ42" s="74">
        <f t="shared" si="7"/>
        <v>180.5</v>
      </c>
    </row>
    <row r="43" spans="2:43">
      <c r="B43" s="16" t="s">
        <v>46</v>
      </c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>
        <v>9</v>
      </c>
      <c r="V43" s="17"/>
      <c r="W43" s="17"/>
      <c r="X43" s="17"/>
      <c r="Y43" s="17"/>
      <c r="Z43" s="17"/>
      <c r="AA43" s="17"/>
      <c r="AB43" s="17"/>
      <c r="AC43" s="17"/>
      <c r="AD43" s="17">
        <f t="shared" si="3"/>
        <v>9</v>
      </c>
      <c r="AE43" s="17">
        <v>54</v>
      </c>
      <c r="AF43" s="17">
        <v>3</v>
      </c>
      <c r="AG43" cm="1">
        <f t="array" ref="AG43">IFERROR(_xlfn.XLOOKUP(TRUE,C43:AC43&lt;&gt;"",C43:AC43,,0,-1),"")</f>
        <v>9</v>
      </c>
      <c r="AH43" s="65">
        <f t="shared" si="2"/>
        <v>12</v>
      </c>
      <c r="AI43" s="65" cm="1">
        <f t="array" ref="AI43">IFERROR(_xlfn._xlws.FILTER(SizeCarton[H (CM)],(SizeCarton[Brand]=Brand)*(SizeCarton[Size]=Input!AH43)*(SizeCarton[Width]=Width)),"")</f>
        <v>55.5</v>
      </c>
      <c r="AJ43" s="65">
        <f t="shared" si="4"/>
        <v>166.5</v>
      </c>
      <c r="AK43" s="66">
        <f t="shared" si="5"/>
        <v>65.551181102362207</v>
      </c>
      <c r="AL43" s="66" cm="1">
        <f t="array" ref="AL43">AK43+PalletDimension[Height (inch)]</f>
        <v>70.551181102362207</v>
      </c>
      <c r="AM43" s="74" cm="1">
        <f t="array" ref="AM43">IFERROR(_xlfn._xlws.FILTER(SizeCarton[Layer Length (inch)],(SizeCarton[Brand]=Brand)*(SizeCarton[Size]=Input!AH43)*(SizeCarton[Width]=Width)),"")</f>
        <v>50</v>
      </c>
      <c r="AN43" s="74" cm="1">
        <f t="array" ref="AN43">IFERROR(_xlfn._xlws.FILTER(SizeCarton[Layer Width (inch)],(SizeCarton[Brand]=Brand)*(SizeCarton[Size]=Input!AH43)*(SizeCarton[Width]=Width)),"")</f>
        <v>40</v>
      </c>
      <c r="AO43" s="74">
        <f t="shared" si="6"/>
        <v>168.29999999999998</v>
      </c>
      <c r="AP43" s="74" cm="1">
        <f t="array" ref="AP43">IF(AD43&lt;&gt;0,PalletDimension[Weight (KG)],0)</f>
        <v>15</v>
      </c>
      <c r="AQ43" s="74">
        <f t="shared" si="7"/>
        <v>183.29999999999998</v>
      </c>
    </row>
    <row r="44" spans="2:43">
      <c r="B44" s="16" t="s">
        <v>47</v>
      </c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>
        <v>9</v>
      </c>
      <c r="V44" s="17"/>
      <c r="W44" s="17"/>
      <c r="X44" s="17"/>
      <c r="Y44" s="17"/>
      <c r="Z44" s="17"/>
      <c r="AA44" s="17"/>
      <c r="AB44" s="17"/>
      <c r="AC44" s="17"/>
      <c r="AD44" s="17">
        <f t="shared" si="3"/>
        <v>9</v>
      </c>
      <c r="AE44" s="17">
        <v>54</v>
      </c>
      <c r="AF44" s="17">
        <v>3</v>
      </c>
      <c r="AG44" cm="1">
        <f t="array" ref="AG44">IFERROR(_xlfn.XLOOKUP(TRUE,C44:AC44&lt;&gt;"",C44:AC44,,0,-1),"")</f>
        <v>9</v>
      </c>
      <c r="AH44" s="65">
        <f t="shared" si="2"/>
        <v>12</v>
      </c>
      <c r="AI44" s="65" cm="1">
        <f t="array" ref="AI44">IFERROR(_xlfn._xlws.FILTER(SizeCarton[H (CM)],(SizeCarton[Brand]=Brand)*(SizeCarton[Size]=Input!AH44)*(SizeCarton[Width]=Width)),"")</f>
        <v>55.5</v>
      </c>
      <c r="AJ44" s="65">
        <f t="shared" si="4"/>
        <v>166.5</v>
      </c>
      <c r="AK44" s="66">
        <f t="shared" si="5"/>
        <v>65.551181102362207</v>
      </c>
      <c r="AL44" s="66" cm="1">
        <f t="array" ref="AL44">AK44+PalletDimension[Height (inch)]</f>
        <v>70.551181102362207</v>
      </c>
      <c r="AM44" s="74" cm="1">
        <f t="array" ref="AM44">IFERROR(_xlfn._xlws.FILTER(SizeCarton[Layer Length (inch)],(SizeCarton[Brand]=Brand)*(SizeCarton[Size]=Input!AH44)*(SizeCarton[Width]=Width)),"")</f>
        <v>50</v>
      </c>
      <c r="AN44" s="74" cm="1">
        <f t="array" ref="AN44">IFERROR(_xlfn._xlws.FILTER(SizeCarton[Layer Width (inch)],(SizeCarton[Brand]=Brand)*(SizeCarton[Size]=Input!AH44)*(SizeCarton[Width]=Width)),"")</f>
        <v>40</v>
      </c>
      <c r="AO44" s="74">
        <f t="shared" si="6"/>
        <v>168.29999999999998</v>
      </c>
      <c r="AP44" s="74" cm="1">
        <f t="array" ref="AP44">IF(AD44&lt;&gt;0,PalletDimension[Weight (KG)],0)</f>
        <v>15</v>
      </c>
      <c r="AQ44" s="74">
        <f t="shared" si="7"/>
        <v>183.29999999999998</v>
      </c>
    </row>
    <row r="45" spans="2:43">
      <c r="B45" s="16" t="s">
        <v>48</v>
      </c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>
        <v>4</v>
      </c>
      <c r="V45" s="17"/>
      <c r="W45" s="17"/>
      <c r="X45" s="17"/>
      <c r="Y45" s="17"/>
      <c r="Z45" s="17"/>
      <c r="AA45" s="17"/>
      <c r="AB45" s="17"/>
      <c r="AC45" s="17"/>
      <c r="AD45" s="17">
        <f t="shared" si="3"/>
        <v>4</v>
      </c>
      <c r="AE45" s="17">
        <v>24</v>
      </c>
      <c r="AF45" s="17">
        <v>2</v>
      </c>
      <c r="AG45" cm="1">
        <f t="array" ref="AG45">IFERROR(_xlfn.XLOOKUP(TRUE,C45:AC45&lt;&gt;"",C45:AC45,,0,-1),"")</f>
        <v>4</v>
      </c>
      <c r="AH45" s="65">
        <f t="shared" si="2"/>
        <v>12</v>
      </c>
      <c r="AI45" s="65" cm="1">
        <f t="array" ref="AI45">IFERROR(_xlfn._xlws.FILTER(SizeCarton[H (CM)],(SizeCarton[Brand]=Brand)*(SizeCarton[Size]=Input!AH45)*(SizeCarton[Width]=Width)),"")</f>
        <v>55.5</v>
      </c>
      <c r="AJ45" s="65">
        <f t="shared" si="4"/>
        <v>111</v>
      </c>
      <c r="AK45" s="66">
        <f t="shared" si="5"/>
        <v>43.700787401574807</v>
      </c>
      <c r="AL45" s="66" cm="1">
        <f t="array" ref="AL45">AK45+PalletDimension[Height (inch)]</f>
        <v>48.700787401574807</v>
      </c>
      <c r="AM45" s="74" cm="1">
        <f t="array" ref="AM45">IFERROR(_xlfn._xlws.FILTER(SizeCarton[Layer Length (inch)],(SizeCarton[Brand]=Brand)*(SizeCarton[Size]=Input!AH45)*(SizeCarton[Width]=Width)),"")</f>
        <v>50</v>
      </c>
      <c r="AN45" s="74" cm="1">
        <f t="array" ref="AN45">IFERROR(_xlfn._xlws.FILTER(SizeCarton[Layer Width (inch)],(SizeCarton[Brand]=Brand)*(SizeCarton[Size]=Input!AH45)*(SizeCarton[Width]=Width)),"")</f>
        <v>40</v>
      </c>
      <c r="AO45" s="74">
        <f t="shared" si="6"/>
        <v>74.8</v>
      </c>
      <c r="AP45" s="74" cm="1">
        <f t="array" ref="AP45">IF(AD45&lt;&gt;0,PalletDimension[Weight (KG)],0)</f>
        <v>15</v>
      </c>
      <c r="AQ45" s="74">
        <f t="shared" si="7"/>
        <v>89.8</v>
      </c>
    </row>
    <row r="46" spans="2:43">
      <c r="B46" s="16" t="s">
        <v>49</v>
      </c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>
        <f t="shared" si="3"/>
        <v>0</v>
      </c>
      <c r="AE46" s="17"/>
      <c r="AF46" s="17"/>
      <c r="AG46" t="str" cm="1">
        <f t="array" ref="AG46">IFERROR(_xlfn.XLOOKUP(TRUE,C46:AC46&lt;&gt;"",C46:AC46,,0,-1),"")</f>
        <v/>
      </c>
      <c r="AH46" s="65" t="str">
        <f t="shared" si="2"/>
        <v/>
      </c>
      <c r="AI46" s="65" t="str" cm="1">
        <f t="array" ref="AI46">IFERROR(_xlfn._xlws.FILTER(SizeCarton[H (CM)],(SizeCarton[Brand]=Brand)*(SizeCarton[Size]=Input!AH46)*(SizeCarton[Width]=Width)),"")</f>
        <v/>
      </c>
      <c r="AJ46" s="65" t="str">
        <f t="shared" si="4"/>
        <v/>
      </c>
      <c r="AK46" s="66" t="str">
        <f t="shared" si="5"/>
        <v/>
      </c>
      <c r="AL46" s="66" t="e" cm="1">
        <f t="array" ref="AL46">AK46+PalletDimension[Height (inch)]</f>
        <v>#VALUE!</v>
      </c>
      <c r="AM46" s="74" t="str" cm="1">
        <f t="array" ref="AM46">IFERROR(_xlfn._xlws.FILTER(SizeCarton[Layer Length (inch)],(SizeCarton[Brand]=Brand)*(SizeCarton[Size]=Input!AH46)*(SizeCarton[Width]=Width)),"")</f>
        <v/>
      </c>
      <c r="AN46" s="74" t="str" cm="1">
        <f t="array" ref="AN46">IFERROR(_xlfn._xlws.FILTER(SizeCarton[Layer Width (inch)],(SizeCarton[Brand]=Brand)*(SizeCarton[Size]=Input!AH46)*(SizeCarton[Width]=Width)),"")</f>
        <v/>
      </c>
      <c r="AO46" s="74">
        <f t="shared" si="6"/>
        <v>0</v>
      </c>
      <c r="AP46" s="74" cm="1">
        <f t="array" ref="AP46">IF(AD46&lt;&gt;0,PalletDimension[Weight (KG)],0)</f>
        <v>0</v>
      </c>
      <c r="AQ46" s="74">
        <f t="shared" si="7"/>
        <v>0</v>
      </c>
    </row>
    <row r="47" spans="2:43">
      <c r="B47" s="16" t="s">
        <v>50</v>
      </c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>
        <f t="shared" si="3"/>
        <v>0</v>
      </c>
      <c r="AE47" s="17"/>
      <c r="AF47" s="17"/>
      <c r="AG47" t="str" cm="1">
        <f t="array" ref="AG47">IFERROR(_xlfn.XLOOKUP(TRUE,C47:AC47&lt;&gt;"",C47:AC47,,0,-1),"")</f>
        <v/>
      </c>
      <c r="AH47" s="65" t="str">
        <f t="shared" si="2"/>
        <v/>
      </c>
      <c r="AI47" s="65" t="str" cm="1">
        <f t="array" ref="AI47">IFERROR(_xlfn._xlws.FILTER(SizeCarton[H (CM)],(SizeCarton[Brand]=Brand)*(SizeCarton[Size]=Input!AH47)*(SizeCarton[Width]=Width)),"")</f>
        <v/>
      </c>
      <c r="AJ47" s="65" t="str">
        <f t="shared" si="4"/>
        <v/>
      </c>
      <c r="AK47" s="66" t="str">
        <f t="shared" si="5"/>
        <v/>
      </c>
      <c r="AL47" s="66" t="e" cm="1">
        <f t="array" ref="AL47">AK47+PalletDimension[Height (inch)]</f>
        <v>#VALUE!</v>
      </c>
      <c r="AM47" s="74" t="str" cm="1">
        <f t="array" ref="AM47">IFERROR(_xlfn._xlws.FILTER(SizeCarton[Layer Length (inch)],(SizeCarton[Brand]=Brand)*(SizeCarton[Size]=Input!AH47)*(SizeCarton[Width]=Width)),"")</f>
        <v/>
      </c>
      <c r="AN47" s="74" t="str" cm="1">
        <f t="array" ref="AN47">IFERROR(_xlfn._xlws.FILTER(SizeCarton[Layer Width (inch)],(SizeCarton[Brand]=Brand)*(SizeCarton[Size]=Input!AH47)*(SizeCarton[Width]=Width)),"")</f>
        <v/>
      </c>
      <c r="AO47" s="74">
        <f t="shared" si="6"/>
        <v>0</v>
      </c>
      <c r="AP47" s="74" cm="1">
        <f t="array" ref="AP47">IF(AD47&lt;&gt;0,PalletDimension[Weight (KG)],0)</f>
        <v>0</v>
      </c>
      <c r="AQ47" s="74">
        <f t="shared" si="7"/>
        <v>0</v>
      </c>
    </row>
    <row r="48" spans="2:43">
      <c r="B48" s="16" t="s">
        <v>51</v>
      </c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>
        <f t="shared" si="3"/>
        <v>0</v>
      </c>
      <c r="AE48" s="17"/>
      <c r="AF48" s="17"/>
      <c r="AG48" t="str" cm="1">
        <f t="array" ref="AG48">IFERROR(_xlfn.XLOOKUP(TRUE,C48:AC48&lt;&gt;"",C48:AC48,,0,-1),"")</f>
        <v/>
      </c>
      <c r="AH48" s="65" t="str">
        <f t="shared" si="2"/>
        <v/>
      </c>
      <c r="AI48" s="65" t="str" cm="1">
        <f t="array" ref="AI48">IFERROR(_xlfn._xlws.FILTER(SizeCarton[H (CM)],(SizeCarton[Brand]=Brand)*(SizeCarton[Size]=Input!AH48)*(SizeCarton[Width]=Width)),"")</f>
        <v/>
      </c>
      <c r="AJ48" s="65" t="str">
        <f t="shared" si="4"/>
        <v/>
      </c>
      <c r="AK48" s="66" t="str">
        <f t="shared" si="5"/>
        <v/>
      </c>
      <c r="AL48" s="66" t="e" cm="1">
        <f t="array" ref="AL48">AK48+PalletDimension[Height (inch)]</f>
        <v>#VALUE!</v>
      </c>
      <c r="AM48" s="74" t="str" cm="1">
        <f t="array" ref="AM48">IFERROR(_xlfn._xlws.FILTER(SizeCarton[Layer Length (inch)],(SizeCarton[Brand]=Brand)*(SizeCarton[Size]=Input!AH48)*(SizeCarton[Width]=Width)),"")</f>
        <v/>
      </c>
      <c r="AN48" s="74" t="str" cm="1">
        <f t="array" ref="AN48">IFERROR(_xlfn._xlws.FILTER(SizeCarton[Layer Width (inch)],(SizeCarton[Brand]=Brand)*(SizeCarton[Size]=Input!AH48)*(SizeCarton[Width]=Width)),"")</f>
        <v/>
      </c>
      <c r="AO48" s="74">
        <f t="shared" si="6"/>
        <v>0</v>
      </c>
      <c r="AP48" s="74" cm="1">
        <f t="array" ref="AP48">IF(AD48&lt;&gt;0,PalletDimension[Weight (KG)],0)</f>
        <v>0</v>
      </c>
      <c r="AQ48" s="74">
        <f t="shared" si="7"/>
        <v>0</v>
      </c>
    </row>
    <row r="49" spans="2:43">
      <c r="B49" s="16" t="s">
        <v>52</v>
      </c>
      <c r="C49" s="16">
        <v>0</v>
      </c>
      <c r="D49" s="16">
        <v>0</v>
      </c>
      <c r="E49" s="16">
        <v>0</v>
      </c>
      <c r="F49" s="16">
        <v>0</v>
      </c>
      <c r="G49" s="16">
        <v>2</v>
      </c>
      <c r="H49" s="16">
        <v>1</v>
      </c>
      <c r="I49" s="16">
        <v>2</v>
      </c>
      <c r="J49" s="16">
        <v>1</v>
      </c>
      <c r="K49" s="16">
        <v>5</v>
      </c>
      <c r="L49" s="16">
        <v>2</v>
      </c>
      <c r="M49" s="16">
        <v>10</v>
      </c>
      <c r="N49" s="16">
        <v>4</v>
      </c>
      <c r="O49" s="16">
        <v>20</v>
      </c>
      <c r="P49" s="16">
        <v>12</v>
      </c>
      <c r="Q49" s="16">
        <v>30</v>
      </c>
      <c r="R49" s="16">
        <v>17</v>
      </c>
      <c r="S49" s="16">
        <v>30</v>
      </c>
      <c r="T49" s="16">
        <v>10</v>
      </c>
      <c r="U49" s="16">
        <v>26</v>
      </c>
      <c r="V49" s="16">
        <v>4</v>
      </c>
      <c r="W49" s="16">
        <v>14</v>
      </c>
      <c r="X49" s="16">
        <v>2</v>
      </c>
      <c r="Y49" s="16">
        <v>6</v>
      </c>
      <c r="Z49" s="16">
        <v>1</v>
      </c>
      <c r="AA49" s="16">
        <v>2</v>
      </c>
      <c r="AB49" s="16">
        <v>0</v>
      </c>
      <c r="AC49" s="16">
        <v>1</v>
      </c>
      <c r="AD49" s="16">
        <f>SUM(AD27:AD48)</f>
        <v>166</v>
      </c>
      <c r="AE49" s="16">
        <v>808</v>
      </c>
      <c r="AF49" s="16"/>
      <c r="AQ49" s="16">
        <f>SUM(AQ27:AQ48)</f>
        <v>3192.9000000000005</v>
      </c>
    </row>
    <row r="51" spans="2:43">
      <c r="B51" s="75" t="s">
        <v>150</v>
      </c>
      <c r="C51" s="76" cm="1">
        <f t="array" ref="C51">_xlfn.SINGLE(IFERROR(_xlfn._xlws.FILTER(SizeCarton[G.W./CTN],(SizeCarton[Brand]=Brand)*(SizeCarton[Size]=C26)*(SizeCarton[Width]=Width),""),""))</f>
        <v>14.7</v>
      </c>
      <c r="D51" s="76" cm="1">
        <f t="array" ref="D51">_xlfn.SINGLE(IFERROR(_xlfn._xlws.FILTER(SizeCarton[G.W./CTN],(SizeCarton[Brand]=Brand)*(SizeCarton[Size]=D26)*(SizeCarton[Width]=Width),""),""))</f>
        <v>14.7</v>
      </c>
      <c r="E51" s="76" cm="1">
        <f t="array" ref="E51">_xlfn.SINGLE(IFERROR(_xlfn._xlws.FILTER(SizeCarton[G.W./CTN],(SizeCarton[Brand]=Brand)*(SizeCarton[Size]=E26)*(SizeCarton[Width]=Width),""),""))</f>
        <v>14.7</v>
      </c>
      <c r="F51" s="76" cm="1">
        <f t="array" ref="F51">_xlfn.SINGLE(IFERROR(_xlfn._xlws.FILTER(SizeCarton[G.W./CTN],(SizeCarton[Brand]=Brand)*(SizeCarton[Size]=F26)*(SizeCarton[Width]=Width),""),""))</f>
        <v>14.8</v>
      </c>
      <c r="G51" s="76" cm="1">
        <f t="array" ref="G51">_xlfn.SINGLE(IFERROR(_xlfn._xlws.FILTER(SizeCarton[G.W./CTN],(SizeCarton[Brand]=Brand)*(SizeCarton[Size]=G26)*(SizeCarton[Width]=Width),""),""))</f>
        <v>14.9</v>
      </c>
      <c r="H51" s="76" cm="1">
        <f t="array" ref="H51">_xlfn.SINGLE(IFERROR(_xlfn._xlws.FILTER(SizeCarton[G.W./CTN],(SizeCarton[Brand]=Brand)*(SizeCarton[Size]=H26)*(SizeCarton[Width]=Width),""),""))</f>
        <v>15.1</v>
      </c>
      <c r="I51" s="76" cm="1">
        <f t="array" ref="I51">_xlfn.SINGLE(IFERROR(_xlfn._xlws.FILTER(SizeCarton[G.W./CTN],(SizeCarton[Brand]=Brand)*(SizeCarton[Size]=I26)*(SizeCarton[Width]=Width),""),""))</f>
        <v>15.2</v>
      </c>
      <c r="J51" s="76" cm="1">
        <f t="array" ref="J51">_xlfn.SINGLE(IFERROR(_xlfn._xlws.FILTER(SizeCarton[G.W./CTN],(SizeCarton[Brand]=Brand)*(SizeCarton[Size]=J26)*(SizeCarton[Width]=Width),""),""))</f>
        <v>15.4</v>
      </c>
      <c r="K51" s="76" cm="1">
        <f t="array" ref="K51">_xlfn.SINGLE(IFERROR(_xlfn._xlws.FILTER(SizeCarton[G.W./CTN],(SizeCarton[Brand]=Brand)*(SizeCarton[Size]=K26)*(SizeCarton[Width]=Width),""),""))</f>
        <v>15.5</v>
      </c>
      <c r="L51" s="76" cm="1">
        <f t="array" ref="L51">_xlfn.SINGLE(IFERROR(_xlfn._xlws.FILTER(SizeCarton[G.W./CTN],(SizeCarton[Brand]=Brand)*(SizeCarton[Size]=L26)*(SizeCarton[Width]=Width),""),""))</f>
        <v>15.6</v>
      </c>
      <c r="M51" s="76" cm="1">
        <f t="array" ref="M51">_xlfn.SINGLE(IFERROR(_xlfn._xlws.FILTER(SizeCarton[G.W./CTN],(SizeCarton[Brand]=Brand)*(SizeCarton[Size]=M26)*(SizeCarton[Width]=Width),""),""))</f>
        <v>16.2</v>
      </c>
      <c r="N51" s="76" cm="1">
        <f t="array" ref="N51">_xlfn.SINGLE(IFERROR(_xlfn._xlws.FILTER(SizeCarton[G.W./CTN],(SizeCarton[Brand]=Brand)*(SizeCarton[Size]=N26)*(SizeCarton[Width]=Width),""),""))</f>
        <v>16.2</v>
      </c>
      <c r="O51" s="76" cm="1">
        <f t="array" ref="O51">_xlfn.SINGLE(IFERROR(_xlfn._xlws.FILTER(SizeCarton[G.W./CTN],(SizeCarton[Brand]=Brand)*(SizeCarton[Size]=O26)*(SizeCarton[Width]=Width),""),""))</f>
        <v>16.399999999999999</v>
      </c>
      <c r="P51" s="76" cm="1">
        <f t="array" ref="P51">_xlfn.SINGLE(IFERROR(_xlfn._xlws.FILTER(SizeCarton[G.W./CTN],(SizeCarton[Brand]=Brand)*(SizeCarton[Size]=P26)*(SizeCarton[Width]=Width),""),""))</f>
        <v>16.399999999999999</v>
      </c>
      <c r="Q51" s="76" cm="1">
        <f t="array" ref="Q51">_xlfn.SINGLE(IFERROR(_xlfn._xlws.FILTER(SizeCarton[G.W./CTN],(SizeCarton[Brand]=Brand)*(SizeCarton[Size]=Q26)*(SizeCarton[Width]=Width),""),""))</f>
        <v>16.899999999999999</v>
      </c>
      <c r="R51" s="76" cm="1">
        <f t="array" ref="R51">_xlfn.SINGLE(IFERROR(_xlfn._xlws.FILTER(SizeCarton[G.W./CTN],(SizeCarton[Brand]=Brand)*(SizeCarton[Size]=R26)*(SizeCarton[Width]=Width),""),""))</f>
        <v>17.8</v>
      </c>
      <c r="S51" s="76" cm="1">
        <f t="array" ref="S51">_xlfn.SINGLE(IFERROR(_xlfn._xlws.FILTER(SizeCarton[G.W./CTN],(SizeCarton[Brand]=Brand)*(SizeCarton[Size]=S26)*(SizeCarton[Width]=Width),""),""))</f>
        <v>18</v>
      </c>
      <c r="T51" s="76" cm="1">
        <f t="array" ref="T51">_xlfn.SINGLE(IFERROR(_xlfn._xlws.FILTER(SizeCarton[G.W./CTN],(SizeCarton[Brand]=Brand)*(SizeCarton[Size]=T26)*(SizeCarton[Width]=Width),""),""))</f>
        <v>18.3</v>
      </c>
      <c r="U51" s="76" cm="1">
        <f t="array" ref="U51">_xlfn.SINGLE(IFERROR(_xlfn._xlws.FILTER(SizeCarton[G.W./CTN],(SizeCarton[Brand]=Brand)*(SizeCarton[Size]=U26)*(SizeCarton[Width]=Width),""),""))</f>
        <v>18.7</v>
      </c>
      <c r="V51" s="76" cm="1">
        <f t="array" ref="V51">_xlfn.SINGLE(IFERROR(_xlfn._xlws.FILTER(SizeCarton[G.W./CTN],(SizeCarton[Brand]=Brand)*(SizeCarton[Size]=V26)*(SizeCarton[Width]=Width),""),""))</f>
        <v>18.899999999999999</v>
      </c>
      <c r="W51" s="76" cm="1">
        <f t="array" ref="W51">_xlfn.SINGLE(IFERROR(_xlfn._xlws.FILTER(SizeCarton[G.W./CTN],(SizeCarton[Brand]=Brand)*(SizeCarton[Size]=W26)*(SizeCarton[Width]=Width),""),""))</f>
        <v>19.100000000000001</v>
      </c>
      <c r="X51" s="76" cm="1">
        <f t="array" ref="X51">_xlfn.SINGLE(IFERROR(_xlfn._xlws.FILTER(SizeCarton[G.W./CTN],(SizeCarton[Brand]=Brand)*(SizeCarton[Size]=X26)*(SizeCarton[Width]=Width),""),""))</f>
        <v>19.3</v>
      </c>
      <c r="Y51" s="76" cm="1">
        <f t="array" ref="Y51">_xlfn.SINGLE(IFERROR(_xlfn._xlws.FILTER(SizeCarton[G.W./CTN],(SizeCarton[Brand]=Brand)*(SizeCarton[Size]=Y26)*(SizeCarton[Width]=Width),""),""))</f>
        <v>19.5</v>
      </c>
      <c r="Z51" s="76" t="str" cm="1">
        <f t="array" ref="Z51">_xlfn.SINGLE(IFERROR(_xlfn._xlws.FILTER(SizeCarton[G.W./CTN],(SizeCarton[Brand]=Brand)*(SizeCarton[Size]=Z26)*(SizeCarton[Width]=Width),""),""))</f>
        <v/>
      </c>
      <c r="AA51" s="76" cm="1">
        <f t="array" ref="AA51">_xlfn.SINGLE(IFERROR(_xlfn._xlws.FILTER(SizeCarton[G.W./CTN],(SizeCarton[Brand]=Brand)*(SizeCarton[Size]=AA26)*(SizeCarton[Width]=Width),""),""))</f>
        <v>19.7</v>
      </c>
      <c r="AB51" s="76" t="str" cm="1">
        <f t="array" ref="AB51">_xlfn.SINGLE(IFERROR(_xlfn._xlws.FILTER(SizeCarton[G.W./CTN],(SizeCarton[Brand]=Brand)*(SizeCarton[Size]=AB26)*(SizeCarton[Width]=Width),""),""))</f>
        <v/>
      </c>
      <c r="AC51" s="76" cm="1">
        <f t="array" ref="AC51">_xlfn.SINGLE(IFERROR(_xlfn._xlws.FILTER(SizeCarton[G.W./CTN],(SizeCarton[Brand]=Brand)*(SizeCarton[Size]=AC26)*(SizeCarton[Width]=Width),""),""))</f>
        <v>19.899999999999999</v>
      </c>
    </row>
  </sheetData>
  <conditionalFormatting sqref="C16:AC16">
    <cfRule type="expression" dxfId="31" priority="1">
      <formula>C16&lt;&gt;0</formula>
    </cfRule>
  </conditionalFormatting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anPackage.PalletizePlan">
                <anchor moveWithCells="1" sizeWithCells="1">
                  <from>
                    <xdr:col>11</xdr:col>
                    <xdr:colOff>12700</xdr:colOff>
                    <xdr:row>21</xdr:row>
                    <xdr:rowOff>50800</xdr:rowOff>
                  </from>
                  <to>
                    <xdr:col>12</xdr:col>
                    <xdr:colOff>711200</xdr:colOff>
                    <xdr:row>23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tePackingList">
                <anchor moveWithCells="1" sizeWithCells="1">
                  <from>
                    <xdr:col>13</xdr:col>
                    <xdr:colOff>114300</xdr:colOff>
                    <xdr:row>21</xdr:row>
                    <xdr:rowOff>50800</xdr:rowOff>
                  </from>
                  <to>
                    <xdr:col>14</xdr:col>
                    <xdr:colOff>812800</xdr:colOff>
                    <xdr:row>23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286B7CDF-CA20-5D41-8DD4-0677BCF7DECD}">
          <x14:formula1>
            <xm:f>_xlfn.ANCHORARRAY(_xlfn.XLOOKUP(Brand,Dropdown!B6:D6,Dropdown!B7:D7))</xm:f>
          </x14:formula1>
          <xm:sqref>C6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1A8BC-917C-3040-86B4-D32BB8F8AE12}">
  <sheetPr codeName="Sheet6">
    <tabColor theme="5" tint="0.79998168889431442"/>
  </sheetPr>
  <dimension ref="A1:O32"/>
  <sheetViews>
    <sheetView zoomScaleNormal="100" zoomScaleSheetLayoutView="90" workbookViewId="0">
      <selection activeCell="G35" sqref="G35"/>
    </sheetView>
  </sheetViews>
  <sheetFormatPr baseColWidth="10" defaultRowHeight="16"/>
  <cols>
    <col min="2" max="2" width="13.6640625" bestFit="1" customWidth="1"/>
    <col min="3" max="3" width="28.33203125" bestFit="1" customWidth="1"/>
    <col min="4" max="4" width="10.83203125" customWidth="1"/>
    <col min="8" max="8" width="11.1640625" customWidth="1"/>
    <col min="13" max="13" width="10.83203125" customWidth="1"/>
    <col min="14" max="15" width="10.83203125" style="26"/>
    <col min="17" max="18" width="12.1640625" customWidth="1"/>
    <col min="19" max="19" width="12.33203125" customWidth="1"/>
  </cols>
  <sheetData>
    <row r="1" spans="1:15" ht="24" customHeight="1">
      <c r="B1" s="47" t="s">
        <v>90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</row>
    <row r="2" spans="1:15">
      <c r="J2" s="63" t="s">
        <v>91</v>
      </c>
      <c r="K2" s="63"/>
      <c r="L2" s="63"/>
    </row>
    <row r="3" spans="1:15">
      <c r="A3" s="55" t="s">
        <v>92</v>
      </c>
      <c r="B3" s="55" t="s">
        <v>93</v>
      </c>
      <c r="C3" s="55" t="s">
        <v>94</v>
      </c>
      <c r="D3" s="55" t="s">
        <v>27</v>
      </c>
      <c r="E3" s="55" t="s">
        <v>95</v>
      </c>
      <c r="F3" s="55" t="s">
        <v>96</v>
      </c>
      <c r="G3" s="55" t="s">
        <v>97</v>
      </c>
      <c r="H3" s="55" t="s">
        <v>0</v>
      </c>
      <c r="I3" s="55" t="s">
        <v>98</v>
      </c>
      <c r="J3" s="63" t="s">
        <v>99</v>
      </c>
      <c r="K3" s="63" t="s">
        <v>74</v>
      </c>
      <c r="L3" s="63" t="s">
        <v>100</v>
      </c>
      <c r="M3" s="55" t="s">
        <v>101</v>
      </c>
      <c r="N3" s="26" t="s">
        <v>2</v>
      </c>
      <c r="O3" s="26" t="s">
        <v>74</v>
      </c>
    </row>
    <row r="4" spans="1:15">
      <c r="A4" s="81" t="s">
        <v>86</v>
      </c>
      <c r="B4" s="81" t="s">
        <v>87</v>
      </c>
      <c r="C4" s="81" t="s">
        <v>89</v>
      </c>
      <c r="D4" s="81">
        <v>1</v>
      </c>
      <c r="E4" s="64">
        <v>8</v>
      </c>
      <c r="F4" s="64">
        <v>42</v>
      </c>
      <c r="G4" s="64">
        <f t="shared" ref="G4:G28" si="0">F4/6</f>
        <v>7</v>
      </c>
      <c r="H4" s="64">
        <f>IFERROR(_xlfn._xlws.FILTER(SizeCarton[G.W./CTN],(SizeCarton[Brand]=$N4)*(SizeCarton[Size]=$E4)*(SizeCarton[Width]=$O4),""),"")</f>
        <v>16.2</v>
      </c>
      <c r="I4" s="64">
        <f t="shared" ref="I4:I28" si="1">G4*H4</f>
        <v>113.39999999999999</v>
      </c>
      <c r="J4" s="64">
        <f>IFERROR(_xlfn._xlws.FILTER(SizeCarton[L (CM)],(SizeCarton[Brand]=$N4)*(SizeCarton[Size]=$E4)*(SizeCarton[Width]=$O4),""),"")</f>
        <v>79</v>
      </c>
      <c r="K4" s="64">
        <f>IFERROR(_xlfn._xlws.FILTER(SizeCarton[W (CM)],(SizeCarton[Brand]=$N4)*(SizeCarton[Size]=$E4)*(SizeCarton[Width]=$O4),""),"")</f>
        <v>42</v>
      </c>
      <c r="L4" s="64">
        <f>IFERROR(_xlfn._xlws.FILTER(SizeCarton[H (CM)],(SizeCarton[Brand]=$N4)*(SizeCarton[Size]=$E4)*(SizeCarton[Width]=$O4),""),"")</f>
        <v>51.5</v>
      </c>
      <c r="M4" s="71">
        <f t="shared" ref="M4:M28" si="2">J4*K4*L4/1000000*G4</f>
        <v>1.1961390000000001</v>
      </c>
      <c r="N4" s="26" t="s">
        <v>6</v>
      </c>
      <c r="O4" s="26" t="s">
        <v>75</v>
      </c>
    </row>
    <row r="5" spans="1:15">
      <c r="A5" s="82"/>
      <c r="B5" s="82"/>
      <c r="C5" s="82"/>
      <c r="D5" s="83"/>
      <c r="E5" s="64">
        <v>9</v>
      </c>
      <c r="F5" s="64">
        <v>12</v>
      </c>
      <c r="G5" s="64">
        <f t="shared" si="0"/>
        <v>2</v>
      </c>
      <c r="H5" s="64">
        <f>IFERROR(_xlfn._xlws.FILTER(SizeCarton[G.W./CTN],(SizeCarton[Brand]=$N5)*(SizeCarton[Size]=$E5)*(SizeCarton[Width]=$O5),""),"")</f>
        <v>16.399999999999999</v>
      </c>
      <c r="I5" s="64">
        <f t="shared" si="1"/>
        <v>32.799999999999997</v>
      </c>
      <c r="J5" s="64">
        <f>IFERROR(_xlfn._xlws.FILTER(SizeCarton[L (CM)],(SizeCarton[Brand]=$N5)*(SizeCarton[Size]=$E5)*(SizeCarton[Width]=$O5),""),"")</f>
        <v>79</v>
      </c>
      <c r="K5" s="64">
        <f>IFERROR(_xlfn._xlws.FILTER(SizeCarton[W (CM)],(SizeCarton[Brand]=$N5)*(SizeCarton[Size]=$E5)*(SizeCarton[Width]=$O5),""),"")</f>
        <v>42</v>
      </c>
      <c r="L5" s="64">
        <f>IFERROR(_xlfn._xlws.FILTER(SizeCarton[H (CM)],(SizeCarton[Brand]=$N5)*(SizeCarton[Size]=$E5)*(SizeCarton[Width]=$O5),""),"")</f>
        <v>51.5</v>
      </c>
      <c r="M5" s="71">
        <f t="shared" si="2"/>
        <v>0.341754</v>
      </c>
      <c r="N5" s="26" t="s">
        <v>6</v>
      </c>
      <c r="O5" s="26" t="s">
        <v>75</v>
      </c>
    </row>
    <row r="6" spans="1:15">
      <c r="A6" s="82"/>
      <c r="B6" s="82"/>
      <c r="C6" s="82"/>
      <c r="D6" s="64">
        <v>2</v>
      </c>
      <c r="E6" s="64">
        <v>9</v>
      </c>
      <c r="F6" s="64">
        <v>54</v>
      </c>
      <c r="G6" s="64">
        <f t="shared" si="0"/>
        <v>9</v>
      </c>
      <c r="H6" s="64">
        <f>IFERROR(_xlfn._xlws.FILTER(SizeCarton[G.W./CTN],(SizeCarton[Brand]=$N6)*(SizeCarton[Size]=$E6)*(SizeCarton[Width]=$O6),""),"")</f>
        <v>16.399999999999999</v>
      </c>
      <c r="I6" s="64">
        <f t="shared" si="1"/>
        <v>147.6</v>
      </c>
      <c r="J6" s="64">
        <f>IFERROR(_xlfn._xlws.FILTER(SizeCarton[L (CM)],(SizeCarton[Brand]=$N6)*(SizeCarton[Size]=$E6)*(SizeCarton[Width]=$O6),""),"")</f>
        <v>79</v>
      </c>
      <c r="K6" s="64">
        <f>IFERROR(_xlfn._xlws.FILTER(SizeCarton[W (CM)],(SizeCarton[Brand]=$N6)*(SizeCarton[Size]=$E6)*(SizeCarton[Width]=$O6),""),"")</f>
        <v>42</v>
      </c>
      <c r="L6" s="64">
        <f>IFERROR(_xlfn._xlws.FILTER(SizeCarton[H (CM)],(SizeCarton[Brand]=$N6)*(SizeCarton[Size]=$E6)*(SizeCarton[Width]=$O6),""),"")</f>
        <v>51.5</v>
      </c>
      <c r="M6" s="71">
        <f t="shared" si="2"/>
        <v>1.537893</v>
      </c>
      <c r="N6" s="26" t="s">
        <v>6</v>
      </c>
      <c r="O6" s="26" t="s">
        <v>75</v>
      </c>
    </row>
    <row r="7" spans="1:15">
      <c r="A7" s="82"/>
      <c r="B7" s="82"/>
      <c r="C7" s="82"/>
      <c r="D7" s="81">
        <v>3</v>
      </c>
      <c r="E7" s="64">
        <v>9</v>
      </c>
      <c r="F7" s="64">
        <v>6</v>
      </c>
      <c r="G7" s="64">
        <f t="shared" si="0"/>
        <v>1</v>
      </c>
      <c r="H7" s="64">
        <f>IFERROR(_xlfn._xlws.FILTER(SizeCarton[G.W./CTN],(SizeCarton[Brand]=$N7)*(SizeCarton[Size]=$E7)*(SizeCarton[Width]=$O7),""),"")</f>
        <v>16.399999999999999</v>
      </c>
      <c r="I7" s="64">
        <f t="shared" si="1"/>
        <v>16.399999999999999</v>
      </c>
      <c r="J7" s="64">
        <f>IFERROR(_xlfn._xlws.FILTER(SizeCarton[L (CM)],(SizeCarton[Brand]=$N7)*(SizeCarton[Size]=$E7)*(SizeCarton[Width]=$O7),""),"")</f>
        <v>79</v>
      </c>
      <c r="K7" s="64">
        <f>IFERROR(_xlfn._xlws.FILTER(SizeCarton[W (CM)],(SizeCarton[Brand]=$N7)*(SizeCarton[Size]=$E7)*(SizeCarton[Width]=$O7),""),"")</f>
        <v>42</v>
      </c>
      <c r="L7" s="64">
        <f>IFERROR(_xlfn._xlws.FILTER(SizeCarton[H (CM)],(SizeCarton[Brand]=$N7)*(SizeCarton[Size]=$E7)*(SizeCarton[Width]=$O7),""),"")</f>
        <v>51.5</v>
      </c>
      <c r="M7" s="71">
        <f t="shared" si="2"/>
        <v>0.170877</v>
      </c>
      <c r="N7" s="26" t="s">
        <v>6</v>
      </c>
      <c r="O7" s="26" t="s">
        <v>75</v>
      </c>
    </row>
    <row r="8" spans="1:15">
      <c r="A8" s="82"/>
      <c r="B8" s="82"/>
      <c r="C8" s="82"/>
      <c r="D8" s="83"/>
      <c r="E8" s="64">
        <v>10</v>
      </c>
      <c r="F8" s="64">
        <v>48</v>
      </c>
      <c r="G8" s="64">
        <f t="shared" si="0"/>
        <v>8</v>
      </c>
      <c r="H8" s="64">
        <f>IFERROR(_xlfn._xlws.FILTER(SizeCarton[G.W./CTN],(SizeCarton[Brand]=$N8)*(SizeCarton[Size]=$E8)*(SizeCarton[Width]=$O8),""),"")</f>
        <v>16.899999999999999</v>
      </c>
      <c r="I8" s="64">
        <f t="shared" si="1"/>
        <v>135.19999999999999</v>
      </c>
      <c r="J8" s="64">
        <f>IFERROR(_xlfn._xlws.FILTER(SizeCarton[L (CM)],(SizeCarton[Brand]=$N8)*(SizeCarton[Size]=$E8)*(SizeCarton[Width]=$O8),""),"")</f>
        <v>79</v>
      </c>
      <c r="K8" s="64">
        <f>IFERROR(_xlfn._xlws.FILTER(SizeCarton[W (CM)],(SizeCarton[Brand]=$N8)*(SizeCarton[Size]=$E8)*(SizeCarton[Width]=$O8),""),"")</f>
        <v>42</v>
      </c>
      <c r="L8" s="64">
        <f>IFERROR(_xlfn._xlws.FILTER(SizeCarton[H (CM)],(SizeCarton[Brand]=$N8)*(SizeCarton[Size]=$E8)*(SizeCarton[Width]=$O8),""),"")</f>
        <v>51.5</v>
      </c>
      <c r="M8" s="71">
        <f t="shared" si="2"/>
        <v>1.367016</v>
      </c>
      <c r="N8" s="26" t="s">
        <v>6</v>
      </c>
      <c r="O8" s="26" t="s">
        <v>75</v>
      </c>
    </row>
    <row r="9" spans="1:15">
      <c r="A9" s="82"/>
      <c r="B9" s="82"/>
      <c r="C9" s="82"/>
      <c r="D9" s="64">
        <v>4</v>
      </c>
      <c r="E9" s="64">
        <v>10</v>
      </c>
      <c r="F9" s="64">
        <v>54</v>
      </c>
      <c r="G9" s="64">
        <f t="shared" si="0"/>
        <v>9</v>
      </c>
      <c r="H9" s="64">
        <f>IFERROR(_xlfn._xlws.FILTER(SizeCarton[G.W./CTN],(SizeCarton[Brand]=$N9)*(SizeCarton[Size]=$E9)*(SizeCarton[Width]=$O9),""),"")</f>
        <v>16.899999999999999</v>
      </c>
      <c r="I9" s="64">
        <f t="shared" si="1"/>
        <v>152.1</v>
      </c>
      <c r="J9" s="64">
        <f>IFERROR(_xlfn._xlws.FILTER(SizeCarton[L (CM)],(SizeCarton[Brand]=$N9)*(SizeCarton[Size]=$E9)*(SizeCarton[Width]=$O9),""),"")</f>
        <v>79</v>
      </c>
      <c r="K9" s="64">
        <f>IFERROR(_xlfn._xlws.FILTER(SizeCarton[W (CM)],(SizeCarton[Brand]=$N9)*(SizeCarton[Size]=$E9)*(SizeCarton[Width]=$O9),""),"")</f>
        <v>42</v>
      </c>
      <c r="L9" s="64">
        <f>IFERROR(_xlfn._xlws.FILTER(SizeCarton[H (CM)],(SizeCarton[Brand]=$N9)*(SizeCarton[Size]=$E9)*(SizeCarton[Width]=$O9),""),"")</f>
        <v>51.5</v>
      </c>
      <c r="M9" s="71">
        <f t="shared" si="2"/>
        <v>1.537893</v>
      </c>
      <c r="N9" s="26" t="s">
        <v>6</v>
      </c>
      <c r="O9" s="26" t="s">
        <v>75</v>
      </c>
    </row>
    <row r="10" spans="1:15">
      <c r="A10" s="82"/>
      <c r="B10" s="82"/>
      <c r="C10" s="82"/>
      <c r="D10" s="64">
        <v>5</v>
      </c>
      <c r="E10" s="64">
        <v>10</v>
      </c>
      <c r="F10" s="64">
        <v>54</v>
      </c>
      <c r="G10" s="64">
        <f t="shared" si="0"/>
        <v>9</v>
      </c>
      <c r="H10" s="64">
        <f>IFERROR(_xlfn._xlws.FILTER(SizeCarton[G.W./CTN],(SizeCarton[Brand]=$N10)*(SizeCarton[Size]=$E10)*(SizeCarton[Width]=$O10),""),"")</f>
        <v>16.899999999999999</v>
      </c>
      <c r="I10" s="64">
        <f t="shared" si="1"/>
        <v>152.1</v>
      </c>
      <c r="J10" s="64">
        <f>IFERROR(_xlfn._xlws.FILTER(SizeCarton[L (CM)],(SizeCarton[Brand]=$N10)*(SizeCarton[Size]=$E10)*(SizeCarton[Width]=$O10),""),"")</f>
        <v>79</v>
      </c>
      <c r="K10" s="64">
        <f>IFERROR(_xlfn._xlws.FILTER(SizeCarton[W (CM)],(SizeCarton[Brand]=$N10)*(SizeCarton[Size]=$E10)*(SizeCarton[Width]=$O10),""),"")</f>
        <v>42</v>
      </c>
      <c r="L10" s="64">
        <f>IFERROR(_xlfn._xlws.FILTER(SizeCarton[H (CM)],(SizeCarton[Brand]=$N10)*(SizeCarton[Size]=$E10)*(SizeCarton[Width]=$O10),""),"")</f>
        <v>51.5</v>
      </c>
      <c r="M10" s="71">
        <f t="shared" si="2"/>
        <v>1.537893</v>
      </c>
      <c r="N10" s="26" t="s">
        <v>6</v>
      </c>
      <c r="O10" s="26" t="s">
        <v>75</v>
      </c>
    </row>
    <row r="11" spans="1:15">
      <c r="A11" s="82"/>
      <c r="B11" s="82"/>
      <c r="C11" s="82"/>
      <c r="D11" s="64">
        <v>6</v>
      </c>
      <c r="E11" s="64">
        <v>10</v>
      </c>
      <c r="F11" s="64">
        <v>54</v>
      </c>
      <c r="G11" s="64">
        <f t="shared" si="0"/>
        <v>9</v>
      </c>
      <c r="H11" s="64">
        <f>IFERROR(_xlfn._xlws.FILTER(SizeCarton[G.W./CTN],(SizeCarton[Brand]=$N11)*(SizeCarton[Size]=$E11)*(SizeCarton[Width]=$O11),""),"")</f>
        <v>16.899999999999999</v>
      </c>
      <c r="I11" s="64">
        <f t="shared" si="1"/>
        <v>152.1</v>
      </c>
      <c r="J11" s="64">
        <f>IFERROR(_xlfn._xlws.FILTER(SizeCarton[L (CM)],(SizeCarton[Brand]=$N11)*(SizeCarton[Size]=$E11)*(SizeCarton[Width]=$O11),""),"")</f>
        <v>79</v>
      </c>
      <c r="K11" s="64">
        <f>IFERROR(_xlfn._xlws.FILTER(SizeCarton[W (CM)],(SizeCarton[Brand]=$N11)*(SizeCarton[Size]=$E11)*(SizeCarton[Width]=$O11),""),"")</f>
        <v>42</v>
      </c>
      <c r="L11" s="64">
        <f>IFERROR(_xlfn._xlws.FILTER(SizeCarton[H (CM)],(SizeCarton[Brand]=$N11)*(SizeCarton[Size]=$E11)*(SizeCarton[Width]=$O11),""),"")</f>
        <v>51.5</v>
      </c>
      <c r="M11" s="71">
        <f t="shared" si="2"/>
        <v>1.537893</v>
      </c>
      <c r="N11" s="26" t="s">
        <v>6</v>
      </c>
      <c r="O11" s="26" t="s">
        <v>75</v>
      </c>
    </row>
    <row r="12" spans="1:15">
      <c r="A12" s="82"/>
      <c r="B12" s="82"/>
      <c r="C12" s="82"/>
      <c r="D12" s="64">
        <v>7</v>
      </c>
      <c r="E12" s="64">
        <v>10</v>
      </c>
      <c r="F12" s="64">
        <v>54</v>
      </c>
      <c r="G12" s="64">
        <f t="shared" si="0"/>
        <v>9</v>
      </c>
      <c r="H12" s="64">
        <f>IFERROR(_xlfn._xlws.FILTER(SizeCarton[G.W./CTN],(SizeCarton[Brand]=$N12)*(SizeCarton[Size]=$E12)*(SizeCarton[Width]=$O12),""),"")</f>
        <v>16.899999999999999</v>
      </c>
      <c r="I12" s="64">
        <f t="shared" si="1"/>
        <v>152.1</v>
      </c>
      <c r="J12" s="64">
        <f>IFERROR(_xlfn._xlws.FILTER(SizeCarton[L (CM)],(SizeCarton[Brand]=$N12)*(SizeCarton[Size]=$E12)*(SizeCarton[Width]=$O12),""),"")</f>
        <v>79</v>
      </c>
      <c r="K12" s="64">
        <f>IFERROR(_xlfn._xlws.FILTER(SizeCarton[W (CM)],(SizeCarton[Brand]=$N12)*(SizeCarton[Size]=$E12)*(SizeCarton[Width]=$O12),""),"")</f>
        <v>42</v>
      </c>
      <c r="L12" s="64">
        <f>IFERROR(_xlfn._xlws.FILTER(SizeCarton[H (CM)],(SizeCarton[Brand]=$N12)*(SizeCarton[Size]=$E12)*(SizeCarton[Width]=$O12),""),"")</f>
        <v>51.5</v>
      </c>
      <c r="M12" s="71">
        <f t="shared" si="2"/>
        <v>1.537893</v>
      </c>
      <c r="N12" s="26" t="s">
        <v>6</v>
      </c>
      <c r="O12" s="26" t="s">
        <v>75</v>
      </c>
    </row>
    <row r="13" spans="1:15">
      <c r="A13" s="82"/>
      <c r="B13" s="82"/>
      <c r="C13" s="82"/>
      <c r="D13" s="64">
        <v>8</v>
      </c>
      <c r="E13" s="64">
        <v>10</v>
      </c>
      <c r="F13" s="64">
        <v>54</v>
      </c>
      <c r="G13" s="64">
        <f t="shared" si="0"/>
        <v>9</v>
      </c>
      <c r="H13" s="64">
        <f>IFERROR(_xlfn._xlws.FILTER(SizeCarton[G.W./CTN],(SizeCarton[Brand]=$N13)*(SizeCarton[Size]=$E13)*(SizeCarton[Width]=$O13),""),"")</f>
        <v>16.899999999999999</v>
      </c>
      <c r="I13" s="64">
        <f t="shared" si="1"/>
        <v>152.1</v>
      </c>
      <c r="J13" s="64">
        <f>IFERROR(_xlfn._xlws.FILTER(SizeCarton[L (CM)],(SizeCarton[Brand]=$N13)*(SizeCarton[Size]=$E13)*(SizeCarton[Width]=$O13),""),"")</f>
        <v>79</v>
      </c>
      <c r="K13" s="64">
        <f>IFERROR(_xlfn._xlws.FILTER(SizeCarton[W (CM)],(SizeCarton[Brand]=$N13)*(SizeCarton[Size]=$E13)*(SizeCarton[Width]=$O13),""),"")</f>
        <v>42</v>
      </c>
      <c r="L13" s="64">
        <f>IFERROR(_xlfn._xlws.FILTER(SizeCarton[H (CM)],(SizeCarton[Brand]=$N13)*(SizeCarton[Size]=$E13)*(SizeCarton[Width]=$O13),""),"")</f>
        <v>51.5</v>
      </c>
      <c r="M13" s="71">
        <f t="shared" si="2"/>
        <v>1.537893</v>
      </c>
      <c r="N13" s="26" t="s">
        <v>6</v>
      </c>
      <c r="O13" s="26" t="s">
        <v>75</v>
      </c>
    </row>
    <row r="14" spans="1:15">
      <c r="A14" s="82"/>
      <c r="B14" s="82"/>
      <c r="C14" s="82"/>
      <c r="D14" s="81">
        <v>9</v>
      </c>
      <c r="E14" s="64">
        <v>10</v>
      </c>
      <c r="F14" s="64">
        <v>24</v>
      </c>
      <c r="G14" s="64">
        <f t="shared" si="0"/>
        <v>4</v>
      </c>
      <c r="H14" s="64">
        <f>IFERROR(_xlfn._xlws.FILTER(SizeCarton[G.W./CTN],(SizeCarton[Brand]=$N14)*(SizeCarton[Size]=$E14)*(SizeCarton[Width]=$O14),""),"")</f>
        <v>16.899999999999999</v>
      </c>
      <c r="I14" s="64">
        <f t="shared" si="1"/>
        <v>67.599999999999994</v>
      </c>
      <c r="J14" s="64">
        <f>IFERROR(_xlfn._xlws.FILTER(SizeCarton[L (CM)],(SizeCarton[Brand]=$N14)*(SizeCarton[Size]=$E14)*(SizeCarton[Width]=$O14),""),"")</f>
        <v>79</v>
      </c>
      <c r="K14" s="64">
        <f>IFERROR(_xlfn._xlws.FILTER(SizeCarton[W (CM)],(SizeCarton[Brand]=$N14)*(SizeCarton[Size]=$E14)*(SizeCarton[Width]=$O14),""),"")</f>
        <v>42</v>
      </c>
      <c r="L14" s="64">
        <f>IFERROR(_xlfn._xlws.FILTER(SizeCarton[H (CM)],(SizeCarton[Brand]=$N14)*(SizeCarton[Size]=$E14)*(SizeCarton[Width]=$O14),""),"")</f>
        <v>51.5</v>
      </c>
      <c r="M14" s="71">
        <f t="shared" si="2"/>
        <v>0.683508</v>
      </c>
      <c r="N14" s="26" t="s">
        <v>6</v>
      </c>
      <c r="O14" s="26" t="s">
        <v>75</v>
      </c>
    </row>
    <row r="15" spans="1:15">
      <c r="A15" s="82"/>
      <c r="B15" s="82"/>
      <c r="C15" s="82"/>
      <c r="D15" s="83"/>
      <c r="E15" s="64">
        <v>10.5</v>
      </c>
      <c r="F15" s="64">
        <v>30</v>
      </c>
      <c r="G15" s="64">
        <f t="shared" si="0"/>
        <v>5</v>
      </c>
      <c r="H15" s="64">
        <f>IFERROR(_xlfn._xlws.FILTER(SizeCarton[G.W./CTN],(SizeCarton[Brand]=$N15)*(SizeCarton[Size]=$E15)*(SizeCarton[Width]=$O15),""),"")</f>
        <v>17.8</v>
      </c>
      <c r="I15" s="64">
        <f t="shared" si="1"/>
        <v>89</v>
      </c>
      <c r="J15" s="64">
        <f>IFERROR(_xlfn._xlws.FILTER(SizeCarton[L (CM)],(SizeCarton[Brand]=$N15)*(SizeCarton[Size]=$E15)*(SizeCarton[Width]=$O15),""),"")</f>
        <v>85</v>
      </c>
      <c r="K15" s="64">
        <f>IFERROR(_xlfn._xlws.FILTER(SizeCarton[W (CM)],(SizeCarton[Brand]=$N15)*(SizeCarton[Size]=$E15)*(SizeCarton[Width]=$O15),""),"")</f>
        <v>45</v>
      </c>
      <c r="L15" s="64">
        <f>IFERROR(_xlfn._xlws.FILTER(SizeCarton[H (CM)],(SizeCarton[Brand]=$N15)*(SizeCarton[Size]=$E15)*(SizeCarton[Width]=$O15),""),"")</f>
        <v>55.5</v>
      </c>
      <c r="M15" s="71">
        <f t="shared" si="2"/>
        <v>1.0614375</v>
      </c>
      <c r="N15" s="26" t="s">
        <v>6</v>
      </c>
      <c r="O15" s="26" t="s">
        <v>75</v>
      </c>
    </row>
    <row r="16" spans="1:15">
      <c r="A16" s="82"/>
      <c r="B16" s="82"/>
      <c r="C16" s="82"/>
      <c r="D16" s="64">
        <v>10</v>
      </c>
      <c r="E16" s="64">
        <v>10.5</v>
      </c>
      <c r="F16" s="64">
        <v>54</v>
      </c>
      <c r="G16" s="64">
        <f t="shared" si="0"/>
        <v>9</v>
      </c>
      <c r="H16" s="64">
        <f>IFERROR(_xlfn._xlws.FILTER(SizeCarton[G.W./CTN],(SizeCarton[Brand]=$N16)*(SizeCarton[Size]=$E16)*(SizeCarton[Width]=$O16),""),"")</f>
        <v>17.8</v>
      </c>
      <c r="I16" s="64">
        <f t="shared" si="1"/>
        <v>160.20000000000002</v>
      </c>
      <c r="J16" s="64">
        <f>IFERROR(_xlfn._xlws.FILTER(SizeCarton[L (CM)],(SizeCarton[Brand]=$N16)*(SizeCarton[Size]=$E16)*(SizeCarton[Width]=$O16),""),"")</f>
        <v>85</v>
      </c>
      <c r="K16" s="64">
        <f>IFERROR(_xlfn._xlws.FILTER(SizeCarton[W (CM)],(SizeCarton[Brand]=$N16)*(SizeCarton[Size]=$E16)*(SizeCarton[Width]=$O16),""),"")</f>
        <v>45</v>
      </c>
      <c r="L16" s="64">
        <f>IFERROR(_xlfn._xlws.FILTER(SizeCarton[H (CM)],(SizeCarton[Brand]=$N16)*(SizeCarton[Size]=$E16)*(SizeCarton[Width]=$O16),""),"")</f>
        <v>55.5</v>
      </c>
      <c r="M16" s="71">
        <f t="shared" si="2"/>
        <v>1.9105874999999999</v>
      </c>
      <c r="N16" s="26" t="s">
        <v>6</v>
      </c>
      <c r="O16" s="26" t="s">
        <v>75</v>
      </c>
    </row>
    <row r="17" spans="1:15">
      <c r="A17" s="82"/>
      <c r="B17" s="82"/>
      <c r="C17" s="82"/>
      <c r="D17" s="64">
        <v>11</v>
      </c>
      <c r="E17" s="64">
        <v>10.5</v>
      </c>
      <c r="F17" s="64">
        <v>54</v>
      </c>
      <c r="G17" s="64">
        <f t="shared" si="0"/>
        <v>9</v>
      </c>
      <c r="H17" s="64">
        <f>IFERROR(_xlfn._xlws.FILTER(SizeCarton[G.W./CTN],(SizeCarton[Brand]=$N17)*(SizeCarton[Size]=$E17)*(SizeCarton[Width]=$O17),""),"")</f>
        <v>17.8</v>
      </c>
      <c r="I17" s="64">
        <f t="shared" si="1"/>
        <v>160.20000000000002</v>
      </c>
      <c r="J17" s="64">
        <f>IFERROR(_xlfn._xlws.FILTER(SizeCarton[L (CM)],(SizeCarton[Brand]=$N17)*(SizeCarton[Size]=$E17)*(SizeCarton[Width]=$O17),""),"")</f>
        <v>85</v>
      </c>
      <c r="K17" s="64">
        <f>IFERROR(_xlfn._xlws.FILTER(SizeCarton[W (CM)],(SizeCarton[Brand]=$N17)*(SizeCarton[Size]=$E17)*(SizeCarton[Width]=$O17),""),"")</f>
        <v>45</v>
      </c>
      <c r="L17" s="64">
        <f>IFERROR(_xlfn._xlws.FILTER(SizeCarton[H (CM)],(SizeCarton[Brand]=$N17)*(SizeCarton[Size]=$E17)*(SizeCarton[Width]=$O17),""),"")</f>
        <v>55.5</v>
      </c>
      <c r="M17" s="71">
        <f t="shared" si="2"/>
        <v>1.9105874999999999</v>
      </c>
      <c r="N17" s="26" t="s">
        <v>6</v>
      </c>
      <c r="O17" s="26" t="s">
        <v>75</v>
      </c>
    </row>
    <row r="18" spans="1:15">
      <c r="A18" s="82"/>
      <c r="B18" s="82"/>
      <c r="C18" s="82"/>
      <c r="D18" s="81">
        <v>12</v>
      </c>
      <c r="E18" s="64">
        <v>10.5</v>
      </c>
      <c r="F18" s="64">
        <v>6</v>
      </c>
      <c r="G18" s="64">
        <f t="shared" si="0"/>
        <v>1</v>
      </c>
      <c r="H18" s="64">
        <f>IFERROR(_xlfn._xlws.FILTER(SizeCarton[G.W./CTN],(SizeCarton[Brand]=$N18)*(SizeCarton[Size]=$E18)*(SizeCarton[Width]=$O18),""),"")</f>
        <v>17.8</v>
      </c>
      <c r="I18" s="64">
        <f t="shared" si="1"/>
        <v>17.8</v>
      </c>
      <c r="J18" s="64">
        <f>IFERROR(_xlfn._xlws.FILTER(SizeCarton[L (CM)],(SizeCarton[Brand]=$N18)*(SizeCarton[Size]=$E18)*(SizeCarton[Width]=$O18),""),"")</f>
        <v>85</v>
      </c>
      <c r="K18" s="64">
        <f>IFERROR(_xlfn._xlws.FILTER(SizeCarton[W (CM)],(SizeCarton[Brand]=$N18)*(SizeCarton[Size]=$E18)*(SizeCarton[Width]=$O18),""),"")</f>
        <v>45</v>
      </c>
      <c r="L18" s="64">
        <f>IFERROR(_xlfn._xlws.FILTER(SizeCarton[H (CM)],(SizeCarton[Brand]=$N18)*(SizeCarton[Size]=$E18)*(SizeCarton[Width]=$O18),""),"")</f>
        <v>55.5</v>
      </c>
      <c r="M18" s="71">
        <f t="shared" si="2"/>
        <v>0.21228749999999999</v>
      </c>
      <c r="N18" s="26" t="s">
        <v>6</v>
      </c>
      <c r="O18" s="26" t="s">
        <v>75</v>
      </c>
    </row>
    <row r="19" spans="1:15">
      <c r="A19" s="82"/>
      <c r="B19" s="82"/>
      <c r="C19" s="82"/>
      <c r="D19" s="83"/>
      <c r="E19" s="64">
        <v>11</v>
      </c>
      <c r="F19" s="64">
        <v>48</v>
      </c>
      <c r="G19" s="64">
        <f t="shared" si="0"/>
        <v>8</v>
      </c>
      <c r="H19" s="64">
        <f>IFERROR(_xlfn._xlws.FILTER(SizeCarton[G.W./CTN],(SizeCarton[Brand]=$N19)*(SizeCarton[Size]=$E19)*(SizeCarton[Width]=$O19),""),"")</f>
        <v>18</v>
      </c>
      <c r="I19" s="64">
        <f t="shared" si="1"/>
        <v>144</v>
      </c>
      <c r="J19" s="64">
        <f>IFERROR(_xlfn._xlws.FILTER(SizeCarton[L (CM)],(SizeCarton[Brand]=$N19)*(SizeCarton[Size]=$E19)*(SizeCarton[Width]=$O19),""),"")</f>
        <v>85</v>
      </c>
      <c r="K19" s="64">
        <f>IFERROR(_xlfn._xlws.FILTER(SizeCarton[W (CM)],(SizeCarton[Brand]=$N19)*(SizeCarton[Size]=$E19)*(SizeCarton[Width]=$O19),""),"")</f>
        <v>45</v>
      </c>
      <c r="L19" s="64">
        <f>IFERROR(_xlfn._xlws.FILTER(SizeCarton[H (CM)],(SizeCarton[Brand]=$N19)*(SizeCarton[Size]=$E19)*(SizeCarton[Width]=$O19),""),"")</f>
        <v>55.5</v>
      </c>
      <c r="M19" s="71">
        <f t="shared" si="2"/>
        <v>1.6982999999999999</v>
      </c>
      <c r="N19" s="26" t="s">
        <v>6</v>
      </c>
      <c r="O19" s="26" t="s">
        <v>75</v>
      </c>
    </row>
    <row r="20" spans="1:15">
      <c r="A20" s="82"/>
      <c r="B20" s="82"/>
      <c r="C20" s="82"/>
      <c r="D20" s="64">
        <v>13</v>
      </c>
      <c r="E20" s="64">
        <v>11</v>
      </c>
      <c r="F20" s="64">
        <v>54</v>
      </c>
      <c r="G20" s="64">
        <f t="shared" si="0"/>
        <v>9</v>
      </c>
      <c r="H20" s="64">
        <f>IFERROR(_xlfn._xlws.FILTER(SizeCarton[G.W./CTN],(SizeCarton[Brand]=$N20)*(SizeCarton[Size]=$E20)*(SizeCarton[Width]=$O20),""),"")</f>
        <v>18</v>
      </c>
      <c r="I20" s="64">
        <f t="shared" si="1"/>
        <v>162</v>
      </c>
      <c r="J20" s="64">
        <f>IFERROR(_xlfn._xlws.FILTER(SizeCarton[L (CM)],(SizeCarton[Brand]=$N20)*(SizeCarton[Size]=$E20)*(SizeCarton[Width]=$O20),""),"")</f>
        <v>85</v>
      </c>
      <c r="K20" s="64">
        <f>IFERROR(_xlfn._xlws.FILTER(SizeCarton[W (CM)],(SizeCarton[Brand]=$N20)*(SizeCarton[Size]=$E20)*(SizeCarton[Width]=$O20),""),"")</f>
        <v>45</v>
      </c>
      <c r="L20" s="64">
        <f>IFERROR(_xlfn._xlws.FILTER(SizeCarton[H (CM)],(SizeCarton[Brand]=$N20)*(SizeCarton[Size]=$E20)*(SizeCarton[Width]=$O20),""),"")</f>
        <v>55.5</v>
      </c>
      <c r="M20" s="71">
        <f t="shared" si="2"/>
        <v>1.9105874999999999</v>
      </c>
      <c r="N20" s="26" t="s">
        <v>6</v>
      </c>
      <c r="O20" s="26" t="s">
        <v>75</v>
      </c>
    </row>
    <row r="21" spans="1:15">
      <c r="A21" s="82"/>
      <c r="B21" s="82"/>
      <c r="C21" s="82"/>
      <c r="D21" s="64">
        <v>14</v>
      </c>
      <c r="E21" s="64">
        <v>11</v>
      </c>
      <c r="F21" s="64">
        <v>54</v>
      </c>
      <c r="G21" s="64">
        <f t="shared" si="0"/>
        <v>9</v>
      </c>
      <c r="H21" s="64">
        <f>IFERROR(_xlfn._xlws.FILTER(SizeCarton[G.W./CTN],(SizeCarton[Brand]=$N21)*(SizeCarton[Size]=$E21)*(SizeCarton[Width]=$O21),""),"")</f>
        <v>18</v>
      </c>
      <c r="I21" s="64">
        <f t="shared" si="1"/>
        <v>162</v>
      </c>
      <c r="J21" s="64">
        <f>IFERROR(_xlfn._xlws.FILTER(SizeCarton[L (CM)],(SizeCarton[Brand]=$N21)*(SizeCarton[Size]=$E21)*(SizeCarton[Width]=$O21),""),"")</f>
        <v>85</v>
      </c>
      <c r="K21" s="64">
        <f>IFERROR(_xlfn._xlws.FILTER(SizeCarton[W (CM)],(SizeCarton[Brand]=$N21)*(SizeCarton[Size]=$E21)*(SizeCarton[Width]=$O21),""),"")</f>
        <v>45</v>
      </c>
      <c r="L21" s="64">
        <f>IFERROR(_xlfn._xlws.FILTER(SizeCarton[H (CM)],(SizeCarton[Brand]=$N21)*(SizeCarton[Size]=$E21)*(SizeCarton[Width]=$O21),""),"")</f>
        <v>55.5</v>
      </c>
      <c r="M21" s="71">
        <f t="shared" si="2"/>
        <v>1.9105874999999999</v>
      </c>
      <c r="N21" s="26" t="s">
        <v>6</v>
      </c>
      <c r="O21" s="26" t="s">
        <v>75</v>
      </c>
    </row>
    <row r="22" spans="1:15">
      <c r="A22" s="82"/>
      <c r="B22" s="82"/>
      <c r="C22" s="82"/>
      <c r="D22" s="81">
        <v>15</v>
      </c>
      <c r="E22" s="64">
        <v>11</v>
      </c>
      <c r="F22" s="64">
        <v>48</v>
      </c>
      <c r="G22" s="64">
        <f t="shared" si="0"/>
        <v>8</v>
      </c>
      <c r="H22" s="64">
        <f>IFERROR(_xlfn._xlws.FILTER(SizeCarton[G.W./CTN],(SizeCarton[Brand]=$N22)*(SizeCarton[Size]=$E22)*(SizeCarton[Width]=$O22),""),"")</f>
        <v>18</v>
      </c>
      <c r="I22" s="64">
        <f t="shared" si="1"/>
        <v>144</v>
      </c>
      <c r="J22" s="64">
        <f>IFERROR(_xlfn._xlws.FILTER(SizeCarton[L (CM)],(SizeCarton[Brand]=$N22)*(SizeCarton[Size]=$E22)*(SizeCarton[Width]=$O22),""),"")</f>
        <v>85</v>
      </c>
      <c r="K22" s="64">
        <f>IFERROR(_xlfn._xlws.FILTER(SizeCarton[W (CM)],(SizeCarton[Brand]=$N22)*(SizeCarton[Size]=$E22)*(SizeCarton[Width]=$O22),""),"")</f>
        <v>45</v>
      </c>
      <c r="L22" s="64">
        <f>IFERROR(_xlfn._xlws.FILTER(SizeCarton[H (CM)],(SizeCarton[Brand]=$N22)*(SizeCarton[Size]=$E22)*(SizeCarton[Width]=$O22),""),"")</f>
        <v>55.5</v>
      </c>
      <c r="M22" s="71">
        <f t="shared" si="2"/>
        <v>1.6982999999999999</v>
      </c>
      <c r="N22" s="26" t="s">
        <v>6</v>
      </c>
      <c r="O22" s="26" t="s">
        <v>75</v>
      </c>
    </row>
    <row r="23" spans="1:15">
      <c r="A23" s="82"/>
      <c r="B23" s="82"/>
      <c r="C23" s="82"/>
      <c r="D23" s="83"/>
      <c r="E23" s="64">
        <v>11.5</v>
      </c>
      <c r="F23" s="64">
        <v>6</v>
      </c>
      <c r="G23" s="64">
        <f t="shared" si="0"/>
        <v>1</v>
      </c>
      <c r="H23" s="64">
        <f>IFERROR(_xlfn._xlws.FILTER(SizeCarton[G.W./CTN],(SizeCarton[Brand]=$N23)*(SizeCarton[Size]=$E23)*(SizeCarton[Width]=$O23),""),"")</f>
        <v>18.3</v>
      </c>
      <c r="I23" s="64">
        <f t="shared" si="1"/>
        <v>18.3</v>
      </c>
      <c r="J23" s="64">
        <f>IFERROR(_xlfn._xlws.FILTER(SizeCarton[L (CM)],(SizeCarton[Brand]=$N23)*(SizeCarton[Size]=$E23)*(SizeCarton[Width]=$O23),""),"")</f>
        <v>85</v>
      </c>
      <c r="K23" s="64">
        <f>IFERROR(_xlfn._xlws.FILTER(SizeCarton[W (CM)],(SizeCarton[Brand]=$N23)*(SizeCarton[Size]=$E23)*(SizeCarton[Width]=$O23),""),"")</f>
        <v>45</v>
      </c>
      <c r="L23" s="64">
        <f>IFERROR(_xlfn._xlws.FILTER(SizeCarton[H (CM)],(SizeCarton[Brand]=$N23)*(SizeCarton[Size]=$E23)*(SizeCarton[Width]=$O23),""),"")</f>
        <v>55.5</v>
      </c>
      <c r="M23" s="71">
        <f t="shared" si="2"/>
        <v>0.21228749999999999</v>
      </c>
      <c r="N23" s="26" t="s">
        <v>6</v>
      </c>
      <c r="O23" s="26" t="s">
        <v>75</v>
      </c>
    </row>
    <row r="24" spans="1:15">
      <c r="A24" s="82"/>
      <c r="B24" s="82"/>
      <c r="C24" s="82"/>
      <c r="D24" s="81">
        <v>16</v>
      </c>
      <c r="E24" s="64">
        <v>11.5</v>
      </c>
      <c r="F24" s="64">
        <v>42</v>
      </c>
      <c r="G24" s="64">
        <f t="shared" si="0"/>
        <v>7</v>
      </c>
      <c r="H24" s="64">
        <f>IFERROR(_xlfn._xlws.FILTER(SizeCarton[G.W./CTN],(SizeCarton[Brand]=$N24)*(SizeCarton[Size]=$E24)*(SizeCarton[Width]=$O24),""),"")</f>
        <v>18.3</v>
      </c>
      <c r="I24" s="64">
        <f t="shared" si="1"/>
        <v>128.1</v>
      </c>
      <c r="J24" s="64">
        <f>IFERROR(_xlfn._xlws.FILTER(SizeCarton[L (CM)],(SizeCarton[Brand]=$N24)*(SizeCarton[Size]=$E24)*(SizeCarton[Width]=$O24),""),"")</f>
        <v>85</v>
      </c>
      <c r="K24" s="64">
        <f>IFERROR(_xlfn._xlws.FILTER(SizeCarton[W (CM)],(SizeCarton[Brand]=$N24)*(SizeCarton[Size]=$E24)*(SizeCarton[Width]=$O24),""),"")</f>
        <v>45</v>
      </c>
      <c r="L24" s="64">
        <f>IFERROR(_xlfn._xlws.FILTER(SizeCarton[H (CM)],(SizeCarton[Brand]=$N24)*(SizeCarton[Size]=$E24)*(SizeCarton[Width]=$O24),""),"")</f>
        <v>55.5</v>
      </c>
      <c r="M24" s="71">
        <f t="shared" si="2"/>
        <v>1.4860125</v>
      </c>
      <c r="N24" s="26" t="s">
        <v>6</v>
      </c>
      <c r="O24" s="26" t="s">
        <v>75</v>
      </c>
    </row>
    <row r="25" spans="1:15">
      <c r="A25" s="82"/>
      <c r="B25" s="82"/>
      <c r="C25" s="82"/>
      <c r="D25" s="83"/>
      <c r="E25" s="64">
        <v>12</v>
      </c>
      <c r="F25" s="64">
        <v>12</v>
      </c>
      <c r="G25" s="64">
        <f t="shared" si="0"/>
        <v>2</v>
      </c>
      <c r="H25" s="64">
        <f>IFERROR(_xlfn._xlws.FILTER(SizeCarton[G.W./CTN],(SizeCarton[Brand]=$N25)*(SizeCarton[Size]=$E25)*(SizeCarton[Width]=$O25),""),"")</f>
        <v>18.7</v>
      </c>
      <c r="I25" s="64">
        <f t="shared" si="1"/>
        <v>37.4</v>
      </c>
      <c r="J25" s="64">
        <f>IFERROR(_xlfn._xlws.FILTER(SizeCarton[L (CM)],(SizeCarton[Brand]=$N25)*(SizeCarton[Size]=$E25)*(SizeCarton[Width]=$O25),""),"")</f>
        <v>85</v>
      </c>
      <c r="K25" s="64">
        <f>IFERROR(_xlfn._xlws.FILTER(SizeCarton[W (CM)],(SizeCarton[Brand]=$N25)*(SizeCarton[Size]=$E25)*(SizeCarton[Width]=$O25),""),"")</f>
        <v>45</v>
      </c>
      <c r="L25" s="64">
        <f>IFERROR(_xlfn._xlws.FILTER(SizeCarton[H (CM)],(SizeCarton[Brand]=$N25)*(SizeCarton[Size]=$E25)*(SizeCarton[Width]=$O25),""),"")</f>
        <v>55.5</v>
      </c>
      <c r="M25" s="71">
        <f t="shared" si="2"/>
        <v>0.42457499999999998</v>
      </c>
      <c r="N25" s="26" t="s">
        <v>6</v>
      </c>
      <c r="O25" s="26" t="s">
        <v>75</v>
      </c>
    </row>
    <row r="26" spans="1:15">
      <c r="A26" s="82"/>
      <c r="B26" s="82"/>
      <c r="C26" s="82"/>
      <c r="D26" s="64">
        <v>17</v>
      </c>
      <c r="E26" s="64">
        <v>12</v>
      </c>
      <c r="F26" s="64">
        <v>54</v>
      </c>
      <c r="G26" s="64">
        <f t="shared" si="0"/>
        <v>9</v>
      </c>
      <c r="H26" s="64">
        <f>IFERROR(_xlfn._xlws.FILTER(SizeCarton[G.W./CTN],(SizeCarton[Brand]=$N26)*(SizeCarton[Size]=$E26)*(SizeCarton[Width]=$O26),""),"")</f>
        <v>18.7</v>
      </c>
      <c r="I26" s="64">
        <f t="shared" si="1"/>
        <v>168.29999999999998</v>
      </c>
      <c r="J26" s="64">
        <f>IFERROR(_xlfn._xlws.FILTER(SizeCarton[L (CM)],(SizeCarton[Brand]=$N26)*(SizeCarton[Size]=$E26)*(SizeCarton[Width]=$O26),""),"")</f>
        <v>85</v>
      </c>
      <c r="K26" s="64">
        <f>IFERROR(_xlfn._xlws.FILTER(SizeCarton[W (CM)],(SizeCarton[Brand]=$N26)*(SizeCarton[Size]=$E26)*(SizeCarton[Width]=$O26),""),"")</f>
        <v>45</v>
      </c>
      <c r="L26" s="64">
        <f>IFERROR(_xlfn._xlws.FILTER(SizeCarton[H (CM)],(SizeCarton[Brand]=$N26)*(SizeCarton[Size]=$E26)*(SizeCarton[Width]=$O26),""),"")</f>
        <v>55.5</v>
      </c>
      <c r="M26" s="71">
        <f t="shared" si="2"/>
        <v>1.9105874999999999</v>
      </c>
      <c r="N26" s="26" t="s">
        <v>6</v>
      </c>
      <c r="O26" s="26" t="s">
        <v>75</v>
      </c>
    </row>
    <row r="27" spans="1:15">
      <c r="A27" s="82"/>
      <c r="B27" s="82"/>
      <c r="C27" s="82"/>
      <c r="D27" s="64">
        <v>18</v>
      </c>
      <c r="E27" s="64">
        <v>12</v>
      </c>
      <c r="F27" s="64">
        <v>54</v>
      </c>
      <c r="G27" s="64">
        <f t="shared" si="0"/>
        <v>9</v>
      </c>
      <c r="H27" s="64">
        <f>IFERROR(_xlfn._xlws.FILTER(SizeCarton[G.W./CTN],(SizeCarton[Brand]=$N27)*(SizeCarton[Size]=$E27)*(SizeCarton[Width]=$O27),""),"")</f>
        <v>18.7</v>
      </c>
      <c r="I27" s="64">
        <f t="shared" si="1"/>
        <v>168.29999999999998</v>
      </c>
      <c r="J27" s="64">
        <f>IFERROR(_xlfn._xlws.FILTER(SizeCarton[L (CM)],(SizeCarton[Brand]=$N27)*(SizeCarton[Size]=$E27)*(SizeCarton[Width]=$O27),""),"")</f>
        <v>85</v>
      </c>
      <c r="K27" s="64">
        <f>IFERROR(_xlfn._xlws.FILTER(SizeCarton[W (CM)],(SizeCarton[Brand]=$N27)*(SizeCarton[Size]=$E27)*(SizeCarton[Width]=$O27),""),"")</f>
        <v>45</v>
      </c>
      <c r="L27" s="64">
        <f>IFERROR(_xlfn._xlws.FILTER(SizeCarton[H (CM)],(SizeCarton[Brand]=$N27)*(SizeCarton[Size]=$E27)*(SizeCarton[Width]=$O27),""),"")</f>
        <v>55.5</v>
      </c>
      <c r="M27" s="71">
        <f t="shared" si="2"/>
        <v>1.9105874999999999</v>
      </c>
      <c r="N27" s="26" t="s">
        <v>6</v>
      </c>
      <c r="O27" s="26" t="s">
        <v>75</v>
      </c>
    </row>
    <row r="28" spans="1:15">
      <c r="A28" s="83"/>
      <c r="B28" s="83"/>
      <c r="C28" s="83"/>
      <c r="D28" s="64">
        <v>19</v>
      </c>
      <c r="E28" s="64">
        <v>12</v>
      </c>
      <c r="F28" s="64">
        <v>24</v>
      </c>
      <c r="G28" s="64">
        <f t="shared" si="0"/>
        <v>4</v>
      </c>
      <c r="H28" s="64">
        <f>IFERROR(_xlfn._xlws.FILTER(SizeCarton[G.W./CTN],(SizeCarton[Brand]=$N28)*(SizeCarton[Size]=$E28)*(SizeCarton[Width]=$O28),""),"")</f>
        <v>18.7</v>
      </c>
      <c r="I28" s="64">
        <f t="shared" si="1"/>
        <v>74.8</v>
      </c>
      <c r="J28" s="64">
        <f>IFERROR(_xlfn._xlws.FILTER(SizeCarton[L (CM)],(SizeCarton[Brand]=$N28)*(SizeCarton[Size]=$E28)*(SizeCarton[Width]=$O28),""),"")</f>
        <v>85</v>
      </c>
      <c r="K28" s="64">
        <f>IFERROR(_xlfn._xlws.FILTER(SizeCarton[W (CM)],(SizeCarton[Brand]=$N28)*(SizeCarton[Size]=$E28)*(SizeCarton[Width]=$O28),""),"")</f>
        <v>45</v>
      </c>
      <c r="L28" s="64">
        <f>IFERROR(_xlfn._xlws.FILTER(SizeCarton[H (CM)],(SizeCarton[Brand]=$N28)*(SizeCarton[Size]=$E28)*(SizeCarton[Width]=$O28),""),"")</f>
        <v>55.5</v>
      </c>
      <c r="M28" s="71">
        <f t="shared" si="2"/>
        <v>0.84914999999999996</v>
      </c>
      <c r="N28" s="26" t="s">
        <v>6</v>
      </c>
      <c r="O28" s="26" t="s">
        <v>75</v>
      </c>
    </row>
    <row r="29" spans="1:15">
      <c r="D29" s="55" t="s">
        <v>102</v>
      </c>
      <c r="E29" s="55"/>
      <c r="F29" s="55">
        <f>SUM(F4:F28)</f>
        <v>996</v>
      </c>
      <c r="G29" s="55">
        <f>SUM(G4:G28)</f>
        <v>166</v>
      </c>
      <c r="H29" s="55">
        <f>SUM(H4:H28)</f>
        <v>438.30000000000007</v>
      </c>
      <c r="I29" s="55">
        <f>SUM(I4:I28)</f>
        <v>2907.9000000000005</v>
      </c>
      <c r="J29" s="55"/>
      <c r="K29" s="55"/>
      <c r="L29" s="55"/>
      <c r="M29" s="72">
        <f>SUM(M4:M28)</f>
        <v>32.09252699999999</v>
      </c>
    </row>
    <row r="32" spans="1:15" ht="40" customHeight="1"/>
  </sheetData>
  <mergeCells count="9">
    <mergeCell ref="A4:A28"/>
    <mergeCell ref="B4:B28"/>
    <mergeCell ref="C4:C28"/>
    <mergeCell ref="D4:D5"/>
    <mergeCell ref="D7:D8"/>
    <mergeCell ref="D14:D15"/>
    <mergeCell ref="D18:D19"/>
    <mergeCell ref="D22:D23"/>
    <mergeCell ref="D24:D25"/>
  </mergeCells>
  <pageMargins left="0.7" right="0.7" top="0.75" bottom="0.75" header="0.3" footer="0.3"/>
  <pageSetup scale="52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47F0C-F956-4841-96FA-15A1FEF6AB8A}">
  <sheetPr>
    <tabColor theme="5" tint="0.79998168889431442"/>
  </sheetPr>
  <dimension ref="B4:I29"/>
  <sheetViews>
    <sheetView zoomScale="130" zoomScaleNormal="130" workbookViewId="0">
      <selection activeCell="J12" sqref="J12"/>
    </sheetView>
  </sheetViews>
  <sheetFormatPr baseColWidth="10" defaultRowHeight="16"/>
  <cols>
    <col min="2" max="6" width="15.1640625" customWidth="1"/>
  </cols>
  <sheetData>
    <row r="4" spans="2:9" ht="31" customHeight="1">
      <c r="B4" s="80" t="s">
        <v>157</v>
      </c>
      <c r="C4" s="79"/>
      <c r="D4" s="79"/>
      <c r="E4" s="79"/>
      <c r="F4" s="79"/>
      <c r="I4" s="4" t="s">
        <v>159</v>
      </c>
    </row>
    <row r="5" spans="2:9" ht="39" customHeight="1">
      <c r="B5" s="78" t="s">
        <v>27</v>
      </c>
      <c r="C5" s="78" t="s">
        <v>129</v>
      </c>
      <c r="D5" s="78" t="s">
        <v>130</v>
      </c>
      <c r="E5" s="78" t="s">
        <v>131</v>
      </c>
      <c r="F5" s="78" t="s">
        <v>136</v>
      </c>
    </row>
    <row r="6" spans="2:9">
      <c r="B6" s="56" t="str">
        <f>IF(Input!AD27=0,"",Input!B27)</f>
        <v>Pallet 1</v>
      </c>
      <c r="C6" s="56">
        <f>Input!AM27</f>
        <v>50</v>
      </c>
      <c r="D6" s="56">
        <f>Input!AN27</f>
        <v>40</v>
      </c>
      <c r="E6" s="77">
        <f>Input!AL27</f>
        <v>65.826771653543318</v>
      </c>
      <c r="F6" s="77">
        <f>Input!AQ27</f>
        <v>161.19999999999999</v>
      </c>
    </row>
    <row r="7" spans="2:9">
      <c r="B7" s="56" t="str">
        <f>IF(Input!AD28=0,"",Input!B28)</f>
        <v>Pallet 2</v>
      </c>
      <c r="C7" s="56">
        <f>Input!AM28</f>
        <v>50</v>
      </c>
      <c r="D7" s="56">
        <f>Input!AN28</f>
        <v>40</v>
      </c>
      <c r="E7" s="77">
        <f>Input!AL28</f>
        <v>65.826771653543318</v>
      </c>
      <c r="F7" s="77">
        <f>Input!AQ28</f>
        <v>162.6</v>
      </c>
    </row>
    <row r="8" spans="2:9">
      <c r="B8" s="56" t="str">
        <f>IF(Input!AD29=0,"",Input!B29)</f>
        <v>Pallet 3</v>
      </c>
      <c r="C8" s="56">
        <f>Input!AM29</f>
        <v>50</v>
      </c>
      <c r="D8" s="56">
        <f>Input!AN29</f>
        <v>40</v>
      </c>
      <c r="E8" s="77">
        <f>Input!AL29</f>
        <v>65.826771653543318</v>
      </c>
      <c r="F8" s="77">
        <f>Input!AQ29</f>
        <v>166.6</v>
      </c>
    </row>
    <row r="9" spans="2:9">
      <c r="B9" s="56" t="str">
        <f>IF(Input!AD30=0,"",Input!B30)</f>
        <v>Pallet 4</v>
      </c>
      <c r="C9" s="56">
        <f>Input!AM30</f>
        <v>50</v>
      </c>
      <c r="D9" s="56">
        <f>Input!AN30</f>
        <v>40</v>
      </c>
      <c r="E9" s="77">
        <f>Input!AL30</f>
        <v>65.826771653543318</v>
      </c>
      <c r="F9" s="77">
        <f>Input!AQ30</f>
        <v>167.1</v>
      </c>
    </row>
    <row r="10" spans="2:9">
      <c r="B10" s="56" t="str">
        <f>IF(Input!AD31=0,"",Input!B31)</f>
        <v>Pallet 5</v>
      </c>
      <c r="C10" s="56">
        <f>Input!AM31</f>
        <v>50</v>
      </c>
      <c r="D10" s="56">
        <f>Input!AN31</f>
        <v>40</v>
      </c>
      <c r="E10" s="77">
        <f>Input!AL31</f>
        <v>65.826771653543318</v>
      </c>
      <c r="F10" s="77">
        <f>Input!AQ31</f>
        <v>167.1</v>
      </c>
    </row>
    <row r="11" spans="2:9">
      <c r="B11" s="56" t="str">
        <f>IF(Input!AD32=0,"",Input!B32)</f>
        <v>Pallet 6</v>
      </c>
      <c r="C11" s="56">
        <f>Input!AM32</f>
        <v>50</v>
      </c>
      <c r="D11" s="56">
        <f>Input!AN32</f>
        <v>40</v>
      </c>
      <c r="E11" s="77">
        <f>Input!AL32</f>
        <v>65.826771653543318</v>
      </c>
      <c r="F11" s="77">
        <f>Input!AQ32</f>
        <v>167.1</v>
      </c>
    </row>
    <row r="12" spans="2:9">
      <c r="B12" s="56" t="str">
        <f>IF(Input!AD33=0,"",Input!B33)</f>
        <v>Pallet 7</v>
      </c>
      <c r="C12" s="56">
        <f>Input!AM33</f>
        <v>50</v>
      </c>
      <c r="D12" s="56">
        <f>Input!AN33</f>
        <v>40</v>
      </c>
      <c r="E12" s="77">
        <f>Input!AL33</f>
        <v>65.826771653543318</v>
      </c>
      <c r="F12" s="77">
        <f>Input!AQ33</f>
        <v>167.1</v>
      </c>
    </row>
    <row r="13" spans="2:9">
      <c r="B13" s="56" t="str">
        <f>IF(Input!AD34=0,"",Input!B34)</f>
        <v>Pallet 8</v>
      </c>
      <c r="C13" s="56">
        <f>Input!AM34</f>
        <v>50</v>
      </c>
      <c r="D13" s="56">
        <f>Input!AN34</f>
        <v>40</v>
      </c>
      <c r="E13" s="77">
        <f>Input!AL34</f>
        <v>65.826771653543318</v>
      </c>
      <c r="F13" s="77">
        <f>Input!AQ34</f>
        <v>167.1</v>
      </c>
    </row>
    <row r="14" spans="2:9">
      <c r="B14" s="56" t="str">
        <f>IF(Input!AD35=0,"",Input!B35)</f>
        <v>Pallet 9</v>
      </c>
      <c r="C14" s="56">
        <f>Input!AM35</f>
        <v>50</v>
      </c>
      <c r="D14" s="56">
        <f>Input!AN35</f>
        <v>40</v>
      </c>
      <c r="E14" s="77">
        <f>Input!AL35</f>
        <v>70.551181102362207</v>
      </c>
      <c r="F14" s="77">
        <f>Input!AQ35</f>
        <v>171.6</v>
      </c>
    </row>
    <row r="15" spans="2:9">
      <c r="B15" s="56" t="str">
        <f>IF(Input!AD36=0,"",Input!B36)</f>
        <v>Pallet 10</v>
      </c>
      <c r="C15" s="56">
        <f>Input!AM36</f>
        <v>50</v>
      </c>
      <c r="D15" s="56">
        <f>Input!AN36</f>
        <v>40</v>
      </c>
      <c r="E15" s="77">
        <f>Input!AL36</f>
        <v>70.551181102362207</v>
      </c>
      <c r="F15" s="77">
        <f>Input!AQ36</f>
        <v>175.20000000000002</v>
      </c>
    </row>
    <row r="16" spans="2:9">
      <c r="B16" s="56" t="str">
        <f>IF(Input!AD37=0,"",Input!B37)</f>
        <v>Pallet 11</v>
      </c>
      <c r="C16" s="56">
        <f>Input!AM37</f>
        <v>50</v>
      </c>
      <c r="D16" s="56">
        <f>Input!AN37</f>
        <v>40</v>
      </c>
      <c r="E16" s="77">
        <f>Input!AL37</f>
        <v>70.551181102362207</v>
      </c>
      <c r="F16" s="77">
        <f>Input!AQ37</f>
        <v>175.20000000000002</v>
      </c>
    </row>
    <row r="17" spans="2:7">
      <c r="B17" s="56" t="str">
        <f>IF(Input!AD38=0,"",Input!B38)</f>
        <v>Pallet 12</v>
      </c>
      <c r="C17" s="56">
        <f>Input!AM38</f>
        <v>50</v>
      </c>
      <c r="D17" s="56">
        <f>Input!AN38</f>
        <v>40</v>
      </c>
      <c r="E17" s="77">
        <f>Input!AL38</f>
        <v>70.551181102362207</v>
      </c>
      <c r="F17" s="77">
        <f>Input!AQ38</f>
        <v>176.8</v>
      </c>
    </row>
    <row r="18" spans="2:7">
      <c r="B18" s="56" t="str">
        <f>IF(Input!AD39=0,"",Input!B39)</f>
        <v>Pallet 13</v>
      </c>
      <c r="C18" s="56">
        <f>Input!AM39</f>
        <v>50</v>
      </c>
      <c r="D18" s="56">
        <f>Input!AN39</f>
        <v>40</v>
      </c>
      <c r="E18" s="77">
        <f>Input!AL39</f>
        <v>70.551181102362207</v>
      </c>
      <c r="F18" s="77">
        <f>Input!AQ39</f>
        <v>177</v>
      </c>
    </row>
    <row r="19" spans="2:7">
      <c r="B19" s="56" t="str">
        <f>IF(Input!AD40=0,"",Input!B40)</f>
        <v>Pallet 14</v>
      </c>
      <c r="C19" s="56">
        <f>Input!AM40</f>
        <v>50</v>
      </c>
      <c r="D19" s="56">
        <f>Input!AN40</f>
        <v>40</v>
      </c>
      <c r="E19" s="77">
        <f>Input!AL40</f>
        <v>70.551181102362207</v>
      </c>
      <c r="F19" s="77">
        <f>Input!AQ40</f>
        <v>177</v>
      </c>
    </row>
    <row r="20" spans="2:7">
      <c r="B20" s="56" t="str">
        <f>IF(Input!AD41=0,"",Input!B41)</f>
        <v>Pallet 15</v>
      </c>
      <c r="C20" s="56">
        <f>Input!AM41</f>
        <v>50</v>
      </c>
      <c r="D20" s="56">
        <f>Input!AN41</f>
        <v>40</v>
      </c>
      <c r="E20" s="77">
        <f>Input!AL41</f>
        <v>70.551181102362207</v>
      </c>
      <c r="F20" s="77">
        <f>Input!AQ41</f>
        <v>177.3</v>
      </c>
    </row>
    <row r="21" spans="2:7">
      <c r="B21" s="56" t="str">
        <f>IF(Input!AD42=0,"",Input!B42)</f>
        <v>Pallet 16</v>
      </c>
      <c r="C21" s="56">
        <f>Input!AM42</f>
        <v>50</v>
      </c>
      <c r="D21" s="56">
        <f>Input!AN42</f>
        <v>40</v>
      </c>
      <c r="E21" s="77">
        <f>Input!AL42</f>
        <v>70.551181102362207</v>
      </c>
      <c r="F21" s="77">
        <f>Input!AQ42</f>
        <v>180.5</v>
      </c>
    </row>
    <row r="22" spans="2:7">
      <c r="B22" s="56" t="str">
        <f>IF(Input!AD43=0,"",Input!B43)</f>
        <v>Pallet 17</v>
      </c>
      <c r="C22" s="56">
        <f>Input!AM43</f>
        <v>50</v>
      </c>
      <c r="D22" s="56">
        <f>Input!AN43</f>
        <v>40</v>
      </c>
      <c r="E22" s="77">
        <f>Input!AL43</f>
        <v>70.551181102362207</v>
      </c>
      <c r="F22" s="77">
        <f>Input!AQ43</f>
        <v>183.29999999999998</v>
      </c>
    </row>
    <row r="23" spans="2:7">
      <c r="B23" s="56" t="str">
        <f>IF(Input!AD44=0,"",Input!B44)</f>
        <v>Pallet 18</v>
      </c>
      <c r="C23" s="56">
        <f>Input!AM44</f>
        <v>50</v>
      </c>
      <c r="D23" s="56">
        <f>Input!AN44</f>
        <v>40</v>
      </c>
      <c r="E23" s="77">
        <f>Input!AL44</f>
        <v>70.551181102362207</v>
      </c>
      <c r="F23" s="77">
        <f>Input!AQ44</f>
        <v>183.29999999999998</v>
      </c>
    </row>
    <row r="24" spans="2:7">
      <c r="B24" s="56" t="str">
        <f>IF(Input!AD45=0,"",Input!B45)</f>
        <v>Pallet 19</v>
      </c>
      <c r="C24" s="56">
        <f>Input!AM45</f>
        <v>50</v>
      </c>
      <c r="D24" s="56">
        <f>Input!AN45</f>
        <v>40</v>
      </c>
      <c r="E24" s="77">
        <f>Input!AL45</f>
        <v>48.700787401574807</v>
      </c>
      <c r="F24" s="77">
        <f>Input!AQ45</f>
        <v>89.8</v>
      </c>
    </row>
    <row r="25" spans="2:7">
      <c r="B25" s="56" t="str">
        <f>IF(Input!AD46=0,"",Input!B46)</f>
        <v/>
      </c>
      <c r="C25" s="56" t="str">
        <f>Input!AM46</f>
        <v/>
      </c>
      <c r="D25" s="56" t="str">
        <f>Input!AN46</f>
        <v/>
      </c>
      <c r="E25" s="77" t="str">
        <f>IF(Input!AD46=0,"",Input!AL46)</f>
        <v/>
      </c>
      <c r="F25" s="77" t="str">
        <f>IF(Input!AD46=0,"",Input!AQ46)</f>
        <v/>
      </c>
    </row>
    <row r="26" spans="2:7">
      <c r="B26" s="56" t="str">
        <f>IF(Input!AD47=0,"",Input!B47)</f>
        <v/>
      </c>
      <c r="C26" s="56" t="str">
        <f>Input!AM47</f>
        <v/>
      </c>
      <c r="D26" s="56" t="str">
        <f>Input!AN47</f>
        <v/>
      </c>
      <c r="E26" s="77" t="str">
        <f>IF(Input!AD47=0,"",Input!AL47)</f>
        <v/>
      </c>
      <c r="F26" s="77" t="str">
        <f>IF(Input!AD47=0,"",Input!AQ47)</f>
        <v/>
      </c>
    </row>
    <row r="27" spans="2:7">
      <c r="B27" s="56" t="str">
        <f>IF(Input!AD48=0,"",Input!B48)</f>
        <v/>
      </c>
      <c r="C27" s="56" t="str">
        <f>Input!AM48</f>
        <v/>
      </c>
      <c r="D27" s="56" t="str">
        <f>Input!AN48</f>
        <v/>
      </c>
      <c r="E27" s="77" t="str">
        <f>IF(Input!AD48=0,"",Input!AL48)</f>
        <v/>
      </c>
      <c r="F27" s="77" t="str">
        <f>IF(Input!AD48=0,"",Input!AQ48)</f>
        <v/>
      </c>
    </row>
    <row r="28" spans="2:7">
      <c r="E28" s="62" t="s">
        <v>144</v>
      </c>
      <c r="F28" s="66">
        <f>SUM(F6:F27)</f>
        <v>3192.9000000000005</v>
      </c>
      <c r="G28" s="4" t="s">
        <v>155</v>
      </c>
    </row>
    <row r="29" spans="2:7">
      <c r="E29" s="62" t="s">
        <v>154</v>
      </c>
      <c r="F29" s="66">
        <f>CONVERT(F28,"kg","lbm")</f>
        <v>7039.1395693009572</v>
      </c>
      <c r="G29" s="4" t="s">
        <v>156</v>
      </c>
    </row>
  </sheetData>
  <pageMargins left="0.7" right="0.7" top="0.75" bottom="0.75" header="0.3" footer="0.3"/>
  <pageSetup scale="87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11A5A-FBCA-B140-ADBD-E70BAB3B2A33}">
  <sheetPr codeName="Sheet9">
    <tabColor theme="5" tint="0.39997558519241921"/>
  </sheetPr>
  <dimension ref="A1:O60"/>
  <sheetViews>
    <sheetView view="pageBreakPreview" topLeftCell="A30" zoomScale="120" zoomScaleNormal="100" zoomScaleSheetLayoutView="120" workbookViewId="0">
      <selection activeCell="K40" sqref="K40"/>
    </sheetView>
  </sheetViews>
  <sheetFormatPr baseColWidth="10" defaultRowHeight="16"/>
  <cols>
    <col min="2" max="2" width="12.33203125" customWidth="1"/>
    <col min="3" max="3" width="26.1640625" customWidth="1"/>
    <col min="4" max="4" width="10.83203125" customWidth="1"/>
    <col min="13" max="13" width="10.83203125" customWidth="1"/>
    <col min="14" max="15" width="10.83203125" style="26"/>
  </cols>
  <sheetData>
    <row r="1" spans="1:15" ht="22">
      <c r="B1" s="47" t="s">
        <v>90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</row>
    <row r="2" spans="1:15">
      <c r="J2" s="49" t="s">
        <v>91</v>
      </c>
      <c r="K2" s="49"/>
      <c r="L2" s="49"/>
    </row>
    <row r="3" spans="1:15">
      <c r="A3" s="48" t="s">
        <v>92</v>
      </c>
      <c r="B3" s="48" t="s">
        <v>93</v>
      </c>
      <c r="C3" s="48" t="s">
        <v>94</v>
      </c>
      <c r="D3" s="48" t="s">
        <v>27</v>
      </c>
      <c r="E3" s="48" t="s">
        <v>95</v>
      </c>
      <c r="F3" s="48" t="s">
        <v>96</v>
      </c>
      <c r="G3" s="48" t="s">
        <v>97</v>
      </c>
      <c r="H3" s="48" t="s">
        <v>0</v>
      </c>
      <c r="I3" s="48" t="s">
        <v>98</v>
      </c>
      <c r="J3" s="49" t="s">
        <v>99</v>
      </c>
      <c r="K3" s="49" t="s">
        <v>74</v>
      </c>
      <c r="L3" s="49" t="s">
        <v>100</v>
      </c>
      <c r="M3" s="48" t="s">
        <v>101</v>
      </c>
      <c r="N3" s="26" t="s">
        <v>2</v>
      </c>
      <c r="O3" s="26" t="s">
        <v>74</v>
      </c>
    </row>
    <row r="4" spans="1:15">
      <c r="A4" s="81" t="s">
        <v>86</v>
      </c>
      <c r="B4" s="81" t="s">
        <v>87</v>
      </c>
      <c r="C4" s="81" t="s">
        <v>89</v>
      </c>
      <c r="D4" s="81">
        <v>1</v>
      </c>
      <c r="E4" s="46">
        <v>8</v>
      </c>
      <c r="F4" s="46">
        <v>42</v>
      </c>
      <c r="G4" s="46">
        <f t="shared" ref="G4:G28" si="0">F4/6</f>
        <v>7</v>
      </c>
      <c r="H4" s="46">
        <f>IFERROR(_xlfn._xlws.FILTER(SizeCarton[G.W./CTN],(SizeCarton[Brand]=$N4)*(SizeCarton[Size]=$E4)*(SizeCarton[Width]=$O4),""),"")</f>
        <v>16.2</v>
      </c>
      <c r="I4" s="46">
        <f t="shared" ref="I4:I28" si="1">G4*H4</f>
        <v>113.39999999999999</v>
      </c>
      <c r="J4" s="46">
        <f>IFERROR(_xlfn._xlws.FILTER(SizeCarton[L (CM)],(SizeCarton[Brand]=$N4)*(SizeCarton[Size]=$E4)*(SizeCarton[Width]=$O4),""),"")</f>
        <v>79</v>
      </c>
      <c r="K4" s="46">
        <f>IFERROR(_xlfn._xlws.FILTER(SizeCarton[W (CM)],(SizeCarton[Brand]=$N4)*(SizeCarton[Size]=$E4)*(SizeCarton[Width]=$O4),""),"")</f>
        <v>42</v>
      </c>
      <c r="L4" s="46">
        <f>IFERROR(_xlfn._xlws.FILTER(SizeCarton[H (CM)],(SizeCarton[Brand]=$N4)*(SizeCarton[Size]=$E4)*(SizeCarton[Width]=$O4),""),"")</f>
        <v>51.5</v>
      </c>
      <c r="M4" s="50">
        <f t="shared" ref="M4:M28" si="2">J4*K4*L4/1000000*G4</f>
        <v>1.1961390000000001</v>
      </c>
      <c r="N4" s="26" t="s">
        <v>6</v>
      </c>
      <c r="O4" s="26" t="s">
        <v>75</v>
      </c>
    </row>
    <row r="5" spans="1:15">
      <c r="A5" s="82"/>
      <c r="B5" s="82"/>
      <c r="C5" s="82"/>
      <c r="D5" s="83"/>
      <c r="E5" s="46">
        <v>9</v>
      </c>
      <c r="F5" s="46">
        <v>12</v>
      </c>
      <c r="G5" s="46">
        <f t="shared" si="0"/>
        <v>2</v>
      </c>
      <c r="H5" s="46">
        <f>IFERROR(_xlfn._xlws.FILTER(SizeCarton[G.W./CTN],(SizeCarton[Brand]=$N5)*(SizeCarton[Size]=$E5)*(SizeCarton[Width]=$O5),""),"")</f>
        <v>16.399999999999999</v>
      </c>
      <c r="I5" s="46">
        <f t="shared" si="1"/>
        <v>32.799999999999997</v>
      </c>
      <c r="J5" s="46">
        <f>IFERROR(_xlfn._xlws.FILTER(SizeCarton[L (CM)],(SizeCarton[Brand]=$N5)*(SizeCarton[Size]=$E5)*(SizeCarton[Width]=$O5),""),"")</f>
        <v>79</v>
      </c>
      <c r="K5" s="46">
        <f>IFERROR(_xlfn._xlws.FILTER(SizeCarton[W (CM)],(SizeCarton[Brand]=$N5)*(SizeCarton[Size]=$E5)*(SizeCarton[Width]=$O5),""),"")</f>
        <v>42</v>
      </c>
      <c r="L5" s="46">
        <f>IFERROR(_xlfn._xlws.FILTER(SizeCarton[H (CM)],(SizeCarton[Brand]=$N5)*(SizeCarton[Size]=$E5)*(SizeCarton[Width]=$O5),""),"")</f>
        <v>51.5</v>
      </c>
      <c r="M5" s="50">
        <f t="shared" si="2"/>
        <v>0.341754</v>
      </c>
      <c r="N5" s="26" t="s">
        <v>6</v>
      </c>
      <c r="O5" s="26" t="s">
        <v>75</v>
      </c>
    </row>
    <row r="6" spans="1:15">
      <c r="A6" s="82"/>
      <c r="B6" s="82"/>
      <c r="C6" s="82"/>
      <c r="D6" s="46">
        <v>2</v>
      </c>
      <c r="E6" s="46">
        <v>9</v>
      </c>
      <c r="F6" s="46">
        <v>54</v>
      </c>
      <c r="G6" s="46">
        <f t="shared" si="0"/>
        <v>9</v>
      </c>
      <c r="H6" s="46">
        <f>IFERROR(_xlfn._xlws.FILTER(SizeCarton[G.W./CTN],(SizeCarton[Brand]=$N6)*(SizeCarton[Size]=$E6)*(SizeCarton[Width]=$O6),""),"")</f>
        <v>16.399999999999999</v>
      </c>
      <c r="I6" s="46">
        <f t="shared" si="1"/>
        <v>147.6</v>
      </c>
      <c r="J6" s="46">
        <f>IFERROR(_xlfn._xlws.FILTER(SizeCarton[L (CM)],(SizeCarton[Brand]=$N6)*(SizeCarton[Size]=$E6)*(SizeCarton[Width]=$O6),""),"")</f>
        <v>79</v>
      </c>
      <c r="K6" s="46">
        <f>IFERROR(_xlfn._xlws.FILTER(SizeCarton[W (CM)],(SizeCarton[Brand]=$N6)*(SizeCarton[Size]=$E6)*(SizeCarton[Width]=$O6),""),"")</f>
        <v>42</v>
      </c>
      <c r="L6" s="46">
        <f>IFERROR(_xlfn._xlws.FILTER(SizeCarton[H (CM)],(SizeCarton[Brand]=$N6)*(SizeCarton[Size]=$E6)*(SizeCarton[Width]=$O6),""),"")</f>
        <v>51.5</v>
      </c>
      <c r="M6" s="50">
        <f t="shared" si="2"/>
        <v>1.537893</v>
      </c>
      <c r="N6" s="26" t="s">
        <v>6</v>
      </c>
      <c r="O6" s="26" t="s">
        <v>75</v>
      </c>
    </row>
    <row r="7" spans="1:15">
      <c r="A7" s="82"/>
      <c r="B7" s="82"/>
      <c r="C7" s="82"/>
      <c r="D7" s="81">
        <v>3</v>
      </c>
      <c r="E7" s="46">
        <v>9</v>
      </c>
      <c r="F7" s="46">
        <v>6</v>
      </c>
      <c r="G7" s="46">
        <f t="shared" si="0"/>
        <v>1</v>
      </c>
      <c r="H7" s="46">
        <f>IFERROR(_xlfn._xlws.FILTER(SizeCarton[G.W./CTN],(SizeCarton[Brand]=$N7)*(SizeCarton[Size]=$E7)*(SizeCarton[Width]=$O7),""),"")</f>
        <v>16.399999999999999</v>
      </c>
      <c r="I7" s="46">
        <f t="shared" si="1"/>
        <v>16.399999999999999</v>
      </c>
      <c r="J7" s="46">
        <f>IFERROR(_xlfn._xlws.FILTER(SizeCarton[L (CM)],(SizeCarton[Brand]=$N7)*(SizeCarton[Size]=$E7)*(SizeCarton[Width]=$O7),""),"")</f>
        <v>79</v>
      </c>
      <c r="K7" s="46">
        <f>IFERROR(_xlfn._xlws.FILTER(SizeCarton[W (CM)],(SizeCarton[Brand]=$N7)*(SizeCarton[Size]=$E7)*(SizeCarton[Width]=$O7),""),"")</f>
        <v>42</v>
      </c>
      <c r="L7" s="46">
        <f>IFERROR(_xlfn._xlws.FILTER(SizeCarton[H (CM)],(SizeCarton[Brand]=$N7)*(SizeCarton[Size]=$E7)*(SizeCarton[Width]=$O7),""),"")</f>
        <v>51.5</v>
      </c>
      <c r="M7" s="50">
        <f t="shared" si="2"/>
        <v>0.170877</v>
      </c>
      <c r="N7" s="26" t="s">
        <v>6</v>
      </c>
      <c r="O7" s="26" t="s">
        <v>75</v>
      </c>
    </row>
    <row r="8" spans="1:15">
      <c r="A8" s="82"/>
      <c r="B8" s="82"/>
      <c r="C8" s="82"/>
      <c r="D8" s="83"/>
      <c r="E8" s="46">
        <v>10</v>
      </c>
      <c r="F8" s="46">
        <v>48</v>
      </c>
      <c r="G8" s="46">
        <f t="shared" si="0"/>
        <v>8</v>
      </c>
      <c r="H8" s="46">
        <f>IFERROR(_xlfn._xlws.FILTER(SizeCarton[G.W./CTN],(SizeCarton[Brand]=$N8)*(SizeCarton[Size]=$E8)*(SizeCarton[Width]=$O8),""),"")</f>
        <v>16.899999999999999</v>
      </c>
      <c r="I8" s="46">
        <f t="shared" si="1"/>
        <v>135.19999999999999</v>
      </c>
      <c r="J8" s="46">
        <f>IFERROR(_xlfn._xlws.FILTER(SizeCarton[L (CM)],(SizeCarton[Brand]=$N8)*(SizeCarton[Size]=$E8)*(SizeCarton[Width]=$O8),""),"")</f>
        <v>79</v>
      </c>
      <c r="K8" s="46">
        <f>IFERROR(_xlfn._xlws.FILTER(SizeCarton[W (CM)],(SizeCarton[Brand]=$N8)*(SizeCarton[Size]=$E8)*(SizeCarton[Width]=$O8),""),"")</f>
        <v>42</v>
      </c>
      <c r="L8" s="46">
        <f>IFERROR(_xlfn._xlws.FILTER(SizeCarton[H (CM)],(SizeCarton[Brand]=$N8)*(SizeCarton[Size]=$E8)*(SizeCarton[Width]=$O8),""),"")</f>
        <v>51.5</v>
      </c>
      <c r="M8" s="50">
        <f t="shared" si="2"/>
        <v>1.367016</v>
      </c>
      <c r="N8" s="26" t="s">
        <v>6</v>
      </c>
      <c r="O8" s="26" t="s">
        <v>75</v>
      </c>
    </row>
    <row r="9" spans="1:15">
      <c r="A9" s="82"/>
      <c r="B9" s="82"/>
      <c r="C9" s="82"/>
      <c r="D9" s="46">
        <v>4</v>
      </c>
      <c r="E9" s="46">
        <v>10</v>
      </c>
      <c r="F9" s="46">
        <v>54</v>
      </c>
      <c r="G9" s="46">
        <f t="shared" si="0"/>
        <v>9</v>
      </c>
      <c r="H9" s="46">
        <f>IFERROR(_xlfn._xlws.FILTER(SizeCarton[G.W./CTN],(SizeCarton[Brand]=$N9)*(SizeCarton[Size]=$E9)*(SizeCarton[Width]=$O9),""),"")</f>
        <v>16.899999999999999</v>
      </c>
      <c r="I9" s="46">
        <f t="shared" si="1"/>
        <v>152.1</v>
      </c>
      <c r="J9" s="46">
        <f>IFERROR(_xlfn._xlws.FILTER(SizeCarton[L (CM)],(SizeCarton[Brand]=$N9)*(SizeCarton[Size]=$E9)*(SizeCarton[Width]=$O9),""),"")</f>
        <v>79</v>
      </c>
      <c r="K9" s="46">
        <f>IFERROR(_xlfn._xlws.FILTER(SizeCarton[W (CM)],(SizeCarton[Brand]=$N9)*(SizeCarton[Size]=$E9)*(SizeCarton[Width]=$O9),""),"")</f>
        <v>42</v>
      </c>
      <c r="L9" s="46">
        <f>IFERROR(_xlfn._xlws.FILTER(SizeCarton[H (CM)],(SizeCarton[Brand]=$N9)*(SizeCarton[Size]=$E9)*(SizeCarton[Width]=$O9),""),"")</f>
        <v>51.5</v>
      </c>
      <c r="M9" s="50">
        <f t="shared" si="2"/>
        <v>1.537893</v>
      </c>
      <c r="N9" s="26" t="s">
        <v>6</v>
      </c>
      <c r="O9" s="26" t="s">
        <v>75</v>
      </c>
    </row>
    <row r="10" spans="1:15">
      <c r="A10" s="82"/>
      <c r="B10" s="82"/>
      <c r="C10" s="82"/>
      <c r="D10" s="46">
        <v>5</v>
      </c>
      <c r="E10" s="46">
        <v>10</v>
      </c>
      <c r="F10" s="46">
        <v>54</v>
      </c>
      <c r="G10" s="46">
        <f t="shared" si="0"/>
        <v>9</v>
      </c>
      <c r="H10" s="46">
        <f>IFERROR(_xlfn._xlws.FILTER(SizeCarton[G.W./CTN],(SizeCarton[Brand]=$N10)*(SizeCarton[Size]=$E10)*(SizeCarton[Width]=$O10),""),"")</f>
        <v>16.899999999999999</v>
      </c>
      <c r="I10" s="46">
        <f t="shared" si="1"/>
        <v>152.1</v>
      </c>
      <c r="J10" s="46">
        <f>IFERROR(_xlfn._xlws.FILTER(SizeCarton[L (CM)],(SizeCarton[Brand]=$N10)*(SizeCarton[Size]=$E10)*(SizeCarton[Width]=$O10),""),"")</f>
        <v>79</v>
      </c>
      <c r="K10" s="46">
        <f>IFERROR(_xlfn._xlws.FILTER(SizeCarton[W (CM)],(SizeCarton[Brand]=$N10)*(SizeCarton[Size]=$E10)*(SizeCarton[Width]=$O10),""),"")</f>
        <v>42</v>
      </c>
      <c r="L10" s="46">
        <f>IFERROR(_xlfn._xlws.FILTER(SizeCarton[H (CM)],(SizeCarton[Brand]=$N10)*(SizeCarton[Size]=$E10)*(SizeCarton[Width]=$O10),""),"")</f>
        <v>51.5</v>
      </c>
      <c r="M10" s="50">
        <f t="shared" si="2"/>
        <v>1.537893</v>
      </c>
      <c r="N10" s="26" t="s">
        <v>6</v>
      </c>
      <c r="O10" s="26" t="s">
        <v>75</v>
      </c>
    </row>
    <row r="11" spans="1:15">
      <c r="A11" s="82"/>
      <c r="B11" s="82"/>
      <c r="C11" s="82"/>
      <c r="D11" s="46">
        <v>6</v>
      </c>
      <c r="E11" s="46">
        <v>10</v>
      </c>
      <c r="F11" s="46">
        <v>54</v>
      </c>
      <c r="G11" s="46">
        <f t="shared" si="0"/>
        <v>9</v>
      </c>
      <c r="H11" s="46">
        <f>IFERROR(_xlfn._xlws.FILTER(SizeCarton[G.W./CTN],(SizeCarton[Brand]=$N11)*(SizeCarton[Size]=$E11)*(SizeCarton[Width]=$O11),""),"")</f>
        <v>16.899999999999999</v>
      </c>
      <c r="I11" s="46">
        <f t="shared" si="1"/>
        <v>152.1</v>
      </c>
      <c r="J11" s="46">
        <f>IFERROR(_xlfn._xlws.FILTER(SizeCarton[L (CM)],(SizeCarton[Brand]=$N11)*(SizeCarton[Size]=$E11)*(SizeCarton[Width]=$O11),""),"")</f>
        <v>79</v>
      </c>
      <c r="K11" s="46">
        <f>IFERROR(_xlfn._xlws.FILTER(SizeCarton[W (CM)],(SizeCarton[Brand]=$N11)*(SizeCarton[Size]=$E11)*(SizeCarton[Width]=$O11),""),"")</f>
        <v>42</v>
      </c>
      <c r="L11" s="46">
        <f>IFERROR(_xlfn._xlws.FILTER(SizeCarton[H (CM)],(SizeCarton[Brand]=$N11)*(SizeCarton[Size]=$E11)*(SizeCarton[Width]=$O11),""),"")</f>
        <v>51.5</v>
      </c>
      <c r="M11" s="50">
        <f t="shared" si="2"/>
        <v>1.537893</v>
      </c>
      <c r="N11" s="26" t="s">
        <v>6</v>
      </c>
      <c r="O11" s="26" t="s">
        <v>75</v>
      </c>
    </row>
    <row r="12" spans="1:15">
      <c r="A12" s="82"/>
      <c r="B12" s="82"/>
      <c r="C12" s="82"/>
      <c r="D12" s="46">
        <v>7</v>
      </c>
      <c r="E12" s="46">
        <v>10</v>
      </c>
      <c r="F12" s="46">
        <v>54</v>
      </c>
      <c r="G12" s="46">
        <f t="shared" si="0"/>
        <v>9</v>
      </c>
      <c r="H12" s="46">
        <f>IFERROR(_xlfn._xlws.FILTER(SizeCarton[G.W./CTN],(SizeCarton[Brand]=$N12)*(SizeCarton[Size]=$E12)*(SizeCarton[Width]=$O12),""),"")</f>
        <v>16.899999999999999</v>
      </c>
      <c r="I12" s="46">
        <f t="shared" si="1"/>
        <v>152.1</v>
      </c>
      <c r="J12" s="46">
        <f>IFERROR(_xlfn._xlws.FILTER(SizeCarton[L (CM)],(SizeCarton[Brand]=$N12)*(SizeCarton[Size]=$E12)*(SizeCarton[Width]=$O12),""),"")</f>
        <v>79</v>
      </c>
      <c r="K12" s="46">
        <f>IFERROR(_xlfn._xlws.FILTER(SizeCarton[W (CM)],(SizeCarton[Brand]=$N12)*(SizeCarton[Size]=$E12)*(SizeCarton[Width]=$O12),""),"")</f>
        <v>42</v>
      </c>
      <c r="L12" s="46">
        <f>IFERROR(_xlfn._xlws.FILTER(SizeCarton[H (CM)],(SizeCarton[Brand]=$N12)*(SizeCarton[Size]=$E12)*(SizeCarton[Width]=$O12),""),"")</f>
        <v>51.5</v>
      </c>
      <c r="M12" s="50">
        <f t="shared" si="2"/>
        <v>1.537893</v>
      </c>
      <c r="N12" s="26" t="s">
        <v>6</v>
      </c>
      <c r="O12" s="26" t="s">
        <v>75</v>
      </c>
    </row>
    <row r="13" spans="1:15">
      <c r="A13" s="82"/>
      <c r="B13" s="82"/>
      <c r="C13" s="82"/>
      <c r="D13" s="46">
        <v>8</v>
      </c>
      <c r="E13" s="46">
        <v>10</v>
      </c>
      <c r="F13" s="46">
        <v>54</v>
      </c>
      <c r="G13" s="46">
        <f t="shared" si="0"/>
        <v>9</v>
      </c>
      <c r="H13" s="46">
        <f>IFERROR(_xlfn._xlws.FILTER(SizeCarton[G.W./CTN],(SizeCarton[Brand]=$N13)*(SizeCarton[Size]=$E13)*(SizeCarton[Width]=$O13),""),"")</f>
        <v>16.899999999999999</v>
      </c>
      <c r="I13" s="46">
        <f t="shared" si="1"/>
        <v>152.1</v>
      </c>
      <c r="J13" s="46">
        <f>IFERROR(_xlfn._xlws.FILTER(SizeCarton[L (CM)],(SizeCarton[Brand]=$N13)*(SizeCarton[Size]=$E13)*(SizeCarton[Width]=$O13),""),"")</f>
        <v>79</v>
      </c>
      <c r="K13" s="46">
        <f>IFERROR(_xlfn._xlws.FILTER(SizeCarton[W (CM)],(SizeCarton[Brand]=$N13)*(SizeCarton[Size]=$E13)*(SizeCarton[Width]=$O13),""),"")</f>
        <v>42</v>
      </c>
      <c r="L13" s="46">
        <f>IFERROR(_xlfn._xlws.FILTER(SizeCarton[H (CM)],(SizeCarton[Brand]=$N13)*(SizeCarton[Size]=$E13)*(SizeCarton[Width]=$O13),""),"")</f>
        <v>51.5</v>
      </c>
      <c r="M13" s="50">
        <f t="shared" si="2"/>
        <v>1.537893</v>
      </c>
      <c r="N13" s="26" t="s">
        <v>6</v>
      </c>
      <c r="O13" s="26" t="s">
        <v>75</v>
      </c>
    </row>
    <row r="14" spans="1:15">
      <c r="A14" s="82"/>
      <c r="B14" s="82"/>
      <c r="C14" s="82"/>
      <c r="D14" s="81">
        <v>9</v>
      </c>
      <c r="E14" s="46">
        <v>10</v>
      </c>
      <c r="F14" s="46">
        <v>24</v>
      </c>
      <c r="G14" s="46">
        <f t="shared" si="0"/>
        <v>4</v>
      </c>
      <c r="H14" s="46">
        <f>IFERROR(_xlfn._xlws.FILTER(SizeCarton[G.W./CTN],(SizeCarton[Brand]=$N14)*(SizeCarton[Size]=$E14)*(SizeCarton[Width]=$O14),""),"")</f>
        <v>16.899999999999999</v>
      </c>
      <c r="I14" s="46">
        <f t="shared" si="1"/>
        <v>67.599999999999994</v>
      </c>
      <c r="J14" s="46">
        <f>IFERROR(_xlfn._xlws.FILTER(SizeCarton[L (CM)],(SizeCarton[Brand]=$N14)*(SizeCarton[Size]=$E14)*(SizeCarton[Width]=$O14),""),"")</f>
        <v>79</v>
      </c>
      <c r="K14" s="46">
        <f>IFERROR(_xlfn._xlws.FILTER(SizeCarton[W (CM)],(SizeCarton[Brand]=$N14)*(SizeCarton[Size]=$E14)*(SizeCarton[Width]=$O14),""),"")</f>
        <v>42</v>
      </c>
      <c r="L14" s="46">
        <f>IFERROR(_xlfn._xlws.FILTER(SizeCarton[H (CM)],(SizeCarton[Brand]=$N14)*(SizeCarton[Size]=$E14)*(SizeCarton[Width]=$O14),""),"")</f>
        <v>51.5</v>
      </c>
      <c r="M14" s="50">
        <f t="shared" si="2"/>
        <v>0.683508</v>
      </c>
      <c r="N14" s="26" t="s">
        <v>6</v>
      </c>
      <c r="O14" s="26" t="s">
        <v>75</v>
      </c>
    </row>
    <row r="15" spans="1:15">
      <c r="A15" s="82"/>
      <c r="B15" s="82"/>
      <c r="C15" s="82"/>
      <c r="D15" s="83"/>
      <c r="E15" s="46">
        <v>10.5</v>
      </c>
      <c r="F15" s="46">
        <v>30</v>
      </c>
      <c r="G15" s="46">
        <f t="shared" si="0"/>
        <v>5</v>
      </c>
      <c r="H15" s="46">
        <f>IFERROR(_xlfn._xlws.FILTER(SizeCarton[G.W./CTN],(SizeCarton[Brand]=$N15)*(SizeCarton[Size]=$E15)*(SizeCarton[Width]=$O15),""),"")</f>
        <v>17.8</v>
      </c>
      <c r="I15" s="46">
        <f t="shared" si="1"/>
        <v>89</v>
      </c>
      <c r="J15" s="46">
        <f>IFERROR(_xlfn._xlws.FILTER(SizeCarton[L (CM)],(SizeCarton[Brand]=$N15)*(SizeCarton[Size]=$E15)*(SizeCarton[Width]=$O15),""),"")</f>
        <v>85</v>
      </c>
      <c r="K15" s="46">
        <f>IFERROR(_xlfn._xlws.FILTER(SizeCarton[W (CM)],(SizeCarton[Brand]=$N15)*(SizeCarton[Size]=$E15)*(SizeCarton[Width]=$O15),""),"")</f>
        <v>45</v>
      </c>
      <c r="L15" s="46">
        <f>IFERROR(_xlfn._xlws.FILTER(SizeCarton[H (CM)],(SizeCarton[Brand]=$N15)*(SizeCarton[Size]=$E15)*(SizeCarton[Width]=$O15),""),"")</f>
        <v>55.5</v>
      </c>
      <c r="M15" s="50">
        <f t="shared" si="2"/>
        <v>1.0614375</v>
      </c>
      <c r="N15" s="26" t="s">
        <v>6</v>
      </c>
      <c r="O15" s="26" t="s">
        <v>75</v>
      </c>
    </row>
    <row r="16" spans="1:15">
      <c r="A16" s="82"/>
      <c r="B16" s="82"/>
      <c r="C16" s="82"/>
      <c r="D16" s="46">
        <v>10</v>
      </c>
      <c r="E16" s="46">
        <v>10.5</v>
      </c>
      <c r="F16" s="46">
        <v>54</v>
      </c>
      <c r="G16" s="46">
        <f t="shared" si="0"/>
        <v>9</v>
      </c>
      <c r="H16" s="46">
        <f>IFERROR(_xlfn._xlws.FILTER(SizeCarton[G.W./CTN],(SizeCarton[Brand]=$N16)*(SizeCarton[Size]=$E16)*(SizeCarton[Width]=$O16),""),"")</f>
        <v>17.8</v>
      </c>
      <c r="I16" s="46">
        <f t="shared" si="1"/>
        <v>160.20000000000002</v>
      </c>
      <c r="J16" s="46">
        <f>IFERROR(_xlfn._xlws.FILTER(SizeCarton[L (CM)],(SizeCarton[Brand]=$N16)*(SizeCarton[Size]=$E16)*(SizeCarton[Width]=$O16),""),"")</f>
        <v>85</v>
      </c>
      <c r="K16" s="46">
        <f>IFERROR(_xlfn._xlws.FILTER(SizeCarton[W (CM)],(SizeCarton[Brand]=$N16)*(SizeCarton[Size]=$E16)*(SizeCarton[Width]=$O16),""),"")</f>
        <v>45</v>
      </c>
      <c r="L16" s="46">
        <f>IFERROR(_xlfn._xlws.FILTER(SizeCarton[H (CM)],(SizeCarton[Brand]=$N16)*(SizeCarton[Size]=$E16)*(SizeCarton[Width]=$O16),""),"")</f>
        <v>55.5</v>
      </c>
      <c r="M16" s="50">
        <f t="shared" si="2"/>
        <v>1.9105874999999999</v>
      </c>
      <c r="N16" s="26" t="s">
        <v>6</v>
      </c>
      <c r="O16" s="26" t="s">
        <v>75</v>
      </c>
    </row>
    <row r="17" spans="1:15">
      <c r="A17" s="82"/>
      <c r="B17" s="82"/>
      <c r="C17" s="82"/>
      <c r="D17" s="46">
        <v>11</v>
      </c>
      <c r="E17" s="46">
        <v>10.5</v>
      </c>
      <c r="F17" s="46">
        <v>54</v>
      </c>
      <c r="G17" s="46">
        <f t="shared" si="0"/>
        <v>9</v>
      </c>
      <c r="H17" s="46">
        <f>IFERROR(_xlfn._xlws.FILTER(SizeCarton[G.W./CTN],(SizeCarton[Brand]=$N17)*(SizeCarton[Size]=$E17)*(SizeCarton[Width]=$O17),""),"")</f>
        <v>17.8</v>
      </c>
      <c r="I17" s="46">
        <f t="shared" si="1"/>
        <v>160.20000000000002</v>
      </c>
      <c r="J17" s="46">
        <f>IFERROR(_xlfn._xlws.FILTER(SizeCarton[L (CM)],(SizeCarton[Brand]=$N17)*(SizeCarton[Size]=$E17)*(SizeCarton[Width]=$O17),""),"")</f>
        <v>85</v>
      </c>
      <c r="K17" s="46">
        <f>IFERROR(_xlfn._xlws.FILTER(SizeCarton[W (CM)],(SizeCarton[Brand]=$N17)*(SizeCarton[Size]=$E17)*(SizeCarton[Width]=$O17),""),"")</f>
        <v>45</v>
      </c>
      <c r="L17" s="46">
        <f>IFERROR(_xlfn._xlws.FILTER(SizeCarton[H (CM)],(SizeCarton[Brand]=$N17)*(SizeCarton[Size]=$E17)*(SizeCarton[Width]=$O17),""),"")</f>
        <v>55.5</v>
      </c>
      <c r="M17" s="50">
        <f t="shared" si="2"/>
        <v>1.9105874999999999</v>
      </c>
      <c r="N17" s="26" t="s">
        <v>6</v>
      </c>
      <c r="O17" s="26" t="s">
        <v>75</v>
      </c>
    </row>
    <row r="18" spans="1:15">
      <c r="A18" s="82"/>
      <c r="B18" s="82"/>
      <c r="C18" s="82"/>
      <c r="D18" s="81">
        <v>12</v>
      </c>
      <c r="E18" s="46">
        <v>10.5</v>
      </c>
      <c r="F18" s="46">
        <v>6</v>
      </c>
      <c r="G18" s="46">
        <f t="shared" si="0"/>
        <v>1</v>
      </c>
      <c r="H18" s="46">
        <f>IFERROR(_xlfn._xlws.FILTER(SizeCarton[G.W./CTN],(SizeCarton[Brand]=$N18)*(SizeCarton[Size]=$E18)*(SizeCarton[Width]=$O18),""),"")</f>
        <v>17.8</v>
      </c>
      <c r="I18" s="46">
        <f t="shared" si="1"/>
        <v>17.8</v>
      </c>
      <c r="J18" s="46">
        <f>IFERROR(_xlfn._xlws.FILTER(SizeCarton[L (CM)],(SizeCarton[Brand]=$N18)*(SizeCarton[Size]=$E18)*(SizeCarton[Width]=$O18),""),"")</f>
        <v>85</v>
      </c>
      <c r="K18" s="46">
        <f>IFERROR(_xlfn._xlws.FILTER(SizeCarton[W (CM)],(SizeCarton[Brand]=$N18)*(SizeCarton[Size]=$E18)*(SizeCarton[Width]=$O18),""),"")</f>
        <v>45</v>
      </c>
      <c r="L18" s="46">
        <f>IFERROR(_xlfn._xlws.FILTER(SizeCarton[H (CM)],(SizeCarton[Brand]=$N18)*(SizeCarton[Size]=$E18)*(SizeCarton[Width]=$O18),""),"")</f>
        <v>55.5</v>
      </c>
      <c r="M18" s="50">
        <f t="shared" si="2"/>
        <v>0.21228749999999999</v>
      </c>
      <c r="N18" s="26" t="s">
        <v>6</v>
      </c>
      <c r="O18" s="26" t="s">
        <v>75</v>
      </c>
    </row>
    <row r="19" spans="1:15">
      <c r="A19" s="82"/>
      <c r="B19" s="82"/>
      <c r="C19" s="82"/>
      <c r="D19" s="83"/>
      <c r="E19" s="46">
        <v>11</v>
      </c>
      <c r="F19" s="46">
        <v>48</v>
      </c>
      <c r="G19" s="46">
        <f t="shared" si="0"/>
        <v>8</v>
      </c>
      <c r="H19" s="46">
        <f>IFERROR(_xlfn._xlws.FILTER(SizeCarton[G.W./CTN],(SizeCarton[Brand]=$N19)*(SizeCarton[Size]=$E19)*(SizeCarton[Width]=$O19),""),"")</f>
        <v>18</v>
      </c>
      <c r="I19" s="46">
        <f t="shared" si="1"/>
        <v>144</v>
      </c>
      <c r="J19" s="46">
        <f>IFERROR(_xlfn._xlws.FILTER(SizeCarton[L (CM)],(SizeCarton[Brand]=$N19)*(SizeCarton[Size]=$E19)*(SizeCarton[Width]=$O19),""),"")</f>
        <v>85</v>
      </c>
      <c r="K19" s="46">
        <f>IFERROR(_xlfn._xlws.FILTER(SizeCarton[W (CM)],(SizeCarton[Brand]=$N19)*(SizeCarton[Size]=$E19)*(SizeCarton[Width]=$O19),""),"")</f>
        <v>45</v>
      </c>
      <c r="L19" s="46">
        <f>IFERROR(_xlfn._xlws.FILTER(SizeCarton[H (CM)],(SizeCarton[Brand]=$N19)*(SizeCarton[Size]=$E19)*(SizeCarton[Width]=$O19),""),"")</f>
        <v>55.5</v>
      </c>
      <c r="M19" s="50">
        <f t="shared" si="2"/>
        <v>1.6982999999999999</v>
      </c>
      <c r="N19" s="26" t="s">
        <v>6</v>
      </c>
      <c r="O19" s="26" t="s">
        <v>75</v>
      </c>
    </row>
    <row r="20" spans="1:15">
      <c r="A20" s="82"/>
      <c r="B20" s="82"/>
      <c r="C20" s="82"/>
      <c r="D20" s="46">
        <v>13</v>
      </c>
      <c r="E20" s="46">
        <v>11</v>
      </c>
      <c r="F20" s="46">
        <v>54</v>
      </c>
      <c r="G20" s="46">
        <f t="shared" si="0"/>
        <v>9</v>
      </c>
      <c r="H20" s="46">
        <f>IFERROR(_xlfn._xlws.FILTER(SizeCarton[G.W./CTN],(SizeCarton[Brand]=$N20)*(SizeCarton[Size]=$E20)*(SizeCarton[Width]=$O20),""),"")</f>
        <v>18</v>
      </c>
      <c r="I20" s="46">
        <f t="shared" si="1"/>
        <v>162</v>
      </c>
      <c r="J20" s="46">
        <f>IFERROR(_xlfn._xlws.FILTER(SizeCarton[L (CM)],(SizeCarton[Brand]=$N20)*(SizeCarton[Size]=$E20)*(SizeCarton[Width]=$O20),""),"")</f>
        <v>85</v>
      </c>
      <c r="K20" s="46">
        <f>IFERROR(_xlfn._xlws.FILTER(SizeCarton[W (CM)],(SizeCarton[Brand]=$N20)*(SizeCarton[Size]=$E20)*(SizeCarton[Width]=$O20),""),"")</f>
        <v>45</v>
      </c>
      <c r="L20" s="46">
        <f>IFERROR(_xlfn._xlws.FILTER(SizeCarton[H (CM)],(SizeCarton[Brand]=$N20)*(SizeCarton[Size]=$E20)*(SizeCarton[Width]=$O20),""),"")</f>
        <v>55.5</v>
      </c>
      <c r="M20" s="50">
        <f t="shared" si="2"/>
        <v>1.9105874999999999</v>
      </c>
      <c r="N20" s="26" t="s">
        <v>6</v>
      </c>
      <c r="O20" s="26" t="s">
        <v>75</v>
      </c>
    </row>
    <row r="21" spans="1:15">
      <c r="A21" s="82"/>
      <c r="B21" s="82"/>
      <c r="C21" s="82"/>
      <c r="D21" s="46">
        <v>14</v>
      </c>
      <c r="E21" s="46">
        <v>11</v>
      </c>
      <c r="F21" s="46">
        <v>54</v>
      </c>
      <c r="G21" s="46">
        <f t="shared" si="0"/>
        <v>9</v>
      </c>
      <c r="H21" s="46">
        <f>IFERROR(_xlfn._xlws.FILTER(SizeCarton[G.W./CTN],(SizeCarton[Brand]=$N21)*(SizeCarton[Size]=$E21)*(SizeCarton[Width]=$O21),""),"")</f>
        <v>18</v>
      </c>
      <c r="I21" s="46">
        <f t="shared" si="1"/>
        <v>162</v>
      </c>
      <c r="J21" s="46">
        <f>IFERROR(_xlfn._xlws.FILTER(SizeCarton[L (CM)],(SizeCarton[Brand]=$N21)*(SizeCarton[Size]=$E21)*(SizeCarton[Width]=$O21),""),"")</f>
        <v>85</v>
      </c>
      <c r="K21" s="46">
        <f>IFERROR(_xlfn._xlws.FILTER(SizeCarton[W (CM)],(SizeCarton[Brand]=$N21)*(SizeCarton[Size]=$E21)*(SizeCarton[Width]=$O21),""),"")</f>
        <v>45</v>
      </c>
      <c r="L21" s="46">
        <f>IFERROR(_xlfn._xlws.FILTER(SizeCarton[H (CM)],(SizeCarton[Brand]=$N21)*(SizeCarton[Size]=$E21)*(SizeCarton[Width]=$O21),""),"")</f>
        <v>55.5</v>
      </c>
      <c r="M21" s="50">
        <f t="shared" si="2"/>
        <v>1.9105874999999999</v>
      </c>
      <c r="N21" s="26" t="s">
        <v>6</v>
      </c>
      <c r="O21" s="26" t="s">
        <v>75</v>
      </c>
    </row>
    <row r="22" spans="1:15">
      <c r="A22" s="82"/>
      <c r="B22" s="82"/>
      <c r="C22" s="82"/>
      <c r="D22" s="81">
        <v>15</v>
      </c>
      <c r="E22" s="46">
        <v>11</v>
      </c>
      <c r="F22" s="46">
        <v>48</v>
      </c>
      <c r="G22" s="46">
        <f t="shared" si="0"/>
        <v>8</v>
      </c>
      <c r="H22" s="46">
        <f>IFERROR(_xlfn._xlws.FILTER(SizeCarton[G.W./CTN],(SizeCarton[Brand]=$N22)*(SizeCarton[Size]=$E22)*(SizeCarton[Width]=$O22),""),"")</f>
        <v>18</v>
      </c>
      <c r="I22" s="46">
        <f t="shared" si="1"/>
        <v>144</v>
      </c>
      <c r="J22" s="46">
        <f>IFERROR(_xlfn._xlws.FILTER(SizeCarton[L (CM)],(SizeCarton[Brand]=$N22)*(SizeCarton[Size]=$E22)*(SizeCarton[Width]=$O22),""),"")</f>
        <v>85</v>
      </c>
      <c r="K22" s="46">
        <f>IFERROR(_xlfn._xlws.FILTER(SizeCarton[W (CM)],(SizeCarton[Brand]=$N22)*(SizeCarton[Size]=$E22)*(SizeCarton[Width]=$O22),""),"")</f>
        <v>45</v>
      </c>
      <c r="L22" s="46">
        <f>IFERROR(_xlfn._xlws.FILTER(SizeCarton[H (CM)],(SizeCarton[Brand]=$N22)*(SizeCarton[Size]=$E22)*(SizeCarton[Width]=$O22),""),"")</f>
        <v>55.5</v>
      </c>
      <c r="M22" s="50">
        <f t="shared" si="2"/>
        <v>1.6982999999999999</v>
      </c>
      <c r="N22" s="26" t="s">
        <v>6</v>
      </c>
      <c r="O22" s="26" t="s">
        <v>75</v>
      </c>
    </row>
    <row r="23" spans="1:15">
      <c r="A23" s="82"/>
      <c r="B23" s="82"/>
      <c r="C23" s="82"/>
      <c r="D23" s="83"/>
      <c r="E23" s="46">
        <v>11.5</v>
      </c>
      <c r="F23" s="46">
        <v>6</v>
      </c>
      <c r="G23" s="46">
        <f t="shared" si="0"/>
        <v>1</v>
      </c>
      <c r="H23" s="46">
        <f>IFERROR(_xlfn._xlws.FILTER(SizeCarton[G.W./CTN],(SizeCarton[Brand]=$N23)*(SizeCarton[Size]=$E23)*(SizeCarton[Width]=$O23),""),"")</f>
        <v>18.3</v>
      </c>
      <c r="I23" s="46">
        <f t="shared" si="1"/>
        <v>18.3</v>
      </c>
      <c r="J23" s="46">
        <f>IFERROR(_xlfn._xlws.FILTER(SizeCarton[L (CM)],(SizeCarton[Brand]=$N23)*(SizeCarton[Size]=$E23)*(SizeCarton[Width]=$O23),""),"")</f>
        <v>85</v>
      </c>
      <c r="K23" s="46">
        <f>IFERROR(_xlfn._xlws.FILTER(SizeCarton[W (CM)],(SizeCarton[Brand]=$N23)*(SizeCarton[Size]=$E23)*(SizeCarton[Width]=$O23),""),"")</f>
        <v>45</v>
      </c>
      <c r="L23" s="46">
        <f>IFERROR(_xlfn._xlws.FILTER(SizeCarton[H (CM)],(SizeCarton[Brand]=$N23)*(SizeCarton[Size]=$E23)*(SizeCarton[Width]=$O23),""),"")</f>
        <v>55.5</v>
      </c>
      <c r="M23" s="50">
        <f t="shared" si="2"/>
        <v>0.21228749999999999</v>
      </c>
      <c r="N23" s="26" t="s">
        <v>6</v>
      </c>
      <c r="O23" s="26" t="s">
        <v>75</v>
      </c>
    </row>
    <row r="24" spans="1:15">
      <c r="A24" s="82"/>
      <c r="B24" s="82"/>
      <c r="C24" s="82"/>
      <c r="D24" s="81">
        <v>16</v>
      </c>
      <c r="E24" s="46">
        <v>11.5</v>
      </c>
      <c r="F24" s="46">
        <v>42</v>
      </c>
      <c r="G24" s="46">
        <f t="shared" si="0"/>
        <v>7</v>
      </c>
      <c r="H24" s="46">
        <f>IFERROR(_xlfn._xlws.FILTER(SizeCarton[G.W./CTN],(SizeCarton[Brand]=$N24)*(SizeCarton[Size]=$E24)*(SizeCarton[Width]=$O24),""),"")</f>
        <v>18.3</v>
      </c>
      <c r="I24" s="46">
        <f t="shared" si="1"/>
        <v>128.1</v>
      </c>
      <c r="J24" s="46">
        <f>IFERROR(_xlfn._xlws.FILTER(SizeCarton[L (CM)],(SizeCarton[Brand]=$N24)*(SizeCarton[Size]=$E24)*(SizeCarton[Width]=$O24),""),"")</f>
        <v>85</v>
      </c>
      <c r="K24" s="46">
        <f>IFERROR(_xlfn._xlws.FILTER(SizeCarton[W (CM)],(SizeCarton[Brand]=$N24)*(SizeCarton[Size]=$E24)*(SizeCarton[Width]=$O24),""),"")</f>
        <v>45</v>
      </c>
      <c r="L24" s="46">
        <f>IFERROR(_xlfn._xlws.FILTER(SizeCarton[H (CM)],(SizeCarton[Brand]=$N24)*(SizeCarton[Size]=$E24)*(SizeCarton[Width]=$O24),""),"")</f>
        <v>55.5</v>
      </c>
      <c r="M24" s="50">
        <f t="shared" si="2"/>
        <v>1.4860125</v>
      </c>
      <c r="N24" s="26" t="s">
        <v>6</v>
      </c>
      <c r="O24" s="26" t="s">
        <v>75</v>
      </c>
    </row>
    <row r="25" spans="1:15">
      <c r="A25" s="82"/>
      <c r="B25" s="82"/>
      <c r="C25" s="82"/>
      <c r="D25" s="83"/>
      <c r="E25" s="46">
        <v>12</v>
      </c>
      <c r="F25" s="46">
        <v>12</v>
      </c>
      <c r="G25" s="46">
        <f t="shared" si="0"/>
        <v>2</v>
      </c>
      <c r="H25" s="46">
        <f>IFERROR(_xlfn._xlws.FILTER(SizeCarton[G.W./CTN],(SizeCarton[Brand]=$N25)*(SizeCarton[Size]=$E25)*(SizeCarton[Width]=$O25),""),"")</f>
        <v>18.7</v>
      </c>
      <c r="I25" s="46">
        <f t="shared" si="1"/>
        <v>37.4</v>
      </c>
      <c r="J25" s="46">
        <f>IFERROR(_xlfn._xlws.FILTER(SizeCarton[L (CM)],(SizeCarton[Brand]=$N25)*(SizeCarton[Size]=$E25)*(SizeCarton[Width]=$O25),""),"")</f>
        <v>85</v>
      </c>
      <c r="K25" s="46">
        <f>IFERROR(_xlfn._xlws.FILTER(SizeCarton[W (CM)],(SizeCarton[Brand]=$N25)*(SizeCarton[Size]=$E25)*(SizeCarton[Width]=$O25),""),"")</f>
        <v>45</v>
      </c>
      <c r="L25" s="46">
        <f>IFERROR(_xlfn._xlws.FILTER(SizeCarton[H (CM)],(SizeCarton[Brand]=$N25)*(SizeCarton[Size]=$E25)*(SizeCarton[Width]=$O25),""),"")</f>
        <v>55.5</v>
      </c>
      <c r="M25" s="50">
        <f t="shared" si="2"/>
        <v>0.42457499999999998</v>
      </c>
      <c r="N25" s="26" t="s">
        <v>6</v>
      </c>
      <c r="O25" s="26" t="s">
        <v>75</v>
      </c>
    </row>
    <row r="26" spans="1:15">
      <c r="A26" s="82"/>
      <c r="B26" s="82"/>
      <c r="C26" s="82"/>
      <c r="D26" s="46">
        <v>17</v>
      </c>
      <c r="E26" s="46">
        <v>12</v>
      </c>
      <c r="F26" s="46">
        <v>54</v>
      </c>
      <c r="G26" s="46">
        <f t="shared" si="0"/>
        <v>9</v>
      </c>
      <c r="H26" s="46">
        <f>IFERROR(_xlfn._xlws.FILTER(SizeCarton[G.W./CTN],(SizeCarton[Brand]=$N26)*(SizeCarton[Size]=$E26)*(SizeCarton[Width]=$O26),""),"")</f>
        <v>18.7</v>
      </c>
      <c r="I26" s="46">
        <f t="shared" si="1"/>
        <v>168.29999999999998</v>
      </c>
      <c r="J26" s="46">
        <f>IFERROR(_xlfn._xlws.FILTER(SizeCarton[L (CM)],(SizeCarton[Brand]=$N26)*(SizeCarton[Size]=$E26)*(SizeCarton[Width]=$O26),""),"")</f>
        <v>85</v>
      </c>
      <c r="K26" s="46">
        <f>IFERROR(_xlfn._xlws.FILTER(SizeCarton[W (CM)],(SizeCarton[Brand]=$N26)*(SizeCarton[Size]=$E26)*(SizeCarton[Width]=$O26),""),"")</f>
        <v>45</v>
      </c>
      <c r="L26" s="46">
        <f>IFERROR(_xlfn._xlws.FILTER(SizeCarton[H (CM)],(SizeCarton[Brand]=$N26)*(SizeCarton[Size]=$E26)*(SizeCarton[Width]=$O26),""),"")</f>
        <v>55.5</v>
      </c>
      <c r="M26" s="50">
        <f t="shared" si="2"/>
        <v>1.9105874999999999</v>
      </c>
      <c r="N26" s="26" t="s">
        <v>6</v>
      </c>
      <c r="O26" s="26" t="s">
        <v>75</v>
      </c>
    </row>
    <row r="27" spans="1:15">
      <c r="A27" s="82"/>
      <c r="B27" s="82"/>
      <c r="C27" s="82"/>
      <c r="D27" s="46">
        <v>18</v>
      </c>
      <c r="E27" s="46">
        <v>12</v>
      </c>
      <c r="F27" s="46">
        <v>54</v>
      </c>
      <c r="G27" s="46">
        <f t="shared" si="0"/>
        <v>9</v>
      </c>
      <c r="H27" s="46">
        <f>IFERROR(_xlfn._xlws.FILTER(SizeCarton[G.W./CTN],(SizeCarton[Brand]=$N27)*(SizeCarton[Size]=$E27)*(SizeCarton[Width]=$O27),""),"")</f>
        <v>18.7</v>
      </c>
      <c r="I27" s="46">
        <f t="shared" si="1"/>
        <v>168.29999999999998</v>
      </c>
      <c r="J27" s="46">
        <f>IFERROR(_xlfn._xlws.FILTER(SizeCarton[L (CM)],(SizeCarton[Brand]=$N27)*(SizeCarton[Size]=$E27)*(SizeCarton[Width]=$O27),""),"")</f>
        <v>85</v>
      </c>
      <c r="K27" s="46">
        <f>IFERROR(_xlfn._xlws.FILTER(SizeCarton[W (CM)],(SizeCarton[Brand]=$N27)*(SizeCarton[Size]=$E27)*(SizeCarton[Width]=$O27),""),"")</f>
        <v>45</v>
      </c>
      <c r="L27" s="46">
        <f>IFERROR(_xlfn._xlws.FILTER(SizeCarton[H (CM)],(SizeCarton[Brand]=$N27)*(SizeCarton[Size]=$E27)*(SizeCarton[Width]=$O27),""),"")</f>
        <v>55.5</v>
      </c>
      <c r="M27" s="50">
        <f t="shared" si="2"/>
        <v>1.9105874999999999</v>
      </c>
      <c r="N27" s="26" t="s">
        <v>6</v>
      </c>
      <c r="O27" s="26" t="s">
        <v>75</v>
      </c>
    </row>
    <row r="28" spans="1:15">
      <c r="A28" s="83"/>
      <c r="B28" s="83"/>
      <c r="C28" s="83"/>
      <c r="D28" s="46">
        <v>19</v>
      </c>
      <c r="E28" s="46">
        <v>12</v>
      </c>
      <c r="F28" s="46">
        <v>24</v>
      </c>
      <c r="G28" s="46">
        <f t="shared" si="0"/>
        <v>4</v>
      </c>
      <c r="H28" s="46">
        <f>IFERROR(_xlfn._xlws.FILTER(SizeCarton[G.W./CTN],(SizeCarton[Brand]=$N28)*(SizeCarton[Size]=$E28)*(SizeCarton[Width]=$O28),""),"")</f>
        <v>18.7</v>
      </c>
      <c r="I28" s="46">
        <f t="shared" si="1"/>
        <v>74.8</v>
      </c>
      <c r="J28" s="46">
        <f>IFERROR(_xlfn._xlws.FILTER(SizeCarton[L (CM)],(SizeCarton[Brand]=$N28)*(SizeCarton[Size]=$E28)*(SizeCarton[Width]=$O28),""),"")</f>
        <v>85</v>
      </c>
      <c r="K28" s="46">
        <f>IFERROR(_xlfn._xlws.FILTER(SizeCarton[W (CM)],(SizeCarton[Brand]=$N28)*(SizeCarton[Size]=$E28)*(SizeCarton[Width]=$O28),""),"")</f>
        <v>45</v>
      </c>
      <c r="L28" s="46">
        <f>IFERROR(_xlfn._xlws.FILTER(SizeCarton[H (CM)],(SizeCarton[Brand]=$N28)*(SizeCarton[Size]=$E28)*(SizeCarton[Width]=$O28),""),"")</f>
        <v>55.5</v>
      </c>
      <c r="M28" s="50">
        <f t="shared" si="2"/>
        <v>0.84914999999999996</v>
      </c>
      <c r="N28" s="26" t="s">
        <v>6</v>
      </c>
      <c r="O28" s="26" t="s">
        <v>75</v>
      </c>
    </row>
    <row r="29" spans="1:15">
      <c r="D29" s="48" t="s">
        <v>102</v>
      </c>
      <c r="E29" s="48"/>
      <c r="F29" s="48">
        <f>SUM(F4:F28)</f>
        <v>996</v>
      </c>
      <c r="G29" s="48">
        <f>SUM(G4:G28)</f>
        <v>166</v>
      </c>
      <c r="H29" s="48">
        <f>SUM(H4:H28)</f>
        <v>438.30000000000007</v>
      </c>
      <c r="I29" s="48">
        <f>SUM(I4:I28)</f>
        <v>2907.9000000000005</v>
      </c>
      <c r="J29" s="48"/>
      <c r="K29" s="48"/>
      <c r="L29" s="48"/>
      <c r="M29" s="51">
        <f>SUM(M4:M28)</f>
        <v>32.09252699999999</v>
      </c>
    </row>
    <row r="31" spans="1:15">
      <c r="I31">
        <f>5*19+I29</f>
        <v>3002.9000000000005</v>
      </c>
    </row>
    <row r="35" spans="3:7" ht="19">
      <c r="C35" s="80" t="s">
        <v>157</v>
      </c>
      <c r="D35" s="79"/>
      <c r="E35" s="79"/>
      <c r="F35" s="79"/>
      <c r="G35" s="79"/>
    </row>
    <row r="36" spans="3:7" ht="60">
      <c r="C36" s="78" t="s">
        <v>27</v>
      </c>
      <c r="D36" s="78" t="s">
        <v>129</v>
      </c>
      <c r="E36" s="78" t="s">
        <v>130</v>
      </c>
      <c r="F36" s="78" t="s">
        <v>131</v>
      </c>
      <c r="G36" s="78" t="s">
        <v>136</v>
      </c>
    </row>
    <row r="37" spans="3:7">
      <c r="C37" s="56" t="s">
        <v>30</v>
      </c>
      <c r="D37" s="56">
        <v>50</v>
      </c>
      <c r="E37" s="56">
        <v>40</v>
      </c>
      <c r="F37" s="77">
        <v>65.826771653543318</v>
      </c>
      <c r="G37" s="77">
        <v>161.19999999999999</v>
      </c>
    </row>
    <row r="38" spans="3:7">
      <c r="C38" s="56" t="s">
        <v>31</v>
      </c>
      <c r="D38" s="56">
        <v>50</v>
      </c>
      <c r="E38" s="56">
        <v>40</v>
      </c>
      <c r="F38" s="77">
        <v>65.826771653543318</v>
      </c>
      <c r="G38" s="77">
        <v>162.6</v>
      </c>
    </row>
    <row r="39" spans="3:7">
      <c r="C39" s="56" t="s">
        <v>32</v>
      </c>
      <c r="D39" s="56">
        <v>50</v>
      </c>
      <c r="E39" s="56">
        <v>40</v>
      </c>
      <c r="F39" s="77">
        <v>65.826771653543318</v>
      </c>
      <c r="G39" s="77">
        <v>166.6</v>
      </c>
    </row>
    <row r="40" spans="3:7">
      <c r="C40" s="56" t="s">
        <v>33</v>
      </c>
      <c r="D40" s="56">
        <v>50</v>
      </c>
      <c r="E40" s="56">
        <v>40</v>
      </c>
      <c r="F40" s="77">
        <v>65.826771653543318</v>
      </c>
      <c r="G40" s="77">
        <v>167.1</v>
      </c>
    </row>
    <row r="41" spans="3:7">
      <c r="C41" s="56" t="s">
        <v>34</v>
      </c>
      <c r="D41" s="56">
        <v>50</v>
      </c>
      <c r="E41" s="56">
        <v>40</v>
      </c>
      <c r="F41" s="77">
        <v>65.826771653543318</v>
      </c>
      <c r="G41" s="77">
        <v>167.1</v>
      </c>
    </row>
    <row r="42" spans="3:7">
      <c r="C42" s="56" t="s">
        <v>35</v>
      </c>
      <c r="D42" s="56">
        <v>50</v>
      </c>
      <c r="E42" s="56">
        <v>40</v>
      </c>
      <c r="F42" s="77">
        <v>65.826771653543318</v>
      </c>
      <c r="G42" s="77">
        <v>167.1</v>
      </c>
    </row>
    <row r="43" spans="3:7">
      <c r="C43" s="56" t="s">
        <v>36</v>
      </c>
      <c r="D43" s="56">
        <v>50</v>
      </c>
      <c r="E43" s="56">
        <v>40</v>
      </c>
      <c r="F43" s="77">
        <v>65.826771653543318</v>
      </c>
      <c r="G43" s="77">
        <v>167.1</v>
      </c>
    </row>
    <row r="44" spans="3:7">
      <c r="C44" s="56" t="s">
        <v>37</v>
      </c>
      <c r="D44" s="56">
        <v>50</v>
      </c>
      <c r="E44" s="56">
        <v>40</v>
      </c>
      <c r="F44" s="77">
        <v>65.826771653543318</v>
      </c>
      <c r="G44" s="77">
        <v>167.1</v>
      </c>
    </row>
    <row r="45" spans="3:7">
      <c r="C45" s="56" t="s">
        <v>38</v>
      </c>
      <c r="D45" s="56">
        <v>50</v>
      </c>
      <c r="E45" s="56">
        <v>40</v>
      </c>
      <c r="F45" s="77">
        <v>70.551181102362207</v>
      </c>
      <c r="G45" s="77">
        <v>171.6</v>
      </c>
    </row>
    <row r="46" spans="3:7">
      <c r="C46" s="56" t="s">
        <v>39</v>
      </c>
      <c r="D46" s="56">
        <v>50</v>
      </c>
      <c r="E46" s="56">
        <v>40</v>
      </c>
      <c r="F46" s="77">
        <v>70.551181102362207</v>
      </c>
      <c r="G46" s="77">
        <v>175.20000000000002</v>
      </c>
    </row>
    <row r="47" spans="3:7">
      <c r="C47" s="56" t="s">
        <v>40</v>
      </c>
      <c r="D47" s="56">
        <v>50</v>
      </c>
      <c r="E47" s="56">
        <v>40</v>
      </c>
      <c r="F47" s="77">
        <v>70.551181102362207</v>
      </c>
      <c r="G47" s="77">
        <v>175.20000000000002</v>
      </c>
    </row>
    <row r="48" spans="3:7">
      <c r="C48" s="56" t="s">
        <v>41</v>
      </c>
      <c r="D48" s="56">
        <v>50</v>
      </c>
      <c r="E48" s="56">
        <v>40</v>
      </c>
      <c r="F48" s="77">
        <v>70.551181102362207</v>
      </c>
      <c r="G48" s="77">
        <v>176.8</v>
      </c>
    </row>
    <row r="49" spans="3:8">
      <c r="C49" s="56" t="s">
        <v>42</v>
      </c>
      <c r="D49" s="56">
        <v>50</v>
      </c>
      <c r="E49" s="56">
        <v>40</v>
      </c>
      <c r="F49" s="77">
        <v>70.551181102362207</v>
      </c>
      <c r="G49" s="77">
        <v>177</v>
      </c>
    </row>
    <row r="50" spans="3:8">
      <c r="C50" s="56" t="s">
        <v>43</v>
      </c>
      <c r="D50" s="56">
        <v>50</v>
      </c>
      <c r="E50" s="56">
        <v>40</v>
      </c>
      <c r="F50" s="77">
        <v>70.551181102362207</v>
      </c>
      <c r="G50" s="77">
        <v>177</v>
      </c>
    </row>
    <row r="51" spans="3:8">
      <c r="C51" s="56" t="s">
        <v>44</v>
      </c>
      <c r="D51" s="56">
        <v>50</v>
      </c>
      <c r="E51" s="56">
        <v>40</v>
      </c>
      <c r="F51" s="77">
        <v>70.551181102362207</v>
      </c>
      <c r="G51" s="77">
        <v>177.3</v>
      </c>
    </row>
    <row r="52" spans="3:8">
      <c r="C52" s="56" t="s">
        <v>45</v>
      </c>
      <c r="D52" s="56">
        <v>50</v>
      </c>
      <c r="E52" s="56">
        <v>40</v>
      </c>
      <c r="F52" s="77">
        <v>70.551181102362207</v>
      </c>
      <c r="G52" s="77">
        <v>180.5</v>
      </c>
    </row>
    <row r="53" spans="3:8">
      <c r="C53" s="56" t="s">
        <v>46</v>
      </c>
      <c r="D53" s="56">
        <v>50</v>
      </c>
      <c r="E53" s="56">
        <v>40</v>
      </c>
      <c r="F53" s="77">
        <v>70.551181102362207</v>
      </c>
      <c r="G53" s="77">
        <v>183.29999999999998</v>
      </c>
    </row>
    <row r="54" spans="3:8">
      <c r="C54" s="56" t="s">
        <v>47</v>
      </c>
      <c r="D54" s="56">
        <v>50</v>
      </c>
      <c r="E54" s="56">
        <v>40</v>
      </c>
      <c r="F54" s="77">
        <v>70.551181102362207</v>
      </c>
      <c r="G54" s="77">
        <v>183.29999999999998</v>
      </c>
    </row>
    <row r="55" spans="3:8">
      <c r="C55" s="56" t="s">
        <v>48</v>
      </c>
      <c r="D55" s="56">
        <v>50</v>
      </c>
      <c r="E55" s="56">
        <v>40</v>
      </c>
      <c r="F55" s="77">
        <v>48.700787401574807</v>
      </c>
      <c r="G55" s="77">
        <v>89.8</v>
      </c>
    </row>
    <row r="56" spans="3:8">
      <c r="C56" s="56" t="s">
        <v>158</v>
      </c>
      <c r="D56" s="56" t="s">
        <v>158</v>
      </c>
      <c r="E56" s="56" t="s">
        <v>158</v>
      </c>
      <c r="F56" s="77" t="s">
        <v>158</v>
      </c>
      <c r="G56" s="77" t="s">
        <v>158</v>
      </c>
    </row>
    <row r="57" spans="3:8">
      <c r="C57" s="56" t="s">
        <v>158</v>
      </c>
      <c r="D57" s="56" t="s">
        <v>158</v>
      </c>
      <c r="E57" s="56" t="s">
        <v>158</v>
      </c>
      <c r="F57" s="77" t="s">
        <v>158</v>
      </c>
      <c r="G57" s="77" t="s">
        <v>158</v>
      </c>
    </row>
    <row r="58" spans="3:8">
      <c r="C58" s="56" t="s">
        <v>158</v>
      </c>
      <c r="D58" s="56" t="s">
        <v>158</v>
      </c>
      <c r="E58" s="56" t="s">
        <v>158</v>
      </c>
      <c r="F58" s="77" t="s">
        <v>158</v>
      </c>
      <c r="G58" s="77" t="s">
        <v>158</v>
      </c>
    </row>
    <row r="59" spans="3:8">
      <c r="F59" s="62" t="s">
        <v>144</v>
      </c>
      <c r="G59" s="66">
        <v>3192.9000000000005</v>
      </c>
      <c r="H59" s="4" t="s">
        <v>155</v>
      </c>
    </row>
    <row r="60" spans="3:8">
      <c r="F60" s="62" t="s">
        <v>154</v>
      </c>
      <c r="G60" s="66">
        <v>7039.1395693009572</v>
      </c>
      <c r="H60" s="4" t="s">
        <v>156</v>
      </c>
    </row>
  </sheetData>
  <mergeCells count="9">
    <mergeCell ref="A4:A28"/>
    <mergeCell ref="B4:B28"/>
    <mergeCell ref="C4:C28"/>
    <mergeCell ref="D4:D5"/>
    <mergeCell ref="D7:D8"/>
    <mergeCell ref="D14:D15"/>
    <mergeCell ref="D18:D19"/>
    <mergeCell ref="D22:D23"/>
    <mergeCell ref="D24:D25"/>
  </mergeCells>
  <pageMargins left="0.7" right="0.7" top="0.75" bottom="0.75" header="0.3" footer="0.3"/>
  <pageSetup scale="51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D6302-70C0-5E4E-8EC9-72D51AE56283}">
  <sheetPr codeName="Sheet5"/>
  <dimension ref="A1:N184"/>
  <sheetViews>
    <sheetView zoomScale="110" zoomScaleNormal="110" workbookViewId="0">
      <pane ySplit="4" topLeftCell="A129" activePane="bottomLeft" state="frozen"/>
      <selection pane="bottomLeft" activeCell="M118" sqref="M118"/>
    </sheetView>
  </sheetViews>
  <sheetFormatPr baseColWidth="10" defaultRowHeight="16"/>
  <cols>
    <col min="1" max="4" width="12.1640625" customWidth="1"/>
    <col min="5" max="5" width="13.1640625" customWidth="1"/>
    <col min="6" max="11" width="12.1640625" customWidth="1"/>
    <col min="12" max="12" width="20.33203125" style="3" customWidth="1"/>
    <col min="13" max="13" width="22.33203125" customWidth="1"/>
  </cols>
  <sheetData>
    <row r="1" spans="1:14">
      <c r="A1" s="73"/>
      <c r="B1" s="4" t="s">
        <v>145</v>
      </c>
    </row>
    <row r="4" spans="1:14" ht="23" customHeight="1">
      <c r="A4" s="68" t="s">
        <v>2</v>
      </c>
      <c r="B4" s="68" t="s">
        <v>1</v>
      </c>
      <c r="C4" s="68" t="s">
        <v>74</v>
      </c>
      <c r="D4" s="68" t="s">
        <v>0</v>
      </c>
      <c r="E4" s="68" t="s">
        <v>7</v>
      </c>
      <c r="F4" s="69" t="s">
        <v>10</v>
      </c>
      <c r="G4" s="69" t="s">
        <v>11</v>
      </c>
      <c r="H4" s="69" t="s">
        <v>12</v>
      </c>
      <c r="I4" s="70" t="s">
        <v>5</v>
      </c>
      <c r="J4" s="70" t="s">
        <v>4</v>
      </c>
      <c r="K4" s="70" t="s">
        <v>3</v>
      </c>
      <c r="L4" s="68" t="s">
        <v>146</v>
      </c>
      <c r="M4" s="68" t="s">
        <v>147</v>
      </c>
      <c r="N4" s="3"/>
    </row>
    <row r="5" spans="1:14">
      <c r="A5" t="s">
        <v>14</v>
      </c>
      <c r="B5">
        <v>7</v>
      </c>
      <c r="C5" s="3"/>
      <c r="D5">
        <v>10.6</v>
      </c>
      <c r="E5" t="s">
        <v>53</v>
      </c>
      <c r="F5">
        <f>VLOOKUP(SizeCarton[[#This Row],[Carton ID]],Carton[#All],2,0)</f>
        <v>63.5</v>
      </c>
      <c r="G5">
        <f>VLOOKUP(SizeCarton[[#This Row],[Carton ID]],Carton[#All],3,0)</f>
        <v>37.5</v>
      </c>
      <c r="H5">
        <f>VLOOKUP(SizeCarton[[#This Row],[Carton ID]],Carton[#All],4,0)</f>
        <v>34.5</v>
      </c>
      <c r="I5" s="20">
        <f>VLOOKUP(SizeCarton[[#This Row],[Carton ID]],Carton[#All],5,0)</f>
        <v>25</v>
      </c>
      <c r="J5" s="20">
        <f>VLOOKUP(SizeCarton[[#This Row],[Carton ID]],Carton[#All],6,0)</f>
        <v>14.763779527559054</v>
      </c>
      <c r="K5" s="20">
        <f>VLOOKUP(SizeCarton[[#This Row],[Carton ID]],Carton[#All],7,0)</f>
        <v>13.58267716535433</v>
      </c>
    </row>
    <row r="6" spans="1:14">
      <c r="A6" t="s">
        <v>14</v>
      </c>
      <c r="B6">
        <v>7.5</v>
      </c>
      <c r="C6" s="3"/>
      <c r="D6">
        <v>10.6</v>
      </c>
      <c r="E6" t="s">
        <v>53</v>
      </c>
      <c r="F6">
        <f>VLOOKUP(SizeCarton[[#This Row],[Carton ID]],Carton[#All],2,0)</f>
        <v>63.5</v>
      </c>
      <c r="G6">
        <f>VLOOKUP(SizeCarton[[#This Row],[Carton ID]],Carton[#All],3,0)</f>
        <v>37.5</v>
      </c>
      <c r="H6">
        <f>VLOOKUP(SizeCarton[[#This Row],[Carton ID]],Carton[#All],4,0)</f>
        <v>34.5</v>
      </c>
      <c r="I6" s="20">
        <f>VLOOKUP(SizeCarton[[#This Row],[Carton ID]],Carton[#All],5,0)</f>
        <v>25</v>
      </c>
      <c r="J6" s="20">
        <f>VLOOKUP(SizeCarton[[#This Row],[Carton ID]],Carton[#All],6,0)</f>
        <v>14.763779527559054</v>
      </c>
      <c r="K6" s="20">
        <f>VLOOKUP(SizeCarton[[#This Row],[Carton ID]],Carton[#All],7,0)</f>
        <v>13.58267716535433</v>
      </c>
    </row>
    <row r="7" spans="1:14">
      <c r="A7" t="s">
        <v>14</v>
      </c>
      <c r="B7">
        <v>8</v>
      </c>
      <c r="C7" s="3"/>
      <c r="D7">
        <v>10.7</v>
      </c>
      <c r="E7" t="s">
        <v>53</v>
      </c>
      <c r="F7">
        <f>VLOOKUP(SizeCarton[[#This Row],[Carton ID]],Carton[#All],2,0)</f>
        <v>63.5</v>
      </c>
      <c r="G7">
        <f>VLOOKUP(SizeCarton[[#This Row],[Carton ID]],Carton[#All],3,0)</f>
        <v>37.5</v>
      </c>
      <c r="H7">
        <f>VLOOKUP(SizeCarton[[#This Row],[Carton ID]],Carton[#All],4,0)</f>
        <v>34.5</v>
      </c>
      <c r="I7" s="20">
        <f>VLOOKUP(SizeCarton[[#This Row],[Carton ID]],Carton[#All],5,0)</f>
        <v>25</v>
      </c>
      <c r="J7" s="20">
        <f>VLOOKUP(SizeCarton[[#This Row],[Carton ID]],Carton[#All],6,0)</f>
        <v>14.763779527559054</v>
      </c>
      <c r="K7" s="20">
        <f>VLOOKUP(SizeCarton[[#This Row],[Carton ID]],Carton[#All],7,0)</f>
        <v>13.58267716535433</v>
      </c>
    </row>
    <row r="8" spans="1:14">
      <c r="A8" t="s">
        <v>14</v>
      </c>
      <c r="B8">
        <v>8.5</v>
      </c>
      <c r="C8" s="3"/>
      <c r="D8">
        <v>10.7</v>
      </c>
      <c r="E8" t="s">
        <v>53</v>
      </c>
      <c r="F8">
        <f>VLOOKUP(SizeCarton[[#This Row],[Carton ID]],Carton[#All],2,0)</f>
        <v>63.5</v>
      </c>
      <c r="G8">
        <f>VLOOKUP(SizeCarton[[#This Row],[Carton ID]],Carton[#All],3,0)</f>
        <v>37.5</v>
      </c>
      <c r="H8">
        <f>VLOOKUP(SizeCarton[[#This Row],[Carton ID]],Carton[#All],4,0)</f>
        <v>34.5</v>
      </c>
      <c r="I8" s="20">
        <f>VLOOKUP(SizeCarton[[#This Row],[Carton ID]],Carton[#All],5,0)</f>
        <v>25</v>
      </c>
      <c r="J8" s="20">
        <f>VLOOKUP(SizeCarton[[#This Row],[Carton ID]],Carton[#All],6,0)</f>
        <v>14.763779527559054</v>
      </c>
      <c r="K8" s="20">
        <f>VLOOKUP(SizeCarton[[#This Row],[Carton ID]],Carton[#All],7,0)</f>
        <v>13.58267716535433</v>
      </c>
    </row>
    <row r="9" spans="1:14">
      <c r="A9" t="s">
        <v>14</v>
      </c>
      <c r="B9">
        <v>9</v>
      </c>
      <c r="C9" s="3"/>
      <c r="D9">
        <v>11.8</v>
      </c>
      <c r="E9" t="s">
        <v>54</v>
      </c>
      <c r="F9">
        <f>VLOOKUP(SizeCarton[[#This Row],[Carton ID]],Carton[#All],2,0)</f>
        <v>67.5</v>
      </c>
      <c r="G9">
        <f>VLOOKUP(SizeCarton[[#This Row],[Carton ID]],Carton[#All],3,0)</f>
        <v>42</v>
      </c>
      <c r="H9">
        <f>VLOOKUP(SizeCarton[[#This Row],[Carton ID]],Carton[#All],4,0)</f>
        <v>37.5</v>
      </c>
      <c r="I9" s="20">
        <f>VLOOKUP(SizeCarton[[#This Row],[Carton ID]],Carton[#All],5,0)</f>
        <v>26.5748031496063</v>
      </c>
      <c r="J9" s="20">
        <f>VLOOKUP(SizeCarton[[#This Row],[Carton ID]],Carton[#All],6,0)</f>
        <v>16.535433070866144</v>
      </c>
      <c r="K9" s="20">
        <f>VLOOKUP(SizeCarton[[#This Row],[Carton ID]],Carton[#All],7,0)</f>
        <v>14.763779527559054</v>
      </c>
    </row>
    <row r="10" spans="1:14">
      <c r="A10" t="s">
        <v>14</v>
      </c>
      <c r="B10">
        <v>9.5</v>
      </c>
      <c r="C10" s="3"/>
      <c r="D10">
        <v>11</v>
      </c>
      <c r="E10" t="s">
        <v>54</v>
      </c>
      <c r="F10">
        <f>VLOOKUP(SizeCarton[[#This Row],[Carton ID]],Carton[#All],2,0)</f>
        <v>67.5</v>
      </c>
      <c r="G10">
        <f>VLOOKUP(SizeCarton[[#This Row],[Carton ID]],Carton[#All],3,0)</f>
        <v>42</v>
      </c>
      <c r="H10">
        <f>VLOOKUP(SizeCarton[[#This Row],[Carton ID]],Carton[#All],4,0)</f>
        <v>37.5</v>
      </c>
      <c r="I10" s="20">
        <f>VLOOKUP(SizeCarton[[#This Row],[Carton ID]],Carton[#All],5,0)</f>
        <v>26.5748031496063</v>
      </c>
      <c r="J10" s="20">
        <f>VLOOKUP(SizeCarton[[#This Row],[Carton ID]],Carton[#All],6,0)</f>
        <v>16.535433070866144</v>
      </c>
      <c r="K10" s="20">
        <f>VLOOKUP(SizeCarton[[#This Row],[Carton ID]],Carton[#All],7,0)</f>
        <v>14.763779527559054</v>
      </c>
    </row>
    <row r="11" spans="1:14">
      <c r="A11" t="s">
        <v>14</v>
      </c>
      <c r="B11">
        <v>10</v>
      </c>
      <c r="C11" s="3"/>
      <c r="D11">
        <v>11.7</v>
      </c>
      <c r="E11" t="s">
        <v>54</v>
      </c>
      <c r="F11">
        <f>VLOOKUP(SizeCarton[[#This Row],[Carton ID]],Carton[#All],2,0)</f>
        <v>67.5</v>
      </c>
      <c r="G11">
        <f>VLOOKUP(SizeCarton[[#This Row],[Carton ID]],Carton[#All],3,0)</f>
        <v>42</v>
      </c>
      <c r="H11">
        <f>VLOOKUP(SizeCarton[[#This Row],[Carton ID]],Carton[#All],4,0)</f>
        <v>37.5</v>
      </c>
      <c r="I11" s="20">
        <f>VLOOKUP(SizeCarton[[#This Row],[Carton ID]],Carton[#All],5,0)</f>
        <v>26.5748031496063</v>
      </c>
      <c r="J11" s="20">
        <f>VLOOKUP(SizeCarton[[#This Row],[Carton ID]],Carton[#All],6,0)</f>
        <v>16.535433070866144</v>
      </c>
      <c r="K11" s="20">
        <f>VLOOKUP(SizeCarton[[#This Row],[Carton ID]],Carton[#All],7,0)</f>
        <v>14.763779527559054</v>
      </c>
    </row>
    <row r="12" spans="1:14">
      <c r="A12" t="s">
        <v>14</v>
      </c>
      <c r="B12">
        <v>10.5</v>
      </c>
      <c r="C12" s="3"/>
      <c r="D12">
        <v>12.6</v>
      </c>
      <c r="E12" t="s">
        <v>54</v>
      </c>
      <c r="F12">
        <f>VLOOKUP(SizeCarton[[#This Row],[Carton ID]],Carton[#All],2,0)</f>
        <v>67.5</v>
      </c>
      <c r="G12">
        <f>VLOOKUP(SizeCarton[[#This Row],[Carton ID]],Carton[#All],3,0)</f>
        <v>42</v>
      </c>
      <c r="H12">
        <f>VLOOKUP(SizeCarton[[#This Row],[Carton ID]],Carton[#All],4,0)</f>
        <v>37.5</v>
      </c>
      <c r="I12" s="20">
        <f>VLOOKUP(SizeCarton[[#This Row],[Carton ID]],Carton[#All],5,0)</f>
        <v>26.5748031496063</v>
      </c>
      <c r="J12" s="20">
        <f>VLOOKUP(SizeCarton[[#This Row],[Carton ID]],Carton[#All],6,0)</f>
        <v>16.535433070866144</v>
      </c>
      <c r="K12" s="20">
        <f>VLOOKUP(SizeCarton[[#This Row],[Carton ID]],Carton[#All],7,0)</f>
        <v>14.763779527559054</v>
      </c>
    </row>
    <row r="13" spans="1:14">
      <c r="A13" t="s">
        <v>14</v>
      </c>
      <c r="B13">
        <v>11</v>
      </c>
      <c r="C13" s="3"/>
      <c r="D13">
        <v>12.9</v>
      </c>
      <c r="E13" s="1" t="s">
        <v>54</v>
      </c>
      <c r="F13">
        <f>VLOOKUP(SizeCarton[[#This Row],[Carton ID]],Carton[#All],2,0)</f>
        <v>67.5</v>
      </c>
      <c r="G13">
        <f>VLOOKUP(SizeCarton[[#This Row],[Carton ID]],Carton[#All],3,0)</f>
        <v>42</v>
      </c>
      <c r="H13">
        <f>VLOOKUP(SizeCarton[[#This Row],[Carton ID]],Carton[#All],4,0)</f>
        <v>37.5</v>
      </c>
      <c r="I13" s="20">
        <f>VLOOKUP(SizeCarton[[#This Row],[Carton ID]],Carton[#All],5,0)</f>
        <v>26.5748031496063</v>
      </c>
      <c r="J13" s="20">
        <f>VLOOKUP(SizeCarton[[#This Row],[Carton ID]],Carton[#All],6,0)</f>
        <v>16.535433070866144</v>
      </c>
      <c r="K13" s="20">
        <f>VLOOKUP(SizeCarton[[#This Row],[Carton ID]],Carton[#All],7,0)</f>
        <v>14.763779527559054</v>
      </c>
    </row>
    <row r="14" spans="1:14">
      <c r="A14" t="s">
        <v>14</v>
      </c>
      <c r="B14">
        <v>11.5</v>
      </c>
      <c r="C14" s="3"/>
      <c r="D14">
        <v>12.9</v>
      </c>
      <c r="E14" s="1" t="s">
        <v>54</v>
      </c>
      <c r="F14">
        <f>VLOOKUP(SizeCarton[[#This Row],[Carton ID]],Carton[#All],2,0)</f>
        <v>67.5</v>
      </c>
      <c r="G14">
        <f>VLOOKUP(SizeCarton[[#This Row],[Carton ID]],Carton[#All],3,0)</f>
        <v>42</v>
      </c>
      <c r="H14">
        <f>VLOOKUP(SizeCarton[[#This Row],[Carton ID]],Carton[#All],4,0)</f>
        <v>37.5</v>
      </c>
      <c r="I14" s="20">
        <f>VLOOKUP(SizeCarton[[#This Row],[Carton ID]],Carton[#All],5,0)</f>
        <v>26.5748031496063</v>
      </c>
      <c r="J14" s="20">
        <f>VLOOKUP(SizeCarton[[#This Row],[Carton ID]],Carton[#All],6,0)</f>
        <v>16.535433070866144</v>
      </c>
      <c r="K14" s="20">
        <f>VLOOKUP(SizeCarton[[#This Row],[Carton ID]],Carton[#All],7,0)</f>
        <v>14.763779527559054</v>
      </c>
    </row>
    <row r="15" spans="1:14">
      <c r="A15" t="s">
        <v>14</v>
      </c>
      <c r="B15">
        <v>12</v>
      </c>
      <c r="C15" s="3"/>
      <c r="D15">
        <v>12.6</v>
      </c>
      <c r="E15" s="1" t="s">
        <v>54</v>
      </c>
      <c r="F15">
        <f>VLOOKUP(SizeCarton[[#This Row],[Carton ID]],Carton[#All],2,0)</f>
        <v>67.5</v>
      </c>
      <c r="G15">
        <f>VLOOKUP(SizeCarton[[#This Row],[Carton ID]],Carton[#All],3,0)</f>
        <v>42</v>
      </c>
      <c r="H15">
        <f>VLOOKUP(SizeCarton[[#This Row],[Carton ID]],Carton[#All],4,0)</f>
        <v>37.5</v>
      </c>
      <c r="I15" s="20">
        <f>VLOOKUP(SizeCarton[[#This Row],[Carton ID]],Carton[#All],5,0)</f>
        <v>26.5748031496063</v>
      </c>
      <c r="J15" s="20">
        <f>VLOOKUP(SizeCarton[[#This Row],[Carton ID]],Carton[#All],6,0)</f>
        <v>16.535433070866144</v>
      </c>
      <c r="K15" s="20">
        <f>VLOOKUP(SizeCarton[[#This Row],[Carton ID]],Carton[#All],7,0)</f>
        <v>14.763779527559054</v>
      </c>
    </row>
    <row r="16" spans="1:14">
      <c r="A16" t="s">
        <v>14</v>
      </c>
      <c r="B16">
        <v>13</v>
      </c>
      <c r="C16" s="3"/>
      <c r="D16">
        <v>13.4</v>
      </c>
      <c r="E16" s="1" t="s">
        <v>54</v>
      </c>
      <c r="F16">
        <f>VLOOKUP(SizeCarton[[#This Row],[Carton ID]],Carton[#All],2,0)</f>
        <v>67.5</v>
      </c>
      <c r="G16">
        <f>VLOOKUP(SizeCarton[[#This Row],[Carton ID]],Carton[#All],3,0)</f>
        <v>42</v>
      </c>
      <c r="H16">
        <f>VLOOKUP(SizeCarton[[#This Row],[Carton ID]],Carton[#All],4,0)</f>
        <v>37.5</v>
      </c>
      <c r="I16" s="20">
        <f>VLOOKUP(SizeCarton[[#This Row],[Carton ID]],Carton[#All],5,0)</f>
        <v>26.5748031496063</v>
      </c>
      <c r="J16" s="20">
        <f>VLOOKUP(SizeCarton[[#This Row],[Carton ID]],Carton[#All],6,0)</f>
        <v>16.535433070866144</v>
      </c>
      <c r="K16" s="20">
        <f>VLOOKUP(SizeCarton[[#This Row],[Carton ID]],Carton[#All],7,0)</f>
        <v>14.763779527559054</v>
      </c>
    </row>
    <row r="17" spans="1:13">
      <c r="A17" t="s">
        <v>14</v>
      </c>
      <c r="B17">
        <v>14</v>
      </c>
      <c r="C17" s="3"/>
      <c r="D17">
        <v>13.5</v>
      </c>
      <c r="E17" s="1" t="s">
        <v>55</v>
      </c>
      <c r="F17">
        <f>VLOOKUP(SizeCarton[[#This Row],[Carton ID]],Carton[#All],2,0)</f>
        <v>74.5</v>
      </c>
      <c r="G17">
        <f>VLOOKUP(SizeCarton[[#This Row],[Carton ID]],Carton[#All],3,0)</f>
        <v>42</v>
      </c>
      <c r="H17">
        <f>VLOOKUP(SizeCarton[[#This Row],[Carton ID]],Carton[#All],4,0)</f>
        <v>41</v>
      </c>
      <c r="I17" s="20">
        <f>VLOOKUP(SizeCarton[[#This Row],[Carton ID]],Carton[#All],5,0)</f>
        <v>29.330708661417326</v>
      </c>
      <c r="J17" s="20">
        <f>VLOOKUP(SizeCarton[[#This Row],[Carton ID]],Carton[#All],6,0)</f>
        <v>16.535433070866144</v>
      </c>
      <c r="K17" s="20">
        <f>VLOOKUP(SizeCarton[[#This Row],[Carton ID]],Carton[#All],7,0)</f>
        <v>16.141732283464567</v>
      </c>
    </row>
    <row r="18" spans="1:13">
      <c r="A18" t="s">
        <v>15</v>
      </c>
      <c r="B18">
        <v>8.5</v>
      </c>
      <c r="C18" s="3"/>
      <c r="D18">
        <v>15</v>
      </c>
      <c r="E18" s="1" t="s">
        <v>56</v>
      </c>
      <c r="F18">
        <f>VLOOKUP(SizeCarton[[#This Row],[Carton ID]],Carton[#All],2,0)</f>
        <v>75.5</v>
      </c>
      <c r="G18">
        <f>VLOOKUP(SizeCarton[[#This Row],[Carton ID]],Carton[#All],3,0)</f>
        <v>39.5</v>
      </c>
      <c r="H18">
        <f>VLOOKUP(SizeCarton[[#This Row],[Carton ID]],Carton[#All],4,0)</f>
        <v>44.7</v>
      </c>
      <c r="I18" s="20">
        <f>VLOOKUP(SizeCarton[[#This Row],[Carton ID]],Carton[#All],5,0)</f>
        <v>29.724409448818896</v>
      </c>
      <c r="J18" s="20">
        <f>VLOOKUP(SizeCarton[[#This Row],[Carton ID]],Carton[#All],6,0)</f>
        <v>15.551181102362206</v>
      </c>
      <c r="K18" s="20">
        <f>VLOOKUP(SizeCarton[[#This Row],[Carton ID]],Carton[#All],7,0)</f>
        <v>17.598425196850396</v>
      </c>
    </row>
    <row r="19" spans="1:13">
      <c r="A19" t="s">
        <v>15</v>
      </c>
      <c r="B19">
        <v>9.5</v>
      </c>
      <c r="C19" s="3"/>
      <c r="D19">
        <v>15.3</v>
      </c>
      <c r="E19" s="1" t="s">
        <v>56</v>
      </c>
      <c r="F19">
        <f>VLOOKUP(SizeCarton[[#This Row],[Carton ID]],Carton[#All],2,0)</f>
        <v>75.5</v>
      </c>
      <c r="G19">
        <f>VLOOKUP(SizeCarton[[#This Row],[Carton ID]],Carton[#All],3,0)</f>
        <v>39.5</v>
      </c>
      <c r="H19">
        <f>VLOOKUP(SizeCarton[[#This Row],[Carton ID]],Carton[#All],4,0)</f>
        <v>44.7</v>
      </c>
      <c r="I19" s="20">
        <f>VLOOKUP(SizeCarton[[#This Row],[Carton ID]],Carton[#All],5,0)</f>
        <v>29.724409448818896</v>
      </c>
      <c r="J19" s="20">
        <f>VLOOKUP(SizeCarton[[#This Row],[Carton ID]],Carton[#All],6,0)</f>
        <v>15.551181102362206</v>
      </c>
      <c r="K19" s="20">
        <f>VLOOKUP(SizeCarton[[#This Row],[Carton ID]],Carton[#All],7,0)</f>
        <v>17.598425196850396</v>
      </c>
    </row>
    <row r="20" spans="1:13">
      <c r="A20" t="s">
        <v>15</v>
      </c>
      <c r="B20">
        <v>10</v>
      </c>
      <c r="C20" s="3"/>
      <c r="D20">
        <v>16.100000000000001</v>
      </c>
      <c r="E20" s="1" t="s">
        <v>56</v>
      </c>
      <c r="F20">
        <f>VLOOKUP(SizeCarton[[#This Row],[Carton ID]],Carton[#All],2,0)</f>
        <v>75.5</v>
      </c>
      <c r="G20">
        <f>VLOOKUP(SizeCarton[[#This Row],[Carton ID]],Carton[#All],3,0)</f>
        <v>39.5</v>
      </c>
      <c r="H20">
        <f>VLOOKUP(SizeCarton[[#This Row],[Carton ID]],Carton[#All],4,0)</f>
        <v>44.7</v>
      </c>
      <c r="I20" s="20">
        <f>VLOOKUP(SizeCarton[[#This Row],[Carton ID]],Carton[#All],5,0)</f>
        <v>29.724409448818896</v>
      </c>
      <c r="J20" s="20">
        <f>VLOOKUP(SizeCarton[[#This Row],[Carton ID]],Carton[#All],6,0)</f>
        <v>15.551181102362206</v>
      </c>
      <c r="K20" s="20">
        <f>VLOOKUP(SizeCarton[[#This Row],[Carton ID]],Carton[#All],7,0)</f>
        <v>17.598425196850396</v>
      </c>
    </row>
    <row r="21" spans="1:13">
      <c r="A21" t="s">
        <v>15</v>
      </c>
      <c r="B21">
        <v>10.5</v>
      </c>
      <c r="C21" s="3"/>
      <c r="D21">
        <v>16.2</v>
      </c>
      <c r="E21" s="1" t="s">
        <v>56</v>
      </c>
      <c r="F21">
        <f>VLOOKUP(SizeCarton[[#This Row],[Carton ID]],Carton[#All],2,0)</f>
        <v>75.5</v>
      </c>
      <c r="G21">
        <f>VLOOKUP(SizeCarton[[#This Row],[Carton ID]],Carton[#All],3,0)</f>
        <v>39.5</v>
      </c>
      <c r="H21">
        <f>VLOOKUP(SizeCarton[[#This Row],[Carton ID]],Carton[#All],4,0)</f>
        <v>44.7</v>
      </c>
      <c r="I21" s="20">
        <f>VLOOKUP(SizeCarton[[#This Row],[Carton ID]],Carton[#All],5,0)</f>
        <v>29.724409448818896</v>
      </c>
      <c r="J21" s="20">
        <f>VLOOKUP(SizeCarton[[#This Row],[Carton ID]],Carton[#All],6,0)</f>
        <v>15.551181102362206</v>
      </c>
      <c r="K21" s="20">
        <f>VLOOKUP(SizeCarton[[#This Row],[Carton ID]],Carton[#All],7,0)</f>
        <v>17.598425196850396</v>
      </c>
    </row>
    <row r="22" spans="1:13">
      <c r="A22" t="s">
        <v>15</v>
      </c>
      <c r="B22">
        <v>11</v>
      </c>
      <c r="C22" s="3"/>
      <c r="D22">
        <v>17</v>
      </c>
      <c r="E22" s="1" t="s">
        <v>57</v>
      </c>
      <c r="F22">
        <f>VLOOKUP(SizeCarton[[#This Row],[Carton ID]],Carton[#All],2,0)</f>
        <v>79.5</v>
      </c>
      <c r="G22">
        <f>VLOOKUP(SizeCarton[[#This Row],[Carton ID]],Carton[#All],3,0)</f>
        <v>42.5</v>
      </c>
      <c r="H22">
        <f>VLOOKUP(SizeCarton[[#This Row],[Carton ID]],Carton[#All],4,0)</f>
        <v>49.7</v>
      </c>
      <c r="I22" s="20">
        <f>VLOOKUP(SizeCarton[[#This Row],[Carton ID]],Carton[#All],5,0)</f>
        <v>31.299212598425196</v>
      </c>
      <c r="J22" s="20">
        <f>VLOOKUP(SizeCarton[[#This Row],[Carton ID]],Carton[#All],6,0)</f>
        <v>16.73228346456693</v>
      </c>
      <c r="K22" s="20">
        <f>VLOOKUP(SizeCarton[[#This Row],[Carton ID]],Carton[#All],7,0)</f>
        <v>19.56692913385827</v>
      </c>
    </row>
    <row r="23" spans="1:13">
      <c r="A23" t="s">
        <v>15</v>
      </c>
      <c r="B23">
        <v>11.5</v>
      </c>
      <c r="C23" s="3"/>
      <c r="D23">
        <v>17.100000000000001</v>
      </c>
      <c r="E23" s="1" t="s">
        <v>57</v>
      </c>
      <c r="F23">
        <f>VLOOKUP(SizeCarton[[#This Row],[Carton ID]],Carton[#All],2,0)</f>
        <v>79.5</v>
      </c>
      <c r="G23">
        <f>VLOOKUP(SizeCarton[[#This Row],[Carton ID]],Carton[#All],3,0)</f>
        <v>42.5</v>
      </c>
      <c r="H23">
        <f>VLOOKUP(SizeCarton[[#This Row],[Carton ID]],Carton[#All],4,0)</f>
        <v>49.7</v>
      </c>
      <c r="I23" s="20">
        <f>VLOOKUP(SizeCarton[[#This Row],[Carton ID]],Carton[#All],5,0)</f>
        <v>31.299212598425196</v>
      </c>
      <c r="J23" s="20">
        <f>VLOOKUP(SizeCarton[[#This Row],[Carton ID]],Carton[#All],6,0)</f>
        <v>16.73228346456693</v>
      </c>
      <c r="K23" s="20">
        <f>VLOOKUP(SizeCarton[[#This Row],[Carton ID]],Carton[#All],7,0)</f>
        <v>19.56692913385827</v>
      </c>
    </row>
    <row r="24" spans="1:13">
      <c r="A24" t="s">
        <v>15</v>
      </c>
      <c r="B24">
        <v>12</v>
      </c>
      <c r="C24" s="3"/>
      <c r="D24">
        <v>17.3</v>
      </c>
      <c r="E24" s="1" t="s">
        <v>57</v>
      </c>
      <c r="F24">
        <f>VLOOKUP(SizeCarton[[#This Row],[Carton ID]],Carton[#All],2,0)</f>
        <v>79.5</v>
      </c>
      <c r="G24">
        <f>VLOOKUP(SizeCarton[[#This Row],[Carton ID]],Carton[#All],3,0)</f>
        <v>42.5</v>
      </c>
      <c r="H24">
        <f>VLOOKUP(SizeCarton[[#This Row],[Carton ID]],Carton[#All],4,0)</f>
        <v>49.7</v>
      </c>
      <c r="I24" s="20">
        <f>VLOOKUP(SizeCarton[[#This Row],[Carton ID]],Carton[#All],5,0)</f>
        <v>31.299212598425196</v>
      </c>
      <c r="J24" s="20">
        <f>VLOOKUP(SizeCarton[[#This Row],[Carton ID]],Carton[#All],6,0)</f>
        <v>16.73228346456693</v>
      </c>
      <c r="K24" s="20">
        <f>VLOOKUP(SizeCarton[[#This Row],[Carton ID]],Carton[#All],7,0)</f>
        <v>19.56692913385827</v>
      </c>
    </row>
    <row r="25" spans="1:13">
      <c r="A25" t="s">
        <v>15</v>
      </c>
      <c r="B25">
        <v>13</v>
      </c>
      <c r="C25" s="3"/>
      <c r="D25">
        <v>18</v>
      </c>
      <c r="E25" s="1" t="s">
        <v>57</v>
      </c>
      <c r="F25">
        <f>VLOOKUP(SizeCarton[[#This Row],[Carton ID]],Carton[#All],2,0)</f>
        <v>79.5</v>
      </c>
      <c r="G25">
        <f>VLOOKUP(SizeCarton[[#This Row],[Carton ID]],Carton[#All],3,0)</f>
        <v>42.5</v>
      </c>
      <c r="H25">
        <f>VLOOKUP(SizeCarton[[#This Row],[Carton ID]],Carton[#All],4,0)</f>
        <v>49.7</v>
      </c>
      <c r="I25" s="20">
        <f>VLOOKUP(SizeCarton[[#This Row],[Carton ID]],Carton[#All],5,0)</f>
        <v>31.299212598425196</v>
      </c>
      <c r="J25" s="20">
        <f>VLOOKUP(SizeCarton[[#This Row],[Carton ID]],Carton[#All],6,0)</f>
        <v>16.73228346456693</v>
      </c>
      <c r="K25" s="20">
        <f>VLOOKUP(SizeCarton[[#This Row],[Carton ID]],Carton[#All],7,0)</f>
        <v>19.56692913385827</v>
      </c>
    </row>
    <row r="26" spans="1:13">
      <c r="A26" t="s">
        <v>6</v>
      </c>
      <c r="B26">
        <v>3</v>
      </c>
      <c r="C26" s="3" t="s">
        <v>75</v>
      </c>
      <c r="D26">
        <v>14.7</v>
      </c>
      <c r="E26" s="18" t="s">
        <v>8</v>
      </c>
      <c r="F26">
        <f>VLOOKUP(SizeCarton[[#This Row],[Carton ID]],Carton[#All],2,0)</f>
        <v>79</v>
      </c>
      <c r="G26">
        <f>VLOOKUP(SizeCarton[[#This Row],[Carton ID]],Carton[#All],3,0)</f>
        <v>42</v>
      </c>
      <c r="H26">
        <f>VLOOKUP(SizeCarton[[#This Row],[Carton ID]],Carton[#All],4,0)</f>
        <v>51.5</v>
      </c>
      <c r="I26" s="20">
        <f>VLOOKUP(SizeCarton[[#This Row],[Carton ID]],Carton[#All],5,0)</f>
        <v>31.102362204724411</v>
      </c>
      <c r="J26" s="20">
        <f>VLOOKUP(SizeCarton[[#This Row],[Carton ID]],Carton[#All],6,0)</f>
        <v>16.535433070866144</v>
      </c>
      <c r="K26" s="20">
        <f>VLOOKUP(SizeCarton[[#This Row],[Carton ID]],Carton[#All],7,0)</f>
        <v>20.275590551181104</v>
      </c>
      <c r="L26">
        <v>50</v>
      </c>
      <c r="M26">
        <v>40</v>
      </c>
    </row>
    <row r="27" spans="1:13">
      <c r="A27" t="s">
        <v>6</v>
      </c>
      <c r="B27">
        <v>3.5</v>
      </c>
      <c r="C27" s="3" t="s">
        <v>75</v>
      </c>
      <c r="D27">
        <v>14.7</v>
      </c>
      <c r="E27" s="18" t="s">
        <v>8</v>
      </c>
      <c r="F27">
        <f>VLOOKUP(SizeCarton[[#This Row],[Carton ID]],Carton[#All],2,0)</f>
        <v>79</v>
      </c>
      <c r="G27">
        <f>VLOOKUP(SizeCarton[[#This Row],[Carton ID]],Carton[#All],3,0)</f>
        <v>42</v>
      </c>
      <c r="H27">
        <f>VLOOKUP(SizeCarton[[#This Row],[Carton ID]],Carton[#All],4,0)</f>
        <v>51.5</v>
      </c>
      <c r="I27" s="20">
        <f>VLOOKUP(SizeCarton[[#This Row],[Carton ID]],Carton[#All],5,0)</f>
        <v>31.102362204724411</v>
      </c>
      <c r="J27" s="20">
        <f>VLOOKUP(SizeCarton[[#This Row],[Carton ID]],Carton[#All],6,0)</f>
        <v>16.535433070866144</v>
      </c>
      <c r="K27" s="20">
        <f>VLOOKUP(SizeCarton[[#This Row],[Carton ID]],Carton[#All],7,0)</f>
        <v>20.275590551181104</v>
      </c>
      <c r="L27">
        <v>50</v>
      </c>
      <c r="M27">
        <v>40</v>
      </c>
    </row>
    <row r="28" spans="1:13">
      <c r="A28" t="s">
        <v>6</v>
      </c>
      <c r="B28">
        <v>4</v>
      </c>
      <c r="C28" s="3" t="s">
        <v>75</v>
      </c>
      <c r="D28">
        <v>14.7</v>
      </c>
      <c r="E28" s="18" t="s">
        <v>8</v>
      </c>
      <c r="F28">
        <f>VLOOKUP(SizeCarton[[#This Row],[Carton ID]],Carton[#All],2,0)</f>
        <v>79</v>
      </c>
      <c r="G28">
        <f>VLOOKUP(SizeCarton[[#This Row],[Carton ID]],Carton[#All],3,0)</f>
        <v>42</v>
      </c>
      <c r="H28">
        <f>VLOOKUP(SizeCarton[[#This Row],[Carton ID]],Carton[#All],4,0)</f>
        <v>51.5</v>
      </c>
      <c r="I28" s="20">
        <f>VLOOKUP(SizeCarton[[#This Row],[Carton ID]],Carton[#All],5,0)</f>
        <v>31.102362204724411</v>
      </c>
      <c r="J28" s="20">
        <f>VLOOKUP(SizeCarton[[#This Row],[Carton ID]],Carton[#All],6,0)</f>
        <v>16.535433070866144</v>
      </c>
      <c r="K28" s="20">
        <f>VLOOKUP(SizeCarton[[#This Row],[Carton ID]],Carton[#All],7,0)</f>
        <v>20.275590551181104</v>
      </c>
      <c r="L28">
        <v>50</v>
      </c>
      <c r="M28">
        <v>40</v>
      </c>
    </row>
    <row r="29" spans="1:13">
      <c r="A29" t="s">
        <v>6</v>
      </c>
      <c r="B29">
        <v>4.5</v>
      </c>
      <c r="C29" s="3" t="s">
        <v>75</v>
      </c>
      <c r="D29">
        <v>14.8</v>
      </c>
      <c r="E29" s="18" t="s">
        <v>8</v>
      </c>
      <c r="F29">
        <f>VLOOKUP(SizeCarton[[#This Row],[Carton ID]],Carton[#All],2,0)</f>
        <v>79</v>
      </c>
      <c r="G29">
        <f>VLOOKUP(SizeCarton[[#This Row],[Carton ID]],Carton[#All],3,0)</f>
        <v>42</v>
      </c>
      <c r="H29">
        <f>VLOOKUP(SizeCarton[[#This Row],[Carton ID]],Carton[#All],4,0)</f>
        <v>51.5</v>
      </c>
      <c r="I29" s="20">
        <f>VLOOKUP(SizeCarton[[#This Row],[Carton ID]],Carton[#All],5,0)</f>
        <v>31.102362204724411</v>
      </c>
      <c r="J29" s="20">
        <f>VLOOKUP(SizeCarton[[#This Row],[Carton ID]],Carton[#All],6,0)</f>
        <v>16.535433070866144</v>
      </c>
      <c r="K29" s="20">
        <f>VLOOKUP(SizeCarton[[#This Row],[Carton ID]],Carton[#All],7,0)</f>
        <v>20.275590551181104</v>
      </c>
      <c r="L29">
        <v>50</v>
      </c>
      <c r="M29">
        <v>40</v>
      </c>
    </row>
    <row r="30" spans="1:13">
      <c r="A30" t="s">
        <v>6</v>
      </c>
      <c r="B30">
        <v>5</v>
      </c>
      <c r="C30" s="3" t="s">
        <v>75</v>
      </c>
      <c r="D30">
        <v>14.9</v>
      </c>
      <c r="E30" s="18" t="s">
        <v>8</v>
      </c>
      <c r="F30">
        <f>VLOOKUP(SizeCarton[[#This Row],[Carton ID]],Carton[#All],2,0)</f>
        <v>79</v>
      </c>
      <c r="G30">
        <f>VLOOKUP(SizeCarton[[#This Row],[Carton ID]],Carton[#All],3,0)</f>
        <v>42</v>
      </c>
      <c r="H30">
        <f>VLOOKUP(SizeCarton[[#This Row],[Carton ID]],Carton[#All],4,0)</f>
        <v>51.5</v>
      </c>
      <c r="I30" s="20">
        <f>VLOOKUP(SizeCarton[[#This Row],[Carton ID]],Carton[#All],5,0)</f>
        <v>31.102362204724411</v>
      </c>
      <c r="J30" s="20">
        <f>VLOOKUP(SizeCarton[[#This Row],[Carton ID]],Carton[#All],6,0)</f>
        <v>16.535433070866144</v>
      </c>
      <c r="K30" s="20">
        <f>VLOOKUP(SizeCarton[[#This Row],[Carton ID]],Carton[#All],7,0)</f>
        <v>20.275590551181104</v>
      </c>
      <c r="L30">
        <v>50</v>
      </c>
      <c r="M30">
        <v>40</v>
      </c>
    </row>
    <row r="31" spans="1:13">
      <c r="A31" t="s">
        <v>6</v>
      </c>
      <c r="B31">
        <v>5.5</v>
      </c>
      <c r="C31" s="3" t="s">
        <v>75</v>
      </c>
      <c r="D31">
        <v>15.1</v>
      </c>
      <c r="E31" s="18" t="s">
        <v>8</v>
      </c>
      <c r="F31">
        <f>VLOOKUP(SizeCarton[[#This Row],[Carton ID]],Carton[#All],2,0)</f>
        <v>79</v>
      </c>
      <c r="G31">
        <f>VLOOKUP(SizeCarton[[#This Row],[Carton ID]],Carton[#All],3,0)</f>
        <v>42</v>
      </c>
      <c r="H31">
        <f>VLOOKUP(SizeCarton[[#This Row],[Carton ID]],Carton[#All],4,0)</f>
        <v>51.5</v>
      </c>
      <c r="I31" s="20">
        <f>VLOOKUP(SizeCarton[[#This Row],[Carton ID]],Carton[#All],5,0)</f>
        <v>31.102362204724411</v>
      </c>
      <c r="J31" s="20">
        <f>VLOOKUP(SizeCarton[[#This Row],[Carton ID]],Carton[#All],6,0)</f>
        <v>16.535433070866144</v>
      </c>
      <c r="K31" s="20">
        <f>VLOOKUP(SizeCarton[[#This Row],[Carton ID]],Carton[#All],7,0)</f>
        <v>20.275590551181104</v>
      </c>
      <c r="L31">
        <v>50</v>
      </c>
      <c r="M31">
        <v>40</v>
      </c>
    </row>
    <row r="32" spans="1:13">
      <c r="A32" t="s">
        <v>6</v>
      </c>
      <c r="B32">
        <v>6</v>
      </c>
      <c r="C32" s="3" t="s">
        <v>75</v>
      </c>
      <c r="D32">
        <v>15.2</v>
      </c>
      <c r="E32" s="18" t="s">
        <v>8</v>
      </c>
      <c r="F32">
        <f>VLOOKUP(SizeCarton[[#This Row],[Carton ID]],Carton[#All],2,0)</f>
        <v>79</v>
      </c>
      <c r="G32">
        <f>VLOOKUP(SizeCarton[[#This Row],[Carton ID]],Carton[#All],3,0)</f>
        <v>42</v>
      </c>
      <c r="H32">
        <f>VLOOKUP(SizeCarton[[#This Row],[Carton ID]],Carton[#All],4,0)</f>
        <v>51.5</v>
      </c>
      <c r="I32" s="20">
        <f>VLOOKUP(SizeCarton[[#This Row],[Carton ID]],Carton[#All],5,0)</f>
        <v>31.102362204724411</v>
      </c>
      <c r="J32" s="20">
        <f>VLOOKUP(SizeCarton[[#This Row],[Carton ID]],Carton[#All],6,0)</f>
        <v>16.535433070866144</v>
      </c>
      <c r="K32" s="20">
        <f>VLOOKUP(SizeCarton[[#This Row],[Carton ID]],Carton[#All],7,0)</f>
        <v>20.275590551181104</v>
      </c>
      <c r="L32">
        <v>50</v>
      </c>
      <c r="M32">
        <v>40</v>
      </c>
    </row>
    <row r="33" spans="1:13">
      <c r="A33" t="s">
        <v>6</v>
      </c>
      <c r="B33">
        <v>6.5</v>
      </c>
      <c r="C33" s="3" t="s">
        <v>75</v>
      </c>
      <c r="D33">
        <v>15.4</v>
      </c>
      <c r="E33" s="18" t="s">
        <v>8</v>
      </c>
      <c r="F33">
        <f>VLOOKUP(SizeCarton[[#This Row],[Carton ID]],Carton[#All],2,0)</f>
        <v>79</v>
      </c>
      <c r="G33">
        <f>VLOOKUP(SizeCarton[[#This Row],[Carton ID]],Carton[#All],3,0)</f>
        <v>42</v>
      </c>
      <c r="H33">
        <f>VLOOKUP(SizeCarton[[#This Row],[Carton ID]],Carton[#All],4,0)</f>
        <v>51.5</v>
      </c>
      <c r="I33" s="20">
        <f>VLOOKUP(SizeCarton[[#This Row],[Carton ID]],Carton[#All],5,0)</f>
        <v>31.102362204724411</v>
      </c>
      <c r="J33" s="20">
        <f>VLOOKUP(SizeCarton[[#This Row],[Carton ID]],Carton[#All],6,0)</f>
        <v>16.535433070866144</v>
      </c>
      <c r="K33" s="20">
        <f>VLOOKUP(SizeCarton[[#This Row],[Carton ID]],Carton[#All],7,0)</f>
        <v>20.275590551181104</v>
      </c>
      <c r="L33">
        <v>50</v>
      </c>
      <c r="M33">
        <v>40</v>
      </c>
    </row>
    <row r="34" spans="1:13">
      <c r="A34" t="s">
        <v>6</v>
      </c>
      <c r="B34">
        <v>7</v>
      </c>
      <c r="C34" s="3" t="s">
        <v>75</v>
      </c>
      <c r="D34">
        <v>15.5</v>
      </c>
      <c r="E34" s="18" t="s">
        <v>8</v>
      </c>
      <c r="F34">
        <f>VLOOKUP(SizeCarton[[#This Row],[Carton ID]],Carton[#All],2,0)</f>
        <v>79</v>
      </c>
      <c r="G34">
        <f>VLOOKUP(SizeCarton[[#This Row],[Carton ID]],Carton[#All],3,0)</f>
        <v>42</v>
      </c>
      <c r="H34">
        <f>VLOOKUP(SizeCarton[[#This Row],[Carton ID]],Carton[#All],4,0)</f>
        <v>51.5</v>
      </c>
      <c r="I34" s="20">
        <f>VLOOKUP(SizeCarton[[#This Row],[Carton ID]],Carton[#All],5,0)</f>
        <v>31.102362204724411</v>
      </c>
      <c r="J34" s="20">
        <f>VLOOKUP(SizeCarton[[#This Row],[Carton ID]],Carton[#All],6,0)</f>
        <v>16.535433070866144</v>
      </c>
      <c r="K34" s="20">
        <f>VLOOKUP(SizeCarton[[#This Row],[Carton ID]],Carton[#All],7,0)</f>
        <v>20.275590551181104</v>
      </c>
      <c r="L34">
        <v>50</v>
      </c>
      <c r="M34">
        <v>40</v>
      </c>
    </row>
    <row r="35" spans="1:13">
      <c r="A35" t="s">
        <v>6</v>
      </c>
      <c r="B35">
        <v>7.5</v>
      </c>
      <c r="C35" s="3" t="s">
        <v>75</v>
      </c>
      <c r="D35">
        <v>15.6</v>
      </c>
      <c r="E35" s="18" t="s">
        <v>8</v>
      </c>
      <c r="F35">
        <f>VLOOKUP(SizeCarton[[#This Row],[Carton ID]],Carton[#All],2,0)</f>
        <v>79</v>
      </c>
      <c r="G35">
        <f>VLOOKUP(SizeCarton[[#This Row],[Carton ID]],Carton[#All],3,0)</f>
        <v>42</v>
      </c>
      <c r="H35">
        <f>VLOOKUP(SizeCarton[[#This Row],[Carton ID]],Carton[#All],4,0)</f>
        <v>51.5</v>
      </c>
      <c r="I35" s="20">
        <f>VLOOKUP(SizeCarton[[#This Row],[Carton ID]],Carton[#All],5,0)</f>
        <v>31.102362204724411</v>
      </c>
      <c r="J35" s="20">
        <f>VLOOKUP(SizeCarton[[#This Row],[Carton ID]],Carton[#All],6,0)</f>
        <v>16.535433070866144</v>
      </c>
      <c r="K35" s="20">
        <f>VLOOKUP(SizeCarton[[#This Row],[Carton ID]],Carton[#All],7,0)</f>
        <v>20.275590551181104</v>
      </c>
      <c r="L35">
        <v>50</v>
      </c>
      <c r="M35">
        <v>40</v>
      </c>
    </row>
    <row r="36" spans="1:13">
      <c r="A36" t="s">
        <v>6</v>
      </c>
      <c r="B36">
        <v>8</v>
      </c>
      <c r="C36" s="3" t="s">
        <v>75</v>
      </c>
      <c r="D36">
        <v>16.2</v>
      </c>
      <c r="E36" s="18" t="s">
        <v>8</v>
      </c>
      <c r="F36">
        <f>VLOOKUP(SizeCarton[[#This Row],[Carton ID]],Carton[#All],2,0)</f>
        <v>79</v>
      </c>
      <c r="G36">
        <f>VLOOKUP(SizeCarton[[#This Row],[Carton ID]],Carton[#All],3,0)</f>
        <v>42</v>
      </c>
      <c r="H36">
        <f>VLOOKUP(SizeCarton[[#This Row],[Carton ID]],Carton[#All],4,0)</f>
        <v>51.5</v>
      </c>
      <c r="I36" s="20">
        <f>VLOOKUP(SizeCarton[[#This Row],[Carton ID]],Carton[#All],5,0)</f>
        <v>31.102362204724411</v>
      </c>
      <c r="J36" s="20">
        <f>VLOOKUP(SizeCarton[[#This Row],[Carton ID]],Carton[#All],6,0)</f>
        <v>16.535433070866144</v>
      </c>
      <c r="K36" s="20">
        <f>VLOOKUP(SizeCarton[[#This Row],[Carton ID]],Carton[#All],7,0)</f>
        <v>20.275590551181104</v>
      </c>
      <c r="L36">
        <v>50</v>
      </c>
      <c r="M36">
        <v>40</v>
      </c>
    </row>
    <row r="37" spans="1:13">
      <c r="A37" t="s">
        <v>6</v>
      </c>
      <c r="B37">
        <v>8.5</v>
      </c>
      <c r="C37" s="3" t="s">
        <v>75</v>
      </c>
      <c r="D37">
        <v>16.2</v>
      </c>
      <c r="E37" s="18" t="s">
        <v>8</v>
      </c>
      <c r="F37">
        <f>VLOOKUP(SizeCarton[[#This Row],[Carton ID]],Carton[#All],2,0)</f>
        <v>79</v>
      </c>
      <c r="G37">
        <f>VLOOKUP(SizeCarton[[#This Row],[Carton ID]],Carton[#All],3,0)</f>
        <v>42</v>
      </c>
      <c r="H37">
        <f>VLOOKUP(SizeCarton[[#This Row],[Carton ID]],Carton[#All],4,0)</f>
        <v>51.5</v>
      </c>
      <c r="I37" s="20">
        <f>VLOOKUP(SizeCarton[[#This Row],[Carton ID]],Carton[#All],5,0)</f>
        <v>31.102362204724411</v>
      </c>
      <c r="J37" s="20">
        <f>VLOOKUP(SizeCarton[[#This Row],[Carton ID]],Carton[#All],6,0)</f>
        <v>16.535433070866144</v>
      </c>
      <c r="K37" s="20">
        <f>VLOOKUP(SizeCarton[[#This Row],[Carton ID]],Carton[#All],7,0)</f>
        <v>20.275590551181104</v>
      </c>
      <c r="L37">
        <v>50</v>
      </c>
      <c r="M37">
        <v>40</v>
      </c>
    </row>
    <row r="38" spans="1:13">
      <c r="A38" t="s">
        <v>6</v>
      </c>
      <c r="B38">
        <v>9</v>
      </c>
      <c r="C38" s="3" t="s">
        <v>75</v>
      </c>
      <c r="D38">
        <v>16.399999999999999</v>
      </c>
      <c r="E38" s="18" t="s">
        <v>8</v>
      </c>
      <c r="F38">
        <f>VLOOKUP(SizeCarton[[#This Row],[Carton ID]],Carton[#All],2,0)</f>
        <v>79</v>
      </c>
      <c r="G38">
        <f>VLOOKUP(SizeCarton[[#This Row],[Carton ID]],Carton[#All],3,0)</f>
        <v>42</v>
      </c>
      <c r="H38">
        <f>VLOOKUP(SizeCarton[[#This Row],[Carton ID]],Carton[#All],4,0)</f>
        <v>51.5</v>
      </c>
      <c r="I38" s="20">
        <f>VLOOKUP(SizeCarton[[#This Row],[Carton ID]],Carton[#All],5,0)</f>
        <v>31.102362204724411</v>
      </c>
      <c r="J38" s="20">
        <f>VLOOKUP(SizeCarton[[#This Row],[Carton ID]],Carton[#All],6,0)</f>
        <v>16.535433070866144</v>
      </c>
      <c r="K38" s="20">
        <f>VLOOKUP(SizeCarton[[#This Row],[Carton ID]],Carton[#All],7,0)</f>
        <v>20.275590551181104</v>
      </c>
      <c r="L38">
        <v>50</v>
      </c>
      <c r="M38">
        <v>40</v>
      </c>
    </row>
    <row r="39" spans="1:13">
      <c r="A39" t="s">
        <v>6</v>
      </c>
      <c r="B39">
        <v>9.5</v>
      </c>
      <c r="C39" s="3" t="s">
        <v>75</v>
      </c>
      <c r="D39">
        <v>16.399999999999999</v>
      </c>
      <c r="E39" s="18" t="s">
        <v>8</v>
      </c>
      <c r="F39">
        <f>VLOOKUP(SizeCarton[[#This Row],[Carton ID]],Carton[#All],2,0)</f>
        <v>79</v>
      </c>
      <c r="G39">
        <f>VLOOKUP(SizeCarton[[#This Row],[Carton ID]],Carton[#All],3,0)</f>
        <v>42</v>
      </c>
      <c r="H39">
        <f>VLOOKUP(SizeCarton[[#This Row],[Carton ID]],Carton[#All],4,0)</f>
        <v>51.5</v>
      </c>
      <c r="I39" s="20">
        <f>VLOOKUP(SizeCarton[[#This Row],[Carton ID]],Carton[#All],5,0)</f>
        <v>31.102362204724411</v>
      </c>
      <c r="J39" s="20">
        <f>VLOOKUP(SizeCarton[[#This Row],[Carton ID]],Carton[#All],6,0)</f>
        <v>16.535433070866144</v>
      </c>
      <c r="K39" s="20">
        <f>VLOOKUP(SizeCarton[[#This Row],[Carton ID]],Carton[#All],7,0)</f>
        <v>20.275590551181104</v>
      </c>
      <c r="L39">
        <v>50</v>
      </c>
      <c r="M39">
        <v>40</v>
      </c>
    </row>
    <row r="40" spans="1:13">
      <c r="A40" t="s">
        <v>6</v>
      </c>
      <c r="B40">
        <v>10</v>
      </c>
      <c r="C40" s="3" t="s">
        <v>75</v>
      </c>
      <c r="D40">
        <v>16.899999999999999</v>
      </c>
      <c r="E40" s="18" t="s">
        <v>8</v>
      </c>
      <c r="F40">
        <f>VLOOKUP(SizeCarton[[#This Row],[Carton ID]],Carton[#All],2,0)</f>
        <v>79</v>
      </c>
      <c r="G40">
        <f>VLOOKUP(SizeCarton[[#This Row],[Carton ID]],Carton[#All],3,0)</f>
        <v>42</v>
      </c>
      <c r="H40">
        <f>VLOOKUP(SizeCarton[[#This Row],[Carton ID]],Carton[#All],4,0)</f>
        <v>51.5</v>
      </c>
      <c r="I40" s="20">
        <f>VLOOKUP(SizeCarton[[#This Row],[Carton ID]],Carton[#All],5,0)</f>
        <v>31.102362204724411</v>
      </c>
      <c r="J40" s="20">
        <f>VLOOKUP(SizeCarton[[#This Row],[Carton ID]],Carton[#All],6,0)</f>
        <v>16.535433070866144</v>
      </c>
      <c r="K40" s="20">
        <f>VLOOKUP(SizeCarton[[#This Row],[Carton ID]],Carton[#All],7,0)</f>
        <v>20.275590551181104</v>
      </c>
      <c r="L40">
        <v>50</v>
      </c>
      <c r="M40">
        <v>40</v>
      </c>
    </row>
    <row r="41" spans="1:13">
      <c r="A41" t="s">
        <v>6</v>
      </c>
      <c r="B41">
        <v>10.5</v>
      </c>
      <c r="C41" s="3" t="s">
        <v>75</v>
      </c>
      <c r="D41">
        <v>17.8</v>
      </c>
      <c r="E41" s="1" t="s">
        <v>9</v>
      </c>
      <c r="F41">
        <f>VLOOKUP(SizeCarton[[#This Row],[Carton ID]],Carton[#All],2,0)</f>
        <v>85</v>
      </c>
      <c r="G41">
        <f>VLOOKUP(SizeCarton[[#This Row],[Carton ID]],Carton[#All],3,0)</f>
        <v>45</v>
      </c>
      <c r="H41">
        <f>VLOOKUP(SizeCarton[[#This Row],[Carton ID]],Carton[#All],4,0)</f>
        <v>55.5</v>
      </c>
      <c r="I41" s="20">
        <f>VLOOKUP(SizeCarton[[#This Row],[Carton ID]],Carton[#All],5,0)</f>
        <v>33.464566929133859</v>
      </c>
      <c r="J41" s="20">
        <f>VLOOKUP(SizeCarton[[#This Row],[Carton ID]],Carton[#All],6,0)</f>
        <v>17.716535433070867</v>
      </c>
      <c r="K41" s="20">
        <f>VLOOKUP(SizeCarton[[#This Row],[Carton ID]],Carton[#All],7,0)</f>
        <v>21.850393700787404</v>
      </c>
      <c r="L41">
        <v>50</v>
      </c>
      <c r="M41">
        <v>40</v>
      </c>
    </row>
    <row r="42" spans="1:13">
      <c r="A42" t="s">
        <v>6</v>
      </c>
      <c r="B42">
        <v>11</v>
      </c>
      <c r="C42" s="3" t="s">
        <v>75</v>
      </c>
      <c r="D42">
        <v>18</v>
      </c>
      <c r="E42" s="1" t="s">
        <v>9</v>
      </c>
      <c r="F42">
        <f>VLOOKUP(SizeCarton[[#This Row],[Carton ID]],Carton[#All],2,0)</f>
        <v>85</v>
      </c>
      <c r="G42">
        <f>VLOOKUP(SizeCarton[[#This Row],[Carton ID]],Carton[#All],3,0)</f>
        <v>45</v>
      </c>
      <c r="H42">
        <f>VLOOKUP(SizeCarton[[#This Row],[Carton ID]],Carton[#All],4,0)</f>
        <v>55.5</v>
      </c>
      <c r="I42" s="20">
        <f>VLOOKUP(SizeCarton[[#This Row],[Carton ID]],Carton[#All],5,0)</f>
        <v>33.464566929133859</v>
      </c>
      <c r="J42" s="20">
        <f>VLOOKUP(SizeCarton[[#This Row],[Carton ID]],Carton[#All],6,0)</f>
        <v>17.716535433070867</v>
      </c>
      <c r="K42" s="20">
        <f>VLOOKUP(SizeCarton[[#This Row],[Carton ID]],Carton[#All],7,0)</f>
        <v>21.850393700787404</v>
      </c>
      <c r="L42">
        <v>50</v>
      </c>
      <c r="M42">
        <v>40</v>
      </c>
    </row>
    <row r="43" spans="1:13">
      <c r="A43" t="s">
        <v>6</v>
      </c>
      <c r="B43">
        <v>11.5</v>
      </c>
      <c r="C43" s="3" t="s">
        <v>75</v>
      </c>
      <c r="D43">
        <v>18.3</v>
      </c>
      <c r="E43" s="1" t="s">
        <v>9</v>
      </c>
      <c r="F43">
        <f>VLOOKUP(SizeCarton[[#This Row],[Carton ID]],Carton[#All],2,0)</f>
        <v>85</v>
      </c>
      <c r="G43">
        <f>VLOOKUP(SizeCarton[[#This Row],[Carton ID]],Carton[#All],3,0)</f>
        <v>45</v>
      </c>
      <c r="H43">
        <f>VLOOKUP(SizeCarton[[#This Row],[Carton ID]],Carton[#All],4,0)</f>
        <v>55.5</v>
      </c>
      <c r="I43" s="20">
        <f>VLOOKUP(SizeCarton[[#This Row],[Carton ID]],Carton[#All],5,0)</f>
        <v>33.464566929133859</v>
      </c>
      <c r="J43" s="20">
        <f>VLOOKUP(SizeCarton[[#This Row],[Carton ID]],Carton[#All],6,0)</f>
        <v>17.716535433070867</v>
      </c>
      <c r="K43" s="20">
        <f>VLOOKUP(SizeCarton[[#This Row],[Carton ID]],Carton[#All],7,0)</f>
        <v>21.850393700787404</v>
      </c>
      <c r="L43">
        <v>50</v>
      </c>
      <c r="M43">
        <v>40</v>
      </c>
    </row>
    <row r="44" spans="1:13">
      <c r="A44" t="s">
        <v>6</v>
      </c>
      <c r="B44">
        <v>12</v>
      </c>
      <c r="C44" s="3" t="s">
        <v>75</v>
      </c>
      <c r="D44">
        <v>18.7</v>
      </c>
      <c r="E44" s="1" t="s">
        <v>9</v>
      </c>
      <c r="F44">
        <f>VLOOKUP(SizeCarton[[#This Row],[Carton ID]],Carton[#All],2,0)</f>
        <v>85</v>
      </c>
      <c r="G44">
        <f>VLOOKUP(SizeCarton[[#This Row],[Carton ID]],Carton[#All],3,0)</f>
        <v>45</v>
      </c>
      <c r="H44">
        <f>VLOOKUP(SizeCarton[[#This Row],[Carton ID]],Carton[#All],4,0)</f>
        <v>55.5</v>
      </c>
      <c r="I44" s="20">
        <f>VLOOKUP(SizeCarton[[#This Row],[Carton ID]],Carton[#All],5,0)</f>
        <v>33.464566929133859</v>
      </c>
      <c r="J44" s="20">
        <f>VLOOKUP(SizeCarton[[#This Row],[Carton ID]],Carton[#All],6,0)</f>
        <v>17.716535433070867</v>
      </c>
      <c r="K44" s="20">
        <f>VLOOKUP(SizeCarton[[#This Row],[Carton ID]],Carton[#All],7,0)</f>
        <v>21.850393700787404</v>
      </c>
      <c r="L44">
        <v>50</v>
      </c>
      <c r="M44">
        <v>40</v>
      </c>
    </row>
    <row r="45" spans="1:13">
      <c r="A45" t="s">
        <v>6</v>
      </c>
      <c r="B45">
        <v>12.5</v>
      </c>
      <c r="C45" s="3" t="s">
        <v>75</v>
      </c>
      <c r="D45">
        <v>18.899999999999999</v>
      </c>
      <c r="E45" s="1" t="s">
        <v>9</v>
      </c>
      <c r="F45">
        <f>VLOOKUP(SizeCarton[[#This Row],[Carton ID]],Carton[#All],2,0)</f>
        <v>85</v>
      </c>
      <c r="G45">
        <f>VLOOKUP(SizeCarton[[#This Row],[Carton ID]],Carton[#All],3,0)</f>
        <v>45</v>
      </c>
      <c r="H45">
        <f>VLOOKUP(SizeCarton[[#This Row],[Carton ID]],Carton[#All],4,0)</f>
        <v>55.5</v>
      </c>
      <c r="I45" s="20">
        <f>VLOOKUP(SizeCarton[[#This Row],[Carton ID]],Carton[#All],5,0)</f>
        <v>33.464566929133859</v>
      </c>
      <c r="J45" s="20">
        <f>VLOOKUP(SizeCarton[[#This Row],[Carton ID]],Carton[#All],6,0)</f>
        <v>17.716535433070867</v>
      </c>
      <c r="K45" s="20">
        <f>VLOOKUP(SizeCarton[[#This Row],[Carton ID]],Carton[#All],7,0)</f>
        <v>21.850393700787404</v>
      </c>
      <c r="L45">
        <v>50</v>
      </c>
      <c r="M45">
        <v>40</v>
      </c>
    </row>
    <row r="46" spans="1:13">
      <c r="A46" t="s">
        <v>6</v>
      </c>
      <c r="B46">
        <v>13</v>
      </c>
      <c r="C46" s="3" t="s">
        <v>75</v>
      </c>
      <c r="D46">
        <v>19.100000000000001</v>
      </c>
      <c r="E46" s="1" t="s">
        <v>9</v>
      </c>
      <c r="F46">
        <f>VLOOKUP(SizeCarton[[#This Row],[Carton ID]],Carton[#All],2,0)</f>
        <v>85</v>
      </c>
      <c r="G46">
        <f>VLOOKUP(SizeCarton[[#This Row],[Carton ID]],Carton[#All],3,0)</f>
        <v>45</v>
      </c>
      <c r="H46">
        <f>VLOOKUP(SizeCarton[[#This Row],[Carton ID]],Carton[#All],4,0)</f>
        <v>55.5</v>
      </c>
      <c r="I46" s="20">
        <f>VLOOKUP(SizeCarton[[#This Row],[Carton ID]],Carton[#All],5,0)</f>
        <v>33.464566929133859</v>
      </c>
      <c r="J46" s="20">
        <f>VLOOKUP(SizeCarton[[#This Row],[Carton ID]],Carton[#All],6,0)</f>
        <v>17.716535433070867</v>
      </c>
      <c r="K46" s="20">
        <f>VLOOKUP(SizeCarton[[#This Row],[Carton ID]],Carton[#All],7,0)</f>
        <v>21.850393700787404</v>
      </c>
      <c r="L46">
        <v>50</v>
      </c>
      <c r="M46">
        <v>40</v>
      </c>
    </row>
    <row r="47" spans="1:13">
      <c r="A47" t="s">
        <v>6</v>
      </c>
      <c r="B47">
        <v>13.5</v>
      </c>
      <c r="C47" s="3" t="s">
        <v>75</v>
      </c>
      <c r="D47">
        <v>19.3</v>
      </c>
      <c r="E47" s="1" t="s">
        <v>9</v>
      </c>
      <c r="F47">
        <f>VLOOKUP(SizeCarton[[#This Row],[Carton ID]],Carton[#All],2,0)</f>
        <v>85</v>
      </c>
      <c r="G47">
        <f>VLOOKUP(SizeCarton[[#This Row],[Carton ID]],Carton[#All],3,0)</f>
        <v>45</v>
      </c>
      <c r="H47">
        <f>VLOOKUP(SizeCarton[[#This Row],[Carton ID]],Carton[#All],4,0)</f>
        <v>55.5</v>
      </c>
      <c r="I47" s="20">
        <f>VLOOKUP(SizeCarton[[#This Row],[Carton ID]],Carton[#All],5,0)</f>
        <v>33.464566929133859</v>
      </c>
      <c r="J47" s="20">
        <f>VLOOKUP(SizeCarton[[#This Row],[Carton ID]],Carton[#All],6,0)</f>
        <v>17.716535433070867</v>
      </c>
      <c r="K47" s="20">
        <f>VLOOKUP(SizeCarton[[#This Row],[Carton ID]],Carton[#All],7,0)</f>
        <v>21.850393700787404</v>
      </c>
      <c r="L47">
        <v>50</v>
      </c>
      <c r="M47">
        <v>40</v>
      </c>
    </row>
    <row r="48" spans="1:13">
      <c r="A48" t="s">
        <v>6</v>
      </c>
      <c r="B48">
        <v>14</v>
      </c>
      <c r="C48" s="3" t="s">
        <v>75</v>
      </c>
      <c r="D48">
        <v>19.5</v>
      </c>
      <c r="E48" s="1" t="s">
        <v>9</v>
      </c>
      <c r="F48">
        <f>VLOOKUP(SizeCarton[[#This Row],[Carton ID]],Carton[#All],2,0)</f>
        <v>85</v>
      </c>
      <c r="G48">
        <f>VLOOKUP(SizeCarton[[#This Row],[Carton ID]],Carton[#All],3,0)</f>
        <v>45</v>
      </c>
      <c r="H48">
        <f>VLOOKUP(SizeCarton[[#This Row],[Carton ID]],Carton[#All],4,0)</f>
        <v>55.5</v>
      </c>
      <c r="I48" s="20">
        <f>VLOOKUP(SizeCarton[[#This Row],[Carton ID]],Carton[#All],5,0)</f>
        <v>33.464566929133859</v>
      </c>
      <c r="J48" s="20">
        <f>VLOOKUP(SizeCarton[[#This Row],[Carton ID]],Carton[#All],6,0)</f>
        <v>17.716535433070867</v>
      </c>
      <c r="K48" s="20">
        <f>VLOOKUP(SizeCarton[[#This Row],[Carton ID]],Carton[#All],7,0)</f>
        <v>21.850393700787404</v>
      </c>
      <c r="L48">
        <v>50</v>
      </c>
      <c r="M48">
        <v>40</v>
      </c>
    </row>
    <row r="49" spans="1:13">
      <c r="A49" t="s">
        <v>6</v>
      </c>
      <c r="B49">
        <v>15</v>
      </c>
      <c r="C49" s="3" t="s">
        <v>75</v>
      </c>
      <c r="D49">
        <v>19.7</v>
      </c>
      <c r="E49" s="1" t="s">
        <v>9</v>
      </c>
      <c r="F49">
        <f>VLOOKUP(SizeCarton[[#This Row],[Carton ID]],Carton[#All],2,0)</f>
        <v>85</v>
      </c>
      <c r="G49">
        <f>VLOOKUP(SizeCarton[[#This Row],[Carton ID]],Carton[#All],3,0)</f>
        <v>45</v>
      </c>
      <c r="H49">
        <f>VLOOKUP(SizeCarton[[#This Row],[Carton ID]],Carton[#All],4,0)</f>
        <v>55.5</v>
      </c>
      <c r="I49" s="20">
        <f>VLOOKUP(SizeCarton[[#This Row],[Carton ID]],Carton[#All],5,0)</f>
        <v>33.464566929133859</v>
      </c>
      <c r="J49" s="20">
        <f>VLOOKUP(SizeCarton[[#This Row],[Carton ID]],Carton[#All],6,0)</f>
        <v>17.716535433070867</v>
      </c>
      <c r="K49" s="20">
        <f>VLOOKUP(SizeCarton[[#This Row],[Carton ID]],Carton[#All],7,0)</f>
        <v>21.850393700787404</v>
      </c>
      <c r="L49">
        <v>50</v>
      </c>
      <c r="M49">
        <v>40</v>
      </c>
    </row>
    <row r="50" spans="1:13">
      <c r="A50" t="s">
        <v>6</v>
      </c>
      <c r="B50">
        <v>16</v>
      </c>
      <c r="C50" s="3" t="s">
        <v>75</v>
      </c>
      <c r="D50">
        <v>19.899999999999999</v>
      </c>
      <c r="E50" s="1" t="s">
        <v>9</v>
      </c>
      <c r="F50">
        <f>VLOOKUP(SizeCarton[[#This Row],[Carton ID]],Carton[#All],2,0)</f>
        <v>85</v>
      </c>
      <c r="G50">
        <f>VLOOKUP(SizeCarton[[#This Row],[Carton ID]],Carton[#All],3,0)</f>
        <v>45</v>
      </c>
      <c r="H50">
        <f>VLOOKUP(SizeCarton[[#This Row],[Carton ID]],Carton[#All],4,0)</f>
        <v>55.5</v>
      </c>
      <c r="I50" s="20">
        <f>VLOOKUP(SizeCarton[[#This Row],[Carton ID]],Carton[#All],5,0)</f>
        <v>33.464566929133859</v>
      </c>
      <c r="J50" s="20">
        <f>VLOOKUP(SizeCarton[[#This Row],[Carton ID]],Carton[#All],6,0)</f>
        <v>17.716535433070867</v>
      </c>
      <c r="K50" s="20">
        <f>VLOOKUP(SizeCarton[[#This Row],[Carton ID]],Carton[#All],7,0)</f>
        <v>21.850393700787404</v>
      </c>
      <c r="L50">
        <v>50</v>
      </c>
      <c r="M50">
        <v>40</v>
      </c>
    </row>
    <row r="51" spans="1:13">
      <c r="A51" t="s">
        <v>6</v>
      </c>
      <c r="B51">
        <v>4</v>
      </c>
      <c r="C51" s="3" t="s">
        <v>73</v>
      </c>
      <c r="E51" s="1" t="s">
        <v>8</v>
      </c>
      <c r="F51">
        <f>VLOOKUP(SizeCarton[[#This Row],[Carton ID]],Carton[#All],2,0)</f>
        <v>79</v>
      </c>
      <c r="G51">
        <f>VLOOKUP(SizeCarton[[#This Row],[Carton ID]],Carton[#All],3,0)</f>
        <v>42</v>
      </c>
      <c r="H51">
        <f>VLOOKUP(SizeCarton[[#This Row],[Carton ID]],Carton[#All],4,0)</f>
        <v>51.5</v>
      </c>
      <c r="I51" s="20">
        <f>VLOOKUP(SizeCarton[[#This Row],[Carton ID]],Carton[#All],5,0)</f>
        <v>31.102362204724411</v>
      </c>
      <c r="J51" s="20">
        <f>VLOOKUP(SizeCarton[[#This Row],[Carton ID]],Carton[#All],6,0)</f>
        <v>16.535433070866144</v>
      </c>
      <c r="K51" s="20">
        <f>VLOOKUP(SizeCarton[[#This Row],[Carton ID]],Carton[#All],7,0)</f>
        <v>20.275590551181104</v>
      </c>
      <c r="L51">
        <v>50</v>
      </c>
      <c r="M51">
        <v>40</v>
      </c>
    </row>
    <row r="52" spans="1:13">
      <c r="A52" t="s">
        <v>6</v>
      </c>
      <c r="B52">
        <v>4.5</v>
      </c>
      <c r="C52" s="3" t="s">
        <v>73</v>
      </c>
      <c r="E52" s="1" t="s">
        <v>8</v>
      </c>
      <c r="F52">
        <f>VLOOKUP(SizeCarton[[#This Row],[Carton ID]],Carton[#All],2,0)</f>
        <v>79</v>
      </c>
      <c r="G52">
        <f>VLOOKUP(SizeCarton[[#This Row],[Carton ID]],Carton[#All],3,0)</f>
        <v>42</v>
      </c>
      <c r="H52">
        <f>VLOOKUP(SizeCarton[[#This Row],[Carton ID]],Carton[#All],4,0)</f>
        <v>51.5</v>
      </c>
      <c r="I52" s="20">
        <f>VLOOKUP(SizeCarton[[#This Row],[Carton ID]],Carton[#All],5,0)</f>
        <v>31.102362204724411</v>
      </c>
      <c r="J52" s="20">
        <f>VLOOKUP(SizeCarton[[#This Row],[Carton ID]],Carton[#All],6,0)</f>
        <v>16.535433070866144</v>
      </c>
      <c r="K52" s="20">
        <f>VLOOKUP(SizeCarton[[#This Row],[Carton ID]],Carton[#All],7,0)</f>
        <v>20.275590551181104</v>
      </c>
      <c r="L52">
        <v>50</v>
      </c>
      <c r="M52">
        <v>40</v>
      </c>
    </row>
    <row r="53" spans="1:13">
      <c r="A53" t="s">
        <v>6</v>
      </c>
      <c r="B53">
        <v>5</v>
      </c>
      <c r="C53" s="3" t="s">
        <v>73</v>
      </c>
      <c r="E53" s="1" t="s">
        <v>8</v>
      </c>
      <c r="F53">
        <f>VLOOKUP(SizeCarton[[#This Row],[Carton ID]],Carton[#All],2,0)</f>
        <v>79</v>
      </c>
      <c r="G53">
        <f>VLOOKUP(SizeCarton[[#This Row],[Carton ID]],Carton[#All],3,0)</f>
        <v>42</v>
      </c>
      <c r="H53">
        <f>VLOOKUP(SizeCarton[[#This Row],[Carton ID]],Carton[#All],4,0)</f>
        <v>51.5</v>
      </c>
      <c r="I53" s="20">
        <f>VLOOKUP(SizeCarton[[#This Row],[Carton ID]],Carton[#All],5,0)</f>
        <v>31.102362204724411</v>
      </c>
      <c r="J53" s="20">
        <f>VLOOKUP(SizeCarton[[#This Row],[Carton ID]],Carton[#All],6,0)</f>
        <v>16.535433070866144</v>
      </c>
      <c r="K53" s="20">
        <f>VLOOKUP(SizeCarton[[#This Row],[Carton ID]],Carton[#All],7,0)</f>
        <v>20.275590551181104</v>
      </c>
      <c r="L53">
        <v>50</v>
      </c>
      <c r="M53">
        <v>40</v>
      </c>
    </row>
    <row r="54" spans="1:13">
      <c r="A54" t="s">
        <v>6</v>
      </c>
      <c r="B54">
        <v>5.5</v>
      </c>
      <c r="C54" s="3" t="s">
        <v>73</v>
      </c>
      <c r="E54" s="1" t="s">
        <v>8</v>
      </c>
      <c r="F54">
        <f>VLOOKUP(SizeCarton[[#This Row],[Carton ID]],Carton[#All],2,0)</f>
        <v>79</v>
      </c>
      <c r="G54">
        <f>VLOOKUP(SizeCarton[[#This Row],[Carton ID]],Carton[#All],3,0)</f>
        <v>42</v>
      </c>
      <c r="H54">
        <f>VLOOKUP(SizeCarton[[#This Row],[Carton ID]],Carton[#All],4,0)</f>
        <v>51.5</v>
      </c>
      <c r="I54" s="20">
        <f>VLOOKUP(SizeCarton[[#This Row],[Carton ID]],Carton[#All],5,0)</f>
        <v>31.102362204724411</v>
      </c>
      <c r="J54" s="20">
        <f>VLOOKUP(SizeCarton[[#This Row],[Carton ID]],Carton[#All],6,0)</f>
        <v>16.535433070866144</v>
      </c>
      <c r="K54" s="20">
        <f>VLOOKUP(SizeCarton[[#This Row],[Carton ID]],Carton[#All],7,0)</f>
        <v>20.275590551181104</v>
      </c>
      <c r="L54">
        <v>50</v>
      </c>
      <c r="M54">
        <v>40</v>
      </c>
    </row>
    <row r="55" spans="1:13">
      <c r="A55" t="s">
        <v>6</v>
      </c>
      <c r="B55">
        <v>6</v>
      </c>
      <c r="C55" s="3" t="s">
        <v>73</v>
      </c>
      <c r="D55">
        <v>15.4</v>
      </c>
      <c r="E55" s="1" t="s">
        <v>8</v>
      </c>
      <c r="F55">
        <f>VLOOKUP(SizeCarton[[#This Row],[Carton ID]],Carton[#All],2,0)</f>
        <v>79</v>
      </c>
      <c r="G55">
        <f>VLOOKUP(SizeCarton[[#This Row],[Carton ID]],Carton[#All],3,0)</f>
        <v>42</v>
      </c>
      <c r="H55">
        <f>VLOOKUP(SizeCarton[[#This Row],[Carton ID]],Carton[#All],4,0)</f>
        <v>51.5</v>
      </c>
      <c r="I55" s="20">
        <f>VLOOKUP(SizeCarton[[#This Row],[Carton ID]],Carton[#All],5,0)</f>
        <v>31.102362204724411</v>
      </c>
      <c r="J55" s="20">
        <f>VLOOKUP(SizeCarton[[#This Row],[Carton ID]],Carton[#All],6,0)</f>
        <v>16.535433070866144</v>
      </c>
      <c r="K55" s="20">
        <f>VLOOKUP(SizeCarton[[#This Row],[Carton ID]],Carton[#All],7,0)</f>
        <v>20.275590551181104</v>
      </c>
      <c r="L55">
        <v>50</v>
      </c>
      <c r="M55">
        <v>40</v>
      </c>
    </row>
    <row r="56" spans="1:13">
      <c r="A56" t="s">
        <v>6</v>
      </c>
      <c r="B56">
        <v>6.5</v>
      </c>
      <c r="C56" s="3" t="s">
        <v>73</v>
      </c>
      <c r="D56">
        <v>15.4</v>
      </c>
      <c r="E56" s="1" t="s">
        <v>8</v>
      </c>
      <c r="F56">
        <f>VLOOKUP(SizeCarton[[#This Row],[Carton ID]],Carton[#All],2,0)</f>
        <v>79</v>
      </c>
      <c r="G56">
        <f>VLOOKUP(SizeCarton[[#This Row],[Carton ID]],Carton[#All],3,0)</f>
        <v>42</v>
      </c>
      <c r="H56">
        <f>VLOOKUP(SizeCarton[[#This Row],[Carton ID]],Carton[#All],4,0)</f>
        <v>51.5</v>
      </c>
      <c r="I56" s="20">
        <f>VLOOKUP(SizeCarton[[#This Row],[Carton ID]],Carton[#All],5,0)</f>
        <v>31.102362204724411</v>
      </c>
      <c r="J56" s="20">
        <f>VLOOKUP(SizeCarton[[#This Row],[Carton ID]],Carton[#All],6,0)</f>
        <v>16.535433070866144</v>
      </c>
      <c r="K56" s="20">
        <f>VLOOKUP(SizeCarton[[#This Row],[Carton ID]],Carton[#All],7,0)</f>
        <v>20.275590551181104</v>
      </c>
      <c r="L56">
        <v>50</v>
      </c>
      <c r="M56">
        <v>40</v>
      </c>
    </row>
    <row r="57" spans="1:13">
      <c r="A57" t="s">
        <v>6</v>
      </c>
      <c r="B57">
        <v>7</v>
      </c>
      <c r="C57" s="3" t="s">
        <v>73</v>
      </c>
      <c r="D57">
        <v>15.4</v>
      </c>
      <c r="E57" s="1" t="s">
        <v>8</v>
      </c>
      <c r="F57">
        <f>VLOOKUP(SizeCarton[[#This Row],[Carton ID]],Carton[#All],2,0)</f>
        <v>79</v>
      </c>
      <c r="G57">
        <f>VLOOKUP(SizeCarton[[#This Row],[Carton ID]],Carton[#All],3,0)</f>
        <v>42</v>
      </c>
      <c r="H57">
        <f>VLOOKUP(SizeCarton[[#This Row],[Carton ID]],Carton[#All],4,0)</f>
        <v>51.5</v>
      </c>
      <c r="I57" s="20">
        <f>VLOOKUP(SizeCarton[[#This Row],[Carton ID]],Carton[#All],5,0)</f>
        <v>31.102362204724411</v>
      </c>
      <c r="J57" s="20">
        <f>VLOOKUP(SizeCarton[[#This Row],[Carton ID]],Carton[#All],6,0)</f>
        <v>16.535433070866144</v>
      </c>
      <c r="K57" s="20">
        <f>VLOOKUP(SizeCarton[[#This Row],[Carton ID]],Carton[#All],7,0)</f>
        <v>20.275590551181104</v>
      </c>
      <c r="L57">
        <v>50</v>
      </c>
      <c r="M57">
        <v>40</v>
      </c>
    </row>
    <row r="58" spans="1:13">
      <c r="A58" t="s">
        <v>6</v>
      </c>
      <c r="B58">
        <v>7.5</v>
      </c>
      <c r="C58" s="3" t="s">
        <v>73</v>
      </c>
      <c r="D58">
        <v>15.4</v>
      </c>
      <c r="E58" s="1" t="s">
        <v>8</v>
      </c>
      <c r="F58">
        <f>VLOOKUP(SizeCarton[[#This Row],[Carton ID]],Carton[#All],2,0)</f>
        <v>79</v>
      </c>
      <c r="G58">
        <f>VLOOKUP(SizeCarton[[#This Row],[Carton ID]],Carton[#All],3,0)</f>
        <v>42</v>
      </c>
      <c r="H58">
        <f>VLOOKUP(SizeCarton[[#This Row],[Carton ID]],Carton[#All],4,0)</f>
        <v>51.5</v>
      </c>
      <c r="I58" s="20">
        <f>VLOOKUP(SizeCarton[[#This Row],[Carton ID]],Carton[#All],5,0)</f>
        <v>31.102362204724411</v>
      </c>
      <c r="J58" s="20">
        <f>VLOOKUP(SizeCarton[[#This Row],[Carton ID]],Carton[#All],6,0)</f>
        <v>16.535433070866144</v>
      </c>
      <c r="K58" s="20">
        <f>VLOOKUP(SizeCarton[[#This Row],[Carton ID]],Carton[#All],7,0)</f>
        <v>20.275590551181104</v>
      </c>
      <c r="L58">
        <v>50</v>
      </c>
      <c r="M58">
        <v>40</v>
      </c>
    </row>
    <row r="59" spans="1:13">
      <c r="A59" t="s">
        <v>6</v>
      </c>
      <c r="B59">
        <v>8</v>
      </c>
      <c r="C59" s="3" t="s">
        <v>73</v>
      </c>
      <c r="D59">
        <v>16.2</v>
      </c>
      <c r="E59" s="1" t="s">
        <v>8</v>
      </c>
      <c r="F59">
        <f>VLOOKUP(SizeCarton[[#This Row],[Carton ID]],Carton[#All],2,0)</f>
        <v>79</v>
      </c>
      <c r="G59">
        <f>VLOOKUP(SizeCarton[[#This Row],[Carton ID]],Carton[#All],3,0)</f>
        <v>42</v>
      </c>
      <c r="H59">
        <f>VLOOKUP(SizeCarton[[#This Row],[Carton ID]],Carton[#All],4,0)</f>
        <v>51.5</v>
      </c>
      <c r="I59" s="20">
        <f>VLOOKUP(SizeCarton[[#This Row],[Carton ID]],Carton[#All],5,0)</f>
        <v>31.102362204724411</v>
      </c>
      <c r="J59" s="20">
        <f>VLOOKUP(SizeCarton[[#This Row],[Carton ID]],Carton[#All],6,0)</f>
        <v>16.535433070866144</v>
      </c>
      <c r="K59" s="20">
        <f>VLOOKUP(SizeCarton[[#This Row],[Carton ID]],Carton[#All],7,0)</f>
        <v>20.275590551181104</v>
      </c>
      <c r="L59">
        <v>50</v>
      </c>
      <c r="M59">
        <v>40</v>
      </c>
    </row>
    <row r="60" spans="1:13">
      <c r="A60" t="s">
        <v>6</v>
      </c>
      <c r="B60">
        <v>8.5</v>
      </c>
      <c r="C60" s="3" t="s">
        <v>73</v>
      </c>
      <c r="D60">
        <v>16.3</v>
      </c>
      <c r="E60" s="1" t="s">
        <v>8</v>
      </c>
      <c r="F60">
        <f>VLOOKUP(SizeCarton[[#This Row],[Carton ID]],Carton[#All],2,0)</f>
        <v>79</v>
      </c>
      <c r="G60">
        <f>VLOOKUP(SizeCarton[[#This Row],[Carton ID]],Carton[#All],3,0)</f>
        <v>42</v>
      </c>
      <c r="H60">
        <f>VLOOKUP(SizeCarton[[#This Row],[Carton ID]],Carton[#All],4,0)</f>
        <v>51.5</v>
      </c>
      <c r="I60" s="20">
        <f>VLOOKUP(SizeCarton[[#This Row],[Carton ID]],Carton[#All],5,0)</f>
        <v>31.102362204724411</v>
      </c>
      <c r="J60" s="20">
        <f>VLOOKUP(SizeCarton[[#This Row],[Carton ID]],Carton[#All],6,0)</f>
        <v>16.535433070866144</v>
      </c>
      <c r="K60" s="20">
        <f>VLOOKUP(SizeCarton[[#This Row],[Carton ID]],Carton[#All],7,0)</f>
        <v>20.275590551181104</v>
      </c>
      <c r="L60">
        <v>50</v>
      </c>
      <c r="M60">
        <v>40</v>
      </c>
    </row>
    <row r="61" spans="1:13">
      <c r="A61" t="s">
        <v>6</v>
      </c>
      <c r="B61">
        <v>9</v>
      </c>
      <c r="C61" s="3" t="s">
        <v>73</v>
      </c>
      <c r="D61">
        <v>16.399999999999999</v>
      </c>
      <c r="E61" s="1" t="s">
        <v>8</v>
      </c>
      <c r="F61">
        <f>VLOOKUP(SizeCarton[[#This Row],[Carton ID]],Carton[#All],2,0)</f>
        <v>79</v>
      </c>
      <c r="G61">
        <f>VLOOKUP(SizeCarton[[#This Row],[Carton ID]],Carton[#All],3,0)</f>
        <v>42</v>
      </c>
      <c r="H61">
        <f>VLOOKUP(SizeCarton[[#This Row],[Carton ID]],Carton[#All],4,0)</f>
        <v>51.5</v>
      </c>
      <c r="I61" s="20">
        <f>VLOOKUP(SizeCarton[[#This Row],[Carton ID]],Carton[#All],5,0)</f>
        <v>31.102362204724411</v>
      </c>
      <c r="J61" s="20">
        <f>VLOOKUP(SizeCarton[[#This Row],[Carton ID]],Carton[#All],6,0)</f>
        <v>16.535433070866144</v>
      </c>
      <c r="K61" s="20">
        <f>VLOOKUP(SizeCarton[[#This Row],[Carton ID]],Carton[#All],7,0)</f>
        <v>20.275590551181104</v>
      </c>
      <c r="L61">
        <v>50</v>
      </c>
      <c r="M61">
        <v>40</v>
      </c>
    </row>
    <row r="62" spans="1:13">
      <c r="A62" t="s">
        <v>6</v>
      </c>
      <c r="B62">
        <v>9.5</v>
      </c>
      <c r="C62" s="3" t="s">
        <v>73</v>
      </c>
      <c r="D62">
        <v>16.399999999999999</v>
      </c>
      <c r="E62" s="1" t="s">
        <v>8</v>
      </c>
      <c r="F62">
        <f>VLOOKUP(SizeCarton[[#This Row],[Carton ID]],Carton[#All],2,0)</f>
        <v>79</v>
      </c>
      <c r="G62">
        <f>VLOOKUP(SizeCarton[[#This Row],[Carton ID]],Carton[#All],3,0)</f>
        <v>42</v>
      </c>
      <c r="H62">
        <f>VLOOKUP(SizeCarton[[#This Row],[Carton ID]],Carton[#All],4,0)</f>
        <v>51.5</v>
      </c>
      <c r="I62" s="20">
        <f>VLOOKUP(SizeCarton[[#This Row],[Carton ID]],Carton[#All],5,0)</f>
        <v>31.102362204724411</v>
      </c>
      <c r="J62" s="20">
        <f>VLOOKUP(SizeCarton[[#This Row],[Carton ID]],Carton[#All],6,0)</f>
        <v>16.535433070866144</v>
      </c>
      <c r="K62" s="20">
        <f>VLOOKUP(SizeCarton[[#This Row],[Carton ID]],Carton[#All],7,0)</f>
        <v>20.275590551181104</v>
      </c>
      <c r="L62">
        <v>50</v>
      </c>
      <c r="M62">
        <v>40</v>
      </c>
    </row>
    <row r="63" spans="1:13">
      <c r="A63" t="s">
        <v>6</v>
      </c>
      <c r="B63">
        <v>10</v>
      </c>
      <c r="C63" s="3" t="s">
        <v>73</v>
      </c>
      <c r="D63">
        <v>16.899999999999999</v>
      </c>
      <c r="E63" s="1" t="s">
        <v>8</v>
      </c>
      <c r="F63">
        <f>VLOOKUP(SizeCarton[[#This Row],[Carton ID]],Carton[#All],2,0)</f>
        <v>79</v>
      </c>
      <c r="G63">
        <f>VLOOKUP(SizeCarton[[#This Row],[Carton ID]],Carton[#All],3,0)</f>
        <v>42</v>
      </c>
      <c r="H63">
        <f>VLOOKUP(SizeCarton[[#This Row],[Carton ID]],Carton[#All],4,0)</f>
        <v>51.5</v>
      </c>
      <c r="I63" s="20">
        <f>VLOOKUP(SizeCarton[[#This Row],[Carton ID]],Carton[#All],5,0)</f>
        <v>31.102362204724411</v>
      </c>
      <c r="J63" s="20">
        <f>VLOOKUP(SizeCarton[[#This Row],[Carton ID]],Carton[#All],6,0)</f>
        <v>16.535433070866144</v>
      </c>
      <c r="K63" s="20">
        <f>VLOOKUP(SizeCarton[[#This Row],[Carton ID]],Carton[#All],7,0)</f>
        <v>20.275590551181104</v>
      </c>
      <c r="L63">
        <v>50</v>
      </c>
      <c r="M63">
        <v>40</v>
      </c>
    </row>
    <row r="64" spans="1:13">
      <c r="A64" t="s">
        <v>6</v>
      </c>
      <c r="B64">
        <v>10.5</v>
      </c>
      <c r="C64" s="3" t="s">
        <v>73</v>
      </c>
      <c r="D64">
        <v>17.8</v>
      </c>
      <c r="E64" s="1" t="s">
        <v>9</v>
      </c>
      <c r="F64">
        <f>VLOOKUP(SizeCarton[[#This Row],[Carton ID]],Carton[#All],2,0)</f>
        <v>85</v>
      </c>
      <c r="G64">
        <f>VLOOKUP(SizeCarton[[#This Row],[Carton ID]],Carton[#All],3,0)</f>
        <v>45</v>
      </c>
      <c r="H64">
        <f>VLOOKUP(SizeCarton[[#This Row],[Carton ID]],Carton[#All],4,0)</f>
        <v>55.5</v>
      </c>
      <c r="I64" s="20">
        <f>VLOOKUP(SizeCarton[[#This Row],[Carton ID]],Carton[#All],5,0)</f>
        <v>33.464566929133859</v>
      </c>
      <c r="J64" s="20">
        <f>VLOOKUP(SizeCarton[[#This Row],[Carton ID]],Carton[#All],6,0)</f>
        <v>17.716535433070867</v>
      </c>
      <c r="K64" s="20">
        <f>VLOOKUP(SizeCarton[[#This Row],[Carton ID]],Carton[#All],7,0)</f>
        <v>21.850393700787404</v>
      </c>
      <c r="L64">
        <v>50</v>
      </c>
      <c r="M64">
        <v>40</v>
      </c>
    </row>
    <row r="65" spans="1:13">
      <c r="A65" t="s">
        <v>6</v>
      </c>
      <c r="B65">
        <v>11</v>
      </c>
      <c r="C65" s="3" t="s">
        <v>73</v>
      </c>
      <c r="D65">
        <v>18</v>
      </c>
      <c r="E65" s="1" t="s">
        <v>9</v>
      </c>
      <c r="F65">
        <f>VLOOKUP(SizeCarton[[#This Row],[Carton ID]],Carton[#All],2,0)</f>
        <v>85</v>
      </c>
      <c r="G65">
        <f>VLOOKUP(SizeCarton[[#This Row],[Carton ID]],Carton[#All],3,0)</f>
        <v>45</v>
      </c>
      <c r="H65">
        <f>VLOOKUP(SizeCarton[[#This Row],[Carton ID]],Carton[#All],4,0)</f>
        <v>55.5</v>
      </c>
      <c r="I65" s="20">
        <f>VLOOKUP(SizeCarton[[#This Row],[Carton ID]],Carton[#All],5,0)</f>
        <v>33.464566929133859</v>
      </c>
      <c r="J65" s="20">
        <f>VLOOKUP(SizeCarton[[#This Row],[Carton ID]],Carton[#All],6,0)</f>
        <v>17.716535433070867</v>
      </c>
      <c r="K65" s="20">
        <f>VLOOKUP(SizeCarton[[#This Row],[Carton ID]],Carton[#All],7,0)</f>
        <v>21.850393700787404</v>
      </c>
      <c r="L65">
        <v>50</v>
      </c>
      <c r="M65">
        <v>40</v>
      </c>
    </row>
    <row r="66" spans="1:13">
      <c r="A66" t="s">
        <v>6</v>
      </c>
      <c r="B66">
        <v>11.5</v>
      </c>
      <c r="C66" s="3" t="s">
        <v>73</v>
      </c>
      <c r="D66">
        <v>18.3</v>
      </c>
      <c r="E66" s="1" t="s">
        <v>9</v>
      </c>
      <c r="F66">
        <f>VLOOKUP(SizeCarton[[#This Row],[Carton ID]],Carton[#All],2,0)</f>
        <v>85</v>
      </c>
      <c r="G66">
        <f>VLOOKUP(SizeCarton[[#This Row],[Carton ID]],Carton[#All],3,0)</f>
        <v>45</v>
      </c>
      <c r="H66">
        <f>VLOOKUP(SizeCarton[[#This Row],[Carton ID]],Carton[#All],4,0)</f>
        <v>55.5</v>
      </c>
      <c r="I66" s="20">
        <f>VLOOKUP(SizeCarton[[#This Row],[Carton ID]],Carton[#All],5,0)</f>
        <v>33.464566929133859</v>
      </c>
      <c r="J66" s="20">
        <f>VLOOKUP(SizeCarton[[#This Row],[Carton ID]],Carton[#All],6,0)</f>
        <v>17.716535433070867</v>
      </c>
      <c r="K66" s="20">
        <f>VLOOKUP(SizeCarton[[#This Row],[Carton ID]],Carton[#All],7,0)</f>
        <v>21.850393700787404</v>
      </c>
      <c r="L66">
        <v>50</v>
      </c>
      <c r="M66">
        <v>40</v>
      </c>
    </row>
    <row r="67" spans="1:13">
      <c r="A67" t="s">
        <v>6</v>
      </c>
      <c r="B67">
        <v>12</v>
      </c>
      <c r="C67" s="3" t="s">
        <v>73</v>
      </c>
      <c r="D67">
        <v>18.7</v>
      </c>
      <c r="E67" s="1" t="s">
        <v>9</v>
      </c>
      <c r="F67">
        <f>VLOOKUP(SizeCarton[[#This Row],[Carton ID]],Carton[#All],2,0)</f>
        <v>85</v>
      </c>
      <c r="G67">
        <f>VLOOKUP(SizeCarton[[#This Row],[Carton ID]],Carton[#All],3,0)</f>
        <v>45</v>
      </c>
      <c r="H67">
        <f>VLOOKUP(SizeCarton[[#This Row],[Carton ID]],Carton[#All],4,0)</f>
        <v>55.5</v>
      </c>
      <c r="I67" s="20">
        <f>VLOOKUP(SizeCarton[[#This Row],[Carton ID]],Carton[#All],5,0)</f>
        <v>33.464566929133859</v>
      </c>
      <c r="J67" s="20">
        <f>VLOOKUP(SizeCarton[[#This Row],[Carton ID]],Carton[#All],6,0)</f>
        <v>17.716535433070867</v>
      </c>
      <c r="K67" s="20">
        <f>VLOOKUP(SizeCarton[[#This Row],[Carton ID]],Carton[#All],7,0)</f>
        <v>21.850393700787404</v>
      </c>
      <c r="L67">
        <v>50</v>
      </c>
      <c r="M67">
        <v>40</v>
      </c>
    </row>
    <row r="68" spans="1:13">
      <c r="A68" t="s">
        <v>6</v>
      </c>
      <c r="B68">
        <v>12.5</v>
      </c>
      <c r="C68" s="3" t="s">
        <v>73</v>
      </c>
      <c r="D68">
        <v>18.7</v>
      </c>
      <c r="E68" s="1" t="s">
        <v>9</v>
      </c>
      <c r="F68">
        <f>VLOOKUP(SizeCarton[[#This Row],[Carton ID]],Carton[#All],2,0)</f>
        <v>85</v>
      </c>
      <c r="G68">
        <f>VLOOKUP(SizeCarton[[#This Row],[Carton ID]],Carton[#All],3,0)</f>
        <v>45</v>
      </c>
      <c r="H68">
        <f>VLOOKUP(SizeCarton[[#This Row],[Carton ID]],Carton[#All],4,0)</f>
        <v>55.5</v>
      </c>
      <c r="I68" s="20">
        <f>VLOOKUP(SizeCarton[[#This Row],[Carton ID]],Carton[#All],5,0)</f>
        <v>33.464566929133859</v>
      </c>
      <c r="J68" s="20">
        <f>VLOOKUP(SizeCarton[[#This Row],[Carton ID]],Carton[#All],6,0)</f>
        <v>17.716535433070867</v>
      </c>
      <c r="K68" s="20">
        <f>VLOOKUP(SizeCarton[[#This Row],[Carton ID]],Carton[#All],7,0)</f>
        <v>21.850393700787404</v>
      </c>
      <c r="L68">
        <v>50</v>
      </c>
      <c r="M68">
        <v>40</v>
      </c>
    </row>
    <row r="69" spans="1:13">
      <c r="A69" t="s">
        <v>6</v>
      </c>
      <c r="B69">
        <v>13</v>
      </c>
      <c r="C69" s="3" t="s">
        <v>73</v>
      </c>
      <c r="D69">
        <v>19.100000000000001</v>
      </c>
      <c r="E69" s="1" t="s">
        <v>9</v>
      </c>
      <c r="F69">
        <f>VLOOKUP(SizeCarton[[#This Row],[Carton ID]],Carton[#All],2,0)</f>
        <v>85</v>
      </c>
      <c r="G69">
        <f>VLOOKUP(SizeCarton[[#This Row],[Carton ID]],Carton[#All],3,0)</f>
        <v>45</v>
      </c>
      <c r="H69">
        <f>VLOOKUP(SizeCarton[[#This Row],[Carton ID]],Carton[#All],4,0)</f>
        <v>55.5</v>
      </c>
      <c r="I69" s="20">
        <f>VLOOKUP(SizeCarton[[#This Row],[Carton ID]],Carton[#All],5,0)</f>
        <v>33.464566929133859</v>
      </c>
      <c r="J69" s="20">
        <f>VLOOKUP(SizeCarton[[#This Row],[Carton ID]],Carton[#All],6,0)</f>
        <v>17.716535433070867</v>
      </c>
      <c r="K69" s="20">
        <f>VLOOKUP(SizeCarton[[#This Row],[Carton ID]],Carton[#All],7,0)</f>
        <v>21.850393700787404</v>
      </c>
      <c r="L69">
        <v>50</v>
      </c>
      <c r="M69">
        <v>40</v>
      </c>
    </row>
    <row r="70" spans="1:13">
      <c r="A70" t="s">
        <v>6</v>
      </c>
      <c r="B70">
        <v>13.5</v>
      </c>
      <c r="C70" s="3" t="s">
        <v>73</v>
      </c>
      <c r="D70">
        <v>19.600000000000001</v>
      </c>
      <c r="E70" s="1" t="s">
        <v>9</v>
      </c>
      <c r="F70">
        <f>VLOOKUP(SizeCarton[[#This Row],[Carton ID]],Carton[#All],2,0)</f>
        <v>85</v>
      </c>
      <c r="G70">
        <f>VLOOKUP(SizeCarton[[#This Row],[Carton ID]],Carton[#All],3,0)</f>
        <v>45</v>
      </c>
      <c r="H70">
        <f>VLOOKUP(SizeCarton[[#This Row],[Carton ID]],Carton[#All],4,0)</f>
        <v>55.5</v>
      </c>
      <c r="I70" s="20">
        <f>VLOOKUP(SizeCarton[[#This Row],[Carton ID]],Carton[#All],5,0)</f>
        <v>33.464566929133859</v>
      </c>
      <c r="J70" s="20">
        <f>VLOOKUP(SizeCarton[[#This Row],[Carton ID]],Carton[#All],6,0)</f>
        <v>17.716535433070867</v>
      </c>
      <c r="K70" s="20">
        <f>VLOOKUP(SizeCarton[[#This Row],[Carton ID]],Carton[#All],7,0)</f>
        <v>21.850393700787404</v>
      </c>
      <c r="L70">
        <v>50</v>
      </c>
      <c r="M70">
        <v>40</v>
      </c>
    </row>
    <row r="71" spans="1:13">
      <c r="A71" t="s">
        <v>6</v>
      </c>
      <c r="B71">
        <v>14</v>
      </c>
      <c r="C71" s="3" t="s">
        <v>73</v>
      </c>
      <c r="D71">
        <v>19.5</v>
      </c>
      <c r="E71" s="1" t="s">
        <v>9</v>
      </c>
      <c r="F71">
        <f>VLOOKUP(SizeCarton[[#This Row],[Carton ID]],Carton[#All],2,0)</f>
        <v>85</v>
      </c>
      <c r="G71">
        <f>VLOOKUP(SizeCarton[[#This Row],[Carton ID]],Carton[#All],3,0)</f>
        <v>45</v>
      </c>
      <c r="H71">
        <f>VLOOKUP(SizeCarton[[#This Row],[Carton ID]],Carton[#All],4,0)</f>
        <v>55.5</v>
      </c>
      <c r="I71" s="20">
        <f>VLOOKUP(SizeCarton[[#This Row],[Carton ID]],Carton[#All],5,0)</f>
        <v>33.464566929133859</v>
      </c>
      <c r="J71" s="20">
        <f>VLOOKUP(SizeCarton[[#This Row],[Carton ID]],Carton[#All],6,0)</f>
        <v>17.716535433070867</v>
      </c>
      <c r="K71" s="20">
        <f>VLOOKUP(SizeCarton[[#This Row],[Carton ID]],Carton[#All],7,0)</f>
        <v>21.850393700787404</v>
      </c>
      <c r="L71">
        <v>50</v>
      </c>
      <c r="M71">
        <v>40</v>
      </c>
    </row>
    <row r="72" spans="1:13">
      <c r="A72" t="s">
        <v>6</v>
      </c>
      <c r="B72">
        <v>15</v>
      </c>
      <c r="C72" s="3" t="s">
        <v>73</v>
      </c>
      <c r="D72">
        <v>20.7</v>
      </c>
      <c r="E72" s="1" t="s">
        <v>9</v>
      </c>
      <c r="F72">
        <f>VLOOKUP(SizeCarton[[#This Row],[Carton ID]],Carton[#All],2,0)</f>
        <v>85</v>
      </c>
      <c r="G72">
        <f>VLOOKUP(SizeCarton[[#This Row],[Carton ID]],Carton[#All],3,0)</f>
        <v>45</v>
      </c>
      <c r="H72">
        <f>VLOOKUP(SizeCarton[[#This Row],[Carton ID]],Carton[#All],4,0)</f>
        <v>55.5</v>
      </c>
      <c r="I72" s="20">
        <f>VLOOKUP(SizeCarton[[#This Row],[Carton ID]],Carton[#All],5,0)</f>
        <v>33.464566929133859</v>
      </c>
      <c r="J72" s="20">
        <f>VLOOKUP(SizeCarton[[#This Row],[Carton ID]],Carton[#All],6,0)</f>
        <v>17.716535433070867</v>
      </c>
      <c r="K72" s="20">
        <f>VLOOKUP(SizeCarton[[#This Row],[Carton ID]],Carton[#All],7,0)</f>
        <v>21.850393700787404</v>
      </c>
      <c r="L72">
        <v>50</v>
      </c>
      <c r="M72">
        <v>40</v>
      </c>
    </row>
    <row r="73" spans="1:13">
      <c r="A73" t="s">
        <v>6</v>
      </c>
      <c r="B73">
        <v>16</v>
      </c>
      <c r="C73" s="3" t="s">
        <v>73</v>
      </c>
      <c r="E73" s="1" t="s">
        <v>9</v>
      </c>
      <c r="F73">
        <f>VLOOKUP(SizeCarton[[#This Row],[Carton ID]],Carton[#All],2,0)</f>
        <v>85</v>
      </c>
      <c r="G73">
        <f>VLOOKUP(SizeCarton[[#This Row],[Carton ID]],Carton[#All],3,0)</f>
        <v>45</v>
      </c>
      <c r="H73">
        <f>VLOOKUP(SizeCarton[[#This Row],[Carton ID]],Carton[#All],4,0)</f>
        <v>55.5</v>
      </c>
      <c r="I73" s="20">
        <f>VLOOKUP(SizeCarton[[#This Row],[Carton ID]],Carton[#All],5,0)</f>
        <v>33.464566929133859</v>
      </c>
      <c r="J73" s="20">
        <f>VLOOKUP(SizeCarton[[#This Row],[Carton ID]],Carton[#All],6,0)</f>
        <v>17.716535433070867</v>
      </c>
      <c r="K73" s="20">
        <f>VLOOKUP(SizeCarton[[#This Row],[Carton ID]],Carton[#All],7,0)</f>
        <v>21.850393700787404</v>
      </c>
      <c r="L73">
        <v>50</v>
      </c>
      <c r="M73">
        <v>40</v>
      </c>
    </row>
    <row r="74" spans="1:13">
      <c r="A74" t="s">
        <v>6</v>
      </c>
      <c r="B74">
        <v>8</v>
      </c>
      <c r="C74" s="3" t="s">
        <v>76</v>
      </c>
      <c r="E74" s="1" t="s">
        <v>8</v>
      </c>
      <c r="F74">
        <f>VLOOKUP(SizeCarton[[#This Row],[Carton ID]],Carton[#All],2,0)</f>
        <v>79</v>
      </c>
      <c r="G74">
        <f>VLOOKUP(SizeCarton[[#This Row],[Carton ID]],Carton[#All],3,0)</f>
        <v>42</v>
      </c>
      <c r="H74">
        <f>VLOOKUP(SizeCarton[[#This Row],[Carton ID]],Carton[#All],4,0)</f>
        <v>51.5</v>
      </c>
      <c r="I74" s="20">
        <f>VLOOKUP(SizeCarton[[#This Row],[Carton ID]],Carton[#All],5,0)</f>
        <v>31.102362204724411</v>
      </c>
      <c r="J74" s="20">
        <f>VLOOKUP(SizeCarton[[#This Row],[Carton ID]],Carton[#All],6,0)</f>
        <v>16.535433070866144</v>
      </c>
      <c r="K74" s="20">
        <f>VLOOKUP(SizeCarton[[#This Row],[Carton ID]],Carton[#All],7,0)</f>
        <v>20.275590551181104</v>
      </c>
      <c r="L74">
        <v>50</v>
      </c>
      <c r="M74">
        <v>40</v>
      </c>
    </row>
    <row r="75" spans="1:13">
      <c r="A75" t="s">
        <v>6</v>
      </c>
      <c r="B75">
        <v>8.5</v>
      </c>
      <c r="C75" s="3" t="s">
        <v>76</v>
      </c>
      <c r="E75" s="1" t="s">
        <v>8</v>
      </c>
      <c r="F75">
        <f>VLOOKUP(SizeCarton[[#This Row],[Carton ID]],Carton[#All],2,0)</f>
        <v>79</v>
      </c>
      <c r="G75">
        <f>VLOOKUP(SizeCarton[[#This Row],[Carton ID]],Carton[#All],3,0)</f>
        <v>42</v>
      </c>
      <c r="H75">
        <f>VLOOKUP(SizeCarton[[#This Row],[Carton ID]],Carton[#All],4,0)</f>
        <v>51.5</v>
      </c>
      <c r="I75" s="20">
        <f>VLOOKUP(SizeCarton[[#This Row],[Carton ID]],Carton[#All],5,0)</f>
        <v>31.102362204724411</v>
      </c>
      <c r="J75" s="20">
        <f>VLOOKUP(SizeCarton[[#This Row],[Carton ID]],Carton[#All],6,0)</f>
        <v>16.535433070866144</v>
      </c>
      <c r="K75" s="20">
        <f>VLOOKUP(SizeCarton[[#This Row],[Carton ID]],Carton[#All],7,0)</f>
        <v>20.275590551181104</v>
      </c>
      <c r="L75">
        <v>50</v>
      </c>
      <c r="M75">
        <v>40</v>
      </c>
    </row>
    <row r="76" spans="1:13">
      <c r="A76" t="s">
        <v>6</v>
      </c>
      <c r="B76">
        <v>9</v>
      </c>
      <c r="C76" s="3" t="s">
        <v>76</v>
      </c>
      <c r="E76" s="1" t="s">
        <v>8</v>
      </c>
      <c r="F76">
        <f>VLOOKUP(SizeCarton[[#This Row],[Carton ID]],Carton[#All],2,0)</f>
        <v>79</v>
      </c>
      <c r="G76">
        <f>VLOOKUP(SizeCarton[[#This Row],[Carton ID]],Carton[#All],3,0)</f>
        <v>42</v>
      </c>
      <c r="H76">
        <f>VLOOKUP(SizeCarton[[#This Row],[Carton ID]],Carton[#All],4,0)</f>
        <v>51.5</v>
      </c>
      <c r="I76" s="20">
        <f>VLOOKUP(SizeCarton[[#This Row],[Carton ID]],Carton[#All],5,0)</f>
        <v>31.102362204724411</v>
      </c>
      <c r="J76" s="20">
        <f>VLOOKUP(SizeCarton[[#This Row],[Carton ID]],Carton[#All],6,0)</f>
        <v>16.535433070866144</v>
      </c>
      <c r="K76" s="20">
        <f>VLOOKUP(SizeCarton[[#This Row],[Carton ID]],Carton[#All],7,0)</f>
        <v>20.275590551181104</v>
      </c>
      <c r="L76">
        <v>50</v>
      </c>
      <c r="M76">
        <v>40</v>
      </c>
    </row>
    <row r="77" spans="1:13">
      <c r="A77" t="s">
        <v>6</v>
      </c>
      <c r="B77">
        <v>9.5</v>
      </c>
      <c r="C77" s="3" t="s">
        <v>76</v>
      </c>
      <c r="E77" s="1" t="s">
        <v>8</v>
      </c>
      <c r="F77">
        <f>VLOOKUP(SizeCarton[[#This Row],[Carton ID]],Carton[#All],2,0)</f>
        <v>79</v>
      </c>
      <c r="G77">
        <f>VLOOKUP(SizeCarton[[#This Row],[Carton ID]],Carton[#All],3,0)</f>
        <v>42</v>
      </c>
      <c r="H77">
        <f>VLOOKUP(SizeCarton[[#This Row],[Carton ID]],Carton[#All],4,0)</f>
        <v>51.5</v>
      </c>
      <c r="I77" s="20">
        <f>VLOOKUP(SizeCarton[[#This Row],[Carton ID]],Carton[#All],5,0)</f>
        <v>31.102362204724411</v>
      </c>
      <c r="J77" s="20">
        <f>VLOOKUP(SizeCarton[[#This Row],[Carton ID]],Carton[#All],6,0)</f>
        <v>16.535433070866144</v>
      </c>
      <c r="K77" s="20">
        <f>VLOOKUP(SizeCarton[[#This Row],[Carton ID]],Carton[#All],7,0)</f>
        <v>20.275590551181104</v>
      </c>
      <c r="L77">
        <v>50</v>
      </c>
      <c r="M77">
        <v>40</v>
      </c>
    </row>
    <row r="78" spans="1:13">
      <c r="A78" t="s">
        <v>6</v>
      </c>
      <c r="B78">
        <v>10</v>
      </c>
      <c r="C78" s="3" t="s">
        <v>76</v>
      </c>
      <c r="E78" s="1" t="s">
        <v>8</v>
      </c>
      <c r="F78">
        <f>VLOOKUP(SizeCarton[[#This Row],[Carton ID]],Carton[#All],2,0)</f>
        <v>79</v>
      </c>
      <c r="G78">
        <f>VLOOKUP(SizeCarton[[#This Row],[Carton ID]],Carton[#All],3,0)</f>
        <v>42</v>
      </c>
      <c r="H78">
        <f>VLOOKUP(SizeCarton[[#This Row],[Carton ID]],Carton[#All],4,0)</f>
        <v>51.5</v>
      </c>
      <c r="I78" s="20">
        <f>VLOOKUP(SizeCarton[[#This Row],[Carton ID]],Carton[#All],5,0)</f>
        <v>31.102362204724411</v>
      </c>
      <c r="J78" s="20">
        <f>VLOOKUP(SizeCarton[[#This Row],[Carton ID]],Carton[#All],6,0)</f>
        <v>16.535433070866144</v>
      </c>
      <c r="K78" s="20">
        <f>VLOOKUP(SizeCarton[[#This Row],[Carton ID]],Carton[#All],7,0)</f>
        <v>20.275590551181104</v>
      </c>
      <c r="L78">
        <v>50</v>
      </c>
      <c r="M78">
        <v>40</v>
      </c>
    </row>
    <row r="79" spans="1:13">
      <c r="A79" t="s">
        <v>6</v>
      </c>
      <c r="B79">
        <v>10.5</v>
      </c>
      <c r="C79" s="3" t="s">
        <v>76</v>
      </c>
      <c r="E79" s="1" t="s">
        <v>9</v>
      </c>
      <c r="F79">
        <f>VLOOKUP(SizeCarton[[#This Row],[Carton ID]],Carton[#All],2,0)</f>
        <v>85</v>
      </c>
      <c r="G79">
        <f>VLOOKUP(SizeCarton[[#This Row],[Carton ID]],Carton[#All],3,0)</f>
        <v>45</v>
      </c>
      <c r="H79">
        <f>VLOOKUP(SizeCarton[[#This Row],[Carton ID]],Carton[#All],4,0)</f>
        <v>55.5</v>
      </c>
      <c r="I79" s="20">
        <f>VLOOKUP(SizeCarton[[#This Row],[Carton ID]],Carton[#All],5,0)</f>
        <v>33.464566929133859</v>
      </c>
      <c r="J79" s="20">
        <f>VLOOKUP(SizeCarton[[#This Row],[Carton ID]],Carton[#All],6,0)</f>
        <v>17.716535433070867</v>
      </c>
      <c r="K79" s="20">
        <f>VLOOKUP(SizeCarton[[#This Row],[Carton ID]],Carton[#All],7,0)</f>
        <v>21.850393700787404</v>
      </c>
      <c r="L79">
        <v>50</v>
      </c>
      <c r="M79">
        <v>40</v>
      </c>
    </row>
    <row r="80" spans="1:13">
      <c r="A80" t="s">
        <v>6</v>
      </c>
      <c r="B80">
        <v>11</v>
      </c>
      <c r="C80" s="3" t="s">
        <v>76</v>
      </c>
      <c r="E80" s="1" t="s">
        <v>9</v>
      </c>
      <c r="F80">
        <f>VLOOKUP(SizeCarton[[#This Row],[Carton ID]],Carton[#All],2,0)</f>
        <v>85</v>
      </c>
      <c r="G80">
        <f>VLOOKUP(SizeCarton[[#This Row],[Carton ID]],Carton[#All],3,0)</f>
        <v>45</v>
      </c>
      <c r="H80">
        <f>VLOOKUP(SizeCarton[[#This Row],[Carton ID]],Carton[#All],4,0)</f>
        <v>55.5</v>
      </c>
      <c r="I80" s="20">
        <f>VLOOKUP(SizeCarton[[#This Row],[Carton ID]],Carton[#All],5,0)</f>
        <v>33.464566929133859</v>
      </c>
      <c r="J80" s="20">
        <f>VLOOKUP(SizeCarton[[#This Row],[Carton ID]],Carton[#All],6,0)</f>
        <v>17.716535433070867</v>
      </c>
      <c r="K80" s="20">
        <f>VLOOKUP(SizeCarton[[#This Row],[Carton ID]],Carton[#All],7,0)</f>
        <v>21.850393700787404</v>
      </c>
      <c r="L80">
        <v>50</v>
      </c>
      <c r="M80">
        <v>40</v>
      </c>
    </row>
    <row r="81" spans="1:13">
      <c r="A81" t="s">
        <v>6</v>
      </c>
      <c r="B81">
        <v>11.5</v>
      </c>
      <c r="C81" s="3" t="s">
        <v>76</v>
      </c>
      <c r="E81" s="1" t="s">
        <v>9</v>
      </c>
      <c r="F81">
        <f>VLOOKUP(SizeCarton[[#This Row],[Carton ID]],Carton[#All],2,0)</f>
        <v>85</v>
      </c>
      <c r="G81">
        <f>VLOOKUP(SizeCarton[[#This Row],[Carton ID]],Carton[#All],3,0)</f>
        <v>45</v>
      </c>
      <c r="H81">
        <f>VLOOKUP(SizeCarton[[#This Row],[Carton ID]],Carton[#All],4,0)</f>
        <v>55.5</v>
      </c>
      <c r="I81" s="20">
        <f>VLOOKUP(SizeCarton[[#This Row],[Carton ID]],Carton[#All],5,0)</f>
        <v>33.464566929133859</v>
      </c>
      <c r="J81" s="20">
        <f>VLOOKUP(SizeCarton[[#This Row],[Carton ID]],Carton[#All],6,0)</f>
        <v>17.716535433070867</v>
      </c>
      <c r="K81" s="20">
        <f>VLOOKUP(SizeCarton[[#This Row],[Carton ID]],Carton[#All],7,0)</f>
        <v>21.850393700787404</v>
      </c>
      <c r="L81">
        <v>50</v>
      </c>
      <c r="M81">
        <v>40</v>
      </c>
    </row>
    <row r="82" spans="1:13">
      <c r="A82" t="s">
        <v>6</v>
      </c>
      <c r="B82">
        <v>12</v>
      </c>
      <c r="C82" s="3" t="s">
        <v>76</v>
      </c>
      <c r="E82" s="1" t="s">
        <v>9</v>
      </c>
      <c r="F82">
        <f>VLOOKUP(SizeCarton[[#This Row],[Carton ID]],Carton[#All],2,0)</f>
        <v>85</v>
      </c>
      <c r="G82">
        <f>VLOOKUP(SizeCarton[[#This Row],[Carton ID]],Carton[#All],3,0)</f>
        <v>45</v>
      </c>
      <c r="H82">
        <f>VLOOKUP(SizeCarton[[#This Row],[Carton ID]],Carton[#All],4,0)</f>
        <v>55.5</v>
      </c>
      <c r="I82" s="20">
        <f>VLOOKUP(SizeCarton[[#This Row],[Carton ID]],Carton[#All],5,0)</f>
        <v>33.464566929133859</v>
      </c>
      <c r="J82" s="20">
        <f>VLOOKUP(SizeCarton[[#This Row],[Carton ID]],Carton[#All],6,0)</f>
        <v>17.716535433070867</v>
      </c>
      <c r="K82" s="20">
        <f>VLOOKUP(SizeCarton[[#This Row],[Carton ID]],Carton[#All],7,0)</f>
        <v>21.850393700787404</v>
      </c>
      <c r="L82">
        <v>50</v>
      </c>
      <c r="M82">
        <v>40</v>
      </c>
    </row>
    <row r="83" spans="1:13">
      <c r="A83" t="s">
        <v>6</v>
      </c>
      <c r="B83">
        <v>12.5</v>
      </c>
      <c r="C83" s="3" t="s">
        <v>76</v>
      </c>
      <c r="E83" s="1" t="s">
        <v>9</v>
      </c>
      <c r="F83">
        <f>VLOOKUP(SizeCarton[[#This Row],[Carton ID]],Carton[#All],2,0)</f>
        <v>85</v>
      </c>
      <c r="G83">
        <f>VLOOKUP(SizeCarton[[#This Row],[Carton ID]],Carton[#All],3,0)</f>
        <v>45</v>
      </c>
      <c r="H83">
        <f>VLOOKUP(SizeCarton[[#This Row],[Carton ID]],Carton[#All],4,0)</f>
        <v>55.5</v>
      </c>
      <c r="I83" s="20">
        <f>VLOOKUP(SizeCarton[[#This Row],[Carton ID]],Carton[#All],5,0)</f>
        <v>33.464566929133859</v>
      </c>
      <c r="J83" s="20">
        <f>VLOOKUP(SizeCarton[[#This Row],[Carton ID]],Carton[#All],6,0)</f>
        <v>17.716535433070867</v>
      </c>
      <c r="K83" s="20">
        <f>VLOOKUP(SizeCarton[[#This Row],[Carton ID]],Carton[#All],7,0)</f>
        <v>21.850393700787404</v>
      </c>
      <c r="L83">
        <v>50</v>
      </c>
      <c r="M83">
        <v>40</v>
      </c>
    </row>
    <row r="84" spans="1:13">
      <c r="A84" t="s">
        <v>6</v>
      </c>
      <c r="B84">
        <v>13</v>
      </c>
      <c r="C84" s="3" t="s">
        <v>76</v>
      </c>
      <c r="E84" s="1" t="s">
        <v>9</v>
      </c>
      <c r="F84">
        <f>VLOOKUP(SizeCarton[[#This Row],[Carton ID]],Carton[#All],2,0)</f>
        <v>85</v>
      </c>
      <c r="G84">
        <f>VLOOKUP(SizeCarton[[#This Row],[Carton ID]],Carton[#All],3,0)</f>
        <v>45</v>
      </c>
      <c r="H84">
        <f>VLOOKUP(SizeCarton[[#This Row],[Carton ID]],Carton[#All],4,0)</f>
        <v>55.5</v>
      </c>
      <c r="I84" s="20">
        <f>VLOOKUP(SizeCarton[[#This Row],[Carton ID]],Carton[#All],5,0)</f>
        <v>33.464566929133859</v>
      </c>
      <c r="J84" s="20">
        <f>VLOOKUP(SizeCarton[[#This Row],[Carton ID]],Carton[#All],6,0)</f>
        <v>17.716535433070867</v>
      </c>
      <c r="K84" s="20">
        <f>VLOOKUP(SizeCarton[[#This Row],[Carton ID]],Carton[#All],7,0)</f>
        <v>21.850393700787404</v>
      </c>
      <c r="L84">
        <v>50</v>
      </c>
      <c r="M84">
        <v>40</v>
      </c>
    </row>
    <row r="85" spans="1:13">
      <c r="A85" t="s">
        <v>6</v>
      </c>
      <c r="B85">
        <v>13.5</v>
      </c>
      <c r="C85" s="3" t="s">
        <v>76</v>
      </c>
      <c r="E85" s="1" t="s">
        <v>9</v>
      </c>
      <c r="F85">
        <f>VLOOKUP(SizeCarton[[#This Row],[Carton ID]],Carton[#All],2,0)</f>
        <v>85</v>
      </c>
      <c r="G85">
        <f>VLOOKUP(SizeCarton[[#This Row],[Carton ID]],Carton[#All],3,0)</f>
        <v>45</v>
      </c>
      <c r="H85">
        <f>VLOOKUP(SizeCarton[[#This Row],[Carton ID]],Carton[#All],4,0)</f>
        <v>55.5</v>
      </c>
      <c r="I85" s="20">
        <f>VLOOKUP(SizeCarton[[#This Row],[Carton ID]],Carton[#All],5,0)</f>
        <v>33.464566929133859</v>
      </c>
      <c r="J85" s="20">
        <f>VLOOKUP(SizeCarton[[#This Row],[Carton ID]],Carton[#All],6,0)</f>
        <v>17.716535433070867</v>
      </c>
      <c r="K85" s="20">
        <f>VLOOKUP(SizeCarton[[#This Row],[Carton ID]],Carton[#All],7,0)</f>
        <v>21.850393700787404</v>
      </c>
      <c r="L85">
        <v>50</v>
      </c>
      <c r="M85">
        <v>40</v>
      </c>
    </row>
    <row r="86" spans="1:13">
      <c r="A86" t="s">
        <v>6</v>
      </c>
      <c r="B86">
        <v>14</v>
      </c>
      <c r="C86" s="3" t="s">
        <v>76</v>
      </c>
      <c r="E86" s="1" t="s">
        <v>9</v>
      </c>
      <c r="F86">
        <f>VLOOKUP(SizeCarton[[#This Row],[Carton ID]],Carton[#All],2,0)</f>
        <v>85</v>
      </c>
      <c r="G86">
        <f>VLOOKUP(SizeCarton[[#This Row],[Carton ID]],Carton[#All],3,0)</f>
        <v>45</v>
      </c>
      <c r="H86">
        <f>VLOOKUP(SizeCarton[[#This Row],[Carton ID]],Carton[#All],4,0)</f>
        <v>55.5</v>
      </c>
      <c r="I86" s="20">
        <f>VLOOKUP(SizeCarton[[#This Row],[Carton ID]],Carton[#All],5,0)</f>
        <v>33.464566929133859</v>
      </c>
      <c r="J86" s="20">
        <f>VLOOKUP(SizeCarton[[#This Row],[Carton ID]],Carton[#All],6,0)</f>
        <v>17.716535433070867</v>
      </c>
      <c r="K86" s="20">
        <f>VLOOKUP(SizeCarton[[#This Row],[Carton ID]],Carton[#All],7,0)</f>
        <v>21.850393700787404</v>
      </c>
      <c r="L86">
        <v>50</v>
      </c>
      <c r="M86">
        <v>40</v>
      </c>
    </row>
    <row r="87" spans="1:13">
      <c r="A87" t="s">
        <v>15</v>
      </c>
      <c r="B87">
        <v>15</v>
      </c>
      <c r="C87" s="3" t="s">
        <v>76</v>
      </c>
      <c r="E87" s="1" t="s">
        <v>9</v>
      </c>
      <c r="F87">
        <f>VLOOKUP(SizeCarton[[#This Row],[Carton ID]],Carton[#All],2,0)</f>
        <v>85</v>
      </c>
      <c r="G87">
        <f>VLOOKUP(SizeCarton[[#This Row],[Carton ID]],Carton[#All],3,0)</f>
        <v>45</v>
      </c>
      <c r="H87">
        <f>VLOOKUP(SizeCarton[[#This Row],[Carton ID]],Carton[#All],4,0)</f>
        <v>55.5</v>
      </c>
      <c r="I87" s="20">
        <f>VLOOKUP(SizeCarton[[#This Row],[Carton ID]],Carton[#All],5,0)</f>
        <v>33.464566929133859</v>
      </c>
      <c r="J87" s="20">
        <f>VLOOKUP(SizeCarton[[#This Row],[Carton ID]],Carton[#All],6,0)</f>
        <v>17.716535433070867</v>
      </c>
      <c r="K87" s="20">
        <f>VLOOKUP(SizeCarton[[#This Row],[Carton ID]],Carton[#All],7,0)</f>
        <v>21.850393700787404</v>
      </c>
      <c r="L87">
        <v>50</v>
      </c>
      <c r="M87">
        <v>40</v>
      </c>
    </row>
    <row r="88" spans="1:13">
      <c r="A88" t="s">
        <v>15</v>
      </c>
      <c r="B88">
        <v>16</v>
      </c>
      <c r="C88" s="3" t="s">
        <v>76</v>
      </c>
      <c r="E88" s="1" t="s">
        <v>9</v>
      </c>
      <c r="F88">
        <f>VLOOKUP(SizeCarton[[#This Row],[Carton ID]],Carton[#All],2,0)</f>
        <v>85</v>
      </c>
      <c r="G88">
        <f>VLOOKUP(SizeCarton[[#This Row],[Carton ID]],Carton[#All],3,0)</f>
        <v>45</v>
      </c>
      <c r="H88">
        <f>VLOOKUP(SizeCarton[[#This Row],[Carton ID]],Carton[#All],4,0)</f>
        <v>55.5</v>
      </c>
      <c r="I88" s="20">
        <f>VLOOKUP(SizeCarton[[#This Row],[Carton ID]],Carton[#All],5,0)</f>
        <v>33.464566929133859</v>
      </c>
      <c r="J88" s="20">
        <f>VLOOKUP(SizeCarton[[#This Row],[Carton ID]],Carton[#All],6,0)</f>
        <v>17.716535433070867</v>
      </c>
      <c r="K88" s="20">
        <f>VLOOKUP(SizeCarton[[#This Row],[Carton ID]],Carton[#All],7,0)</f>
        <v>21.850393700787404</v>
      </c>
      <c r="L88">
        <v>50</v>
      </c>
      <c r="M88">
        <v>40</v>
      </c>
    </row>
    <row r="89" spans="1:13">
      <c r="A89" t="s">
        <v>6</v>
      </c>
      <c r="B89">
        <v>5</v>
      </c>
      <c r="C89" s="3" t="s">
        <v>88</v>
      </c>
      <c r="D89">
        <v>14.9</v>
      </c>
      <c r="E89" s="1" t="s">
        <v>8</v>
      </c>
      <c r="F89">
        <f>VLOOKUP(SizeCarton[[#This Row],[Carton ID]],Carton[#All],2,0)</f>
        <v>79</v>
      </c>
      <c r="G89">
        <f>VLOOKUP(SizeCarton[[#This Row],[Carton ID]],Carton[#All],3,0)</f>
        <v>42</v>
      </c>
      <c r="H89">
        <f>VLOOKUP(SizeCarton[[#This Row],[Carton ID]],Carton[#All],4,0)</f>
        <v>51.5</v>
      </c>
      <c r="I89" s="20">
        <f>VLOOKUP(SizeCarton[[#This Row],[Carton ID]],Carton[#All],5,0)</f>
        <v>31.102362204724411</v>
      </c>
      <c r="J89" s="20">
        <f>VLOOKUP(SizeCarton[[#This Row],[Carton ID]],Carton[#All],6,0)</f>
        <v>16.535433070866144</v>
      </c>
      <c r="K89" s="20">
        <f>VLOOKUP(SizeCarton[[#This Row],[Carton ID]],Carton[#All],7,0)</f>
        <v>20.275590551181104</v>
      </c>
      <c r="L89">
        <v>50</v>
      </c>
      <c r="M89">
        <v>40</v>
      </c>
    </row>
    <row r="90" spans="1:13">
      <c r="A90" t="s">
        <v>6</v>
      </c>
      <c r="B90">
        <v>5.5</v>
      </c>
      <c r="C90" s="3" t="s">
        <v>88</v>
      </c>
      <c r="D90">
        <v>15</v>
      </c>
      <c r="E90" s="1" t="s">
        <v>8</v>
      </c>
      <c r="F90">
        <f>VLOOKUP(SizeCarton[[#This Row],[Carton ID]],Carton[#All],2,0)</f>
        <v>79</v>
      </c>
      <c r="G90">
        <f>VLOOKUP(SizeCarton[[#This Row],[Carton ID]],Carton[#All],3,0)</f>
        <v>42</v>
      </c>
      <c r="H90">
        <f>VLOOKUP(SizeCarton[[#This Row],[Carton ID]],Carton[#All],4,0)</f>
        <v>51.5</v>
      </c>
      <c r="I90" s="20">
        <f>VLOOKUP(SizeCarton[[#This Row],[Carton ID]],Carton[#All],5,0)</f>
        <v>31.102362204724411</v>
      </c>
      <c r="J90" s="20">
        <f>VLOOKUP(SizeCarton[[#This Row],[Carton ID]],Carton[#All],6,0)</f>
        <v>16.535433070866144</v>
      </c>
      <c r="K90" s="20">
        <f>VLOOKUP(SizeCarton[[#This Row],[Carton ID]],Carton[#All],7,0)</f>
        <v>20.275590551181104</v>
      </c>
      <c r="L90">
        <v>50</v>
      </c>
      <c r="M90">
        <v>40</v>
      </c>
    </row>
    <row r="91" spans="1:13">
      <c r="A91" t="s">
        <v>6</v>
      </c>
      <c r="B91">
        <v>6</v>
      </c>
      <c r="C91" s="3" t="s">
        <v>88</v>
      </c>
      <c r="D91">
        <v>15.1</v>
      </c>
      <c r="E91" s="1" t="s">
        <v>8</v>
      </c>
      <c r="F91">
        <f>VLOOKUP(SizeCarton[[#This Row],[Carton ID]],Carton[#All],2,0)</f>
        <v>79</v>
      </c>
      <c r="G91">
        <f>VLOOKUP(SizeCarton[[#This Row],[Carton ID]],Carton[#All],3,0)</f>
        <v>42</v>
      </c>
      <c r="H91">
        <f>VLOOKUP(SizeCarton[[#This Row],[Carton ID]],Carton[#All],4,0)</f>
        <v>51.5</v>
      </c>
      <c r="I91" s="20">
        <f>VLOOKUP(SizeCarton[[#This Row],[Carton ID]],Carton[#All],5,0)</f>
        <v>31.102362204724411</v>
      </c>
      <c r="J91" s="20">
        <f>VLOOKUP(SizeCarton[[#This Row],[Carton ID]],Carton[#All],6,0)</f>
        <v>16.535433070866144</v>
      </c>
      <c r="K91" s="20">
        <f>VLOOKUP(SizeCarton[[#This Row],[Carton ID]],Carton[#All],7,0)</f>
        <v>20.275590551181104</v>
      </c>
      <c r="L91">
        <v>50</v>
      </c>
      <c r="M91">
        <v>40</v>
      </c>
    </row>
    <row r="92" spans="1:13">
      <c r="A92" t="s">
        <v>6</v>
      </c>
      <c r="B92">
        <v>6.5</v>
      </c>
      <c r="C92" s="3" t="s">
        <v>88</v>
      </c>
      <c r="D92">
        <v>15.2</v>
      </c>
      <c r="E92" s="1" t="s">
        <v>8</v>
      </c>
      <c r="F92">
        <f>VLOOKUP(SizeCarton[[#This Row],[Carton ID]],Carton[#All],2,0)</f>
        <v>79</v>
      </c>
      <c r="G92">
        <f>VLOOKUP(SizeCarton[[#This Row],[Carton ID]],Carton[#All],3,0)</f>
        <v>42</v>
      </c>
      <c r="H92">
        <f>VLOOKUP(SizeCarton[[#This Row],[Carton ID]],Carton[#All],4,0)</f>
        <v>51.5</v>
      </c>
      <c r="I92" s="20">
        <f>VLOOKUP(SizeCarton[[#This Row],[Carton ID]],Carton[#All],5,0)</f>
        <v>31.102362204724411</v>
      </c>
      <c r="J92" s="20">
        <f>VLOOKUP(SizeCarton[[#This Row],[Carton ID]],Carton[#All],6,0)</f>
        <v>16.535433070866144</v>
      </c>
      <c r="K92" s="20">
        <f>VLOOKUP(SizeCarton[[#This Row],[Carton ID]],Carton[#All],7,0)</f>
        <v>20.275590551181104</v>
      </c>
      <c r="L92">
        <v>50</v>
      </c>
      <c r="M92">
        <v>40</v>
      </c>
    </row>
    <row r="93" spans="1:13">
      <c r="A93" t="s">
        <v>6</v>
      </c>
      <c r="B93">
        <v>7</v>
      </c>
      <c r="C93" s="3" t="s">
        <v>88</v>
      </c>
      <c r="D93">
        <v>15.5</v>
      </c>
      <c r="E93" s="1" t="s">
        <v>8</v>
      </c>
      <c r="F93">
        <f>VLOOKUP(SizeCarton[[#This Row],[Carton ID]],Carton[#All],2,0)</f>
        <v>79</v>
      </c>
      <c r="G93">
        <f>VLOOKUP(SizeCarton[[#This Row],[Carton ID]],Carton[#All],3,0)</f>
        <v>42</v>
      </c>
      <c r="H93">
        <f>VLOOKUP(SizeCarton[[#This Row],[Carton ID]],Carton[#All],4,0)</f>
        <v>51.5</v>
      </c>
      <c r="I93" s="20">
        <f>VLOOKUP(SizeCarton[[#This Row],[Carton ID]],Carton[#All],5,0)</f>
        <v>31.102362204724411</v>
      </c>
      <c r="J93" s="20">
        <f>VLOOKUP(SizeCarton[[#This Row],[Carton ID]],Carton[#All],6,0)</f>
        <v>16.535433070866144</v>
      </c>
      <c r="K93" s="20">
        <f>VLOOKUP(SizeCarton[[#This Row],[Carton ID]],Carton[#All],7,0)</f>
        <v>20.275590551181104</v>
      </c>
      <c r="L93">
        <v>50</v>
      </c>
      <c r="M93">
        <v>40</v>
      </c>
    </row>
    <row r="94" spans="1:13">
      <c r="A94" t="s">
        <v>6</v>
      </c>
      <c r="B94">
        <v>7.5</v>
      </c>
      <c r="C94" s="3" t="s">
        <v>88</v>
      </c>
      <c r="D94">
        <v>15.6</v>
      </c>
      <c r="E94" s="1" t="s">
        <v>8</v>
      </c>
      <c r="F94">
        <f>VLOOKUP(SizeCarton[[#This Row],[Carton ID]],Carton[#All],2,0)</f>
        <v>79</v>
      </c>
      <c r="G94">
        <f>VLOOKUP(SizeCarton[[#This Row],[Carton ID]],Carton[#All],3,0)</f>
        <v>42</v>
      </c>
      <c r="H94">
        <f>VLOOKUP(SizeCarton[[#This Row],[Carton ID]],Carton[#All],4,0)</f>
        <v>51.5</v>
      </c>
      <c r="I94" s="20">
        <f>VLOOKUP(SizeCarton[[#This Row],[Carton ID]],Carton[#All],5,0)</f>
        <v>31.102362204724411</v>
      </c>
      <c r="J94" s="20">
        <f>VLOOKUP(SizeCarton[[#This Row],[Carton ID]],Carton[#All],6,0)</f>
        <v>16.535433070866144</v>
      </c>
      <c r="K94" s="20">
        <f>VLOOKUP(SizeCarton[[#This Row],[Carton ID]],Carton[#All],7,0)</f>
        <v>20.275590551181104</v>
      </c>
      <c r="L94">
        <v>50</v>
      </c>
      <c r="M94">
        <v>40</v>
      </c>
    </row>
    <row r="95" spans="1:13">
      <c r="A95" t="s">
        <v>6</v>
      </c>
      <c r="B95">
        <v>8</v>
      </c>
      <c r="C95" s="3" t="s">
        <v>88</v>
      </c>
      <c r="D95">
        <v>16.2</v>
      </c>
      <c r="E95" s="1" t="s">
        <v>8</v>
      </c>
      <c r="F95">
        <f>VLOOKUP(SizeCarton[[#This Row],[Carton ID]],Carton[#All],2,0)</f>
        <v>79</v>
      </c>
      <c r="G95">
        <f>VLOOKUP(SizeCarton[[#This Row],[Carton ID]],Carton[#All],3,0)</f>
        <v>42</v>
      </c>
      <c r="H95">
        <f>VLOOKUP(SizeCarton[[#This Row],[Carton ID]],Carton[#All],4,0)</f>
        <v>51.5</v>
      </c>
      <c r="I95" s="20">
        <f>VLOOKUP(SizeCarton[[#This Row],[Carton ID]],Carton[#All],5,0)</f>
        <v>31.102362204724411</v>
      </c>
      <c r="J95" s="20">
        <f>VLOOKUP(SizeCarton[[#This Row],[Carton ID]],Carton[#All],6,0)</f>
        <v>16.535433070866144</v>
      </c>
      <c r="K95" s="20">
        <f>VLOOKUP(SizeCarton[[#This Row],[Carton ID]],Carton[#All],7,0)</f>
        <v>20.275590551181104</v>
      </c>
      <c r="L95">
        <v>50</v>
      </c>
      <c r="M95">
        <v>40</v>
      </c>
    </row>
    <row r="96" spans="1:13">
      <c r="A96" t="s">
        <v>6</v>
      </c>
      <c r="B96">
        <v>8.5</v>
      </c>
      <c r="C96" s="3" t="s">
        <v>88</v>
      </c>
      <c r="D96">
        <v>16.2</v>
      </c>
      <c r="E96" s="1" t="s">
        <v>8</v>
      </c>
      <c r="F96">
        <f>VLOOKUP(SizeCarton[[#This Row],[Carton ID]],Carton[#All],2,0)</f>
        <v>79</v>
      </c>
      <c r="G96">
        <f>VLOOKUP(SizeCarton[[#This Row],[Carton ID]],Carton[#All],3,0)</f>
        <v>42</v>
      </c>
      <c r="H96">
        <f>VLOOKUP(SizeCarton[[#This Row],[Carton ID]],Carton[#All],4,0)</f>
        <v>51.5</v>
      </c>
      <c r="I96" s="20">
        <f>VLOOKUP(SizeCarton[[#This Row],[Carton ID]],Carton[#All],5,0)</f>
        <v>31.102362204724411</v>
      </c>
      <c r="J96" s="20">
        <f>VLOOKUP(SizeCarton[[#This Row],[Carton ID]],Carton[#All],6,0)</f>
        <v>16.535433070866144</v>
      </c>
      <c r="K96" s="20">
        <f>VLOOKUP(SizeCarton[[#This Row],[Carton ID]],Carton[#All],7,0)</f>
        <v>20.275590551181104</v>
      </c>
      <c r="L96">
        <v>50</v>
      </c>
      <c r="M96">
        <v>40</v>
      </c>
    </row>
    <row r="97" spans="1:13">
      <c r="A97" t="s">
        <v>6</v>
      </c>
      <c r="B97">
        <v>9</v>
      </c>
      <c r="C97" s="3" t="s">
        <v>88</v>
      </c>
      <c r="D97">
        <v>16.399999999999999</v>
      </c>
      <c r="E97" s="1" t="s">
        <v>8</v>
      </c>
      <c r="F97">
        <f>VLOOKUP(SizeCarton[[#This Row],[Carton ID]],Carton[#All],2,0)</f>
        <v>79</v>
      </c>
      <c r="G97">
        <f>VLOOKUP(SizeCarton[[#This Row],[Carton ID]],Carton[#All],3,0)</f>
        <v>42</v>
      </c>
      <c r="H97">
        <f>VLOOKUP(SizeCarton[[#This Row],[Carton ID]],Carton[#All],4,0)</f>
        <v>51.5</v>
      </c>
      <c r="I97" s="20">
        <f>VLOOKUP(SizeCarton[[#This Row],[Carton ID]],Carton[#All],5,0)</f>
        <v>31.102362204724411</v>
      </c>
      <c r="J97" s="20">
        <f>VLOOKUP(SizeCarton[[#This Row],[Carton ID]],Carton[#All],6,0)</f>
        <v>16.535433070866144</v>
      </c>
      <c r="K97" s="20">
        <f>VLOOKUP(SizeCarton[[#This Row],[Carton ID]],Carton[#All],7,0)</f>
        <v>20.275590551181104</v>
      </c>
      <c r="L97">
        <v>50</v>
      </c>
      <c r="M97">
        <v>40</v>
      </c>
    </row>
    <row r="98" spans="1:13">
      <c r="A98" t="s">
        <v>6</v>
      </c>
      <c r="B98">
        <v>9.5</v>
      </c>
      <c r="C98" s="3" t="s">
        <v>88</v>
      </c>
      <c r="D98">
        <v>16.399999999999999</v>
      </c>
      <c r="E98" s="1" t="s">
        <v>8</v>
      </c>
      <c r="F98">
        <f>VLOOKUP(SizeCarton[[#This Row],[Carton ID]],Carton[#All],2,0)</f>
        <v>79</v>
      </c>
      <c r="G98">
        <f>VLOOKUP(SizeCarton[[#This Row],[Carton ID]],Carton[#All],3,0)</f>
        <v>42</v>
      </c>
      <c r="H98">
        <f>VLOOKUP(SizeCarton[[#This Row],[Carton ID]],Carton[#All],4,0)</f>
        <v>51.5</v>
      </c>
      <c r="I98" s="20">
        <f>VLOOKUP(SizeCarton[[#This Row],[Carton ID]],Carton[#All],5,0)</f>
        <v>31.102362204724411</v>
      </c>
      <c r="J98" s="20">
        <f>VLOOKUP(SizeCarton[[#This Row],[Carton ID]],Carton[#All],6,0)</f>
        <v>16.535433070866144</v>
      </c>
      <c r="K98" s="20">
        <f>VLOOKUP(SizeCarton[[#This Row],[Carton ID]],Carton[#All],7,0)</f>
        <v>20.275590551181104</v>
      </c>
      <c r="L98">
        <v>50</v>
      </c>
      <c r="M98">
        <v>40</v>
      </c>
    </row>
    <row r="99" spans="1:13">
      <c r="A99" t="s">
        <v>6</v>
      </c>
      <c r="B99">
        <v>10</v>
      </c>
      <c r="C99" s="3" t="s">
        <v>88</v>
      </c>
      <c r="D99">
        <v>16.899999999999999</v>
      </c>
      <c r="E99" s="1" t="s">
        <v>8</v>
      </c>
      <c r="F99">
        <f>VLOOKUP(SizeCarton[[#This Row],[Carton ID]],Carton[#All],2,0)</f>
        <v>79</v>
      </c>
      <c r="G99">
        <f>VLOOKUP(SizeCarton[[#This Row],[Carton ID]],Carton[#All],3,0)</f>
        <v>42</v>
      </c>
      <c r="H99">
        <f>VLOOKUP(SizeCarton[[#This Row],[Carton ID]],Carton[#All],4,0)</f>
        <v>51.5</v>
      </c>
      <c r="I99" s="20">
        <f>VLOOKUP(SizeCarton[[#This Row],[Carton ID]],Carton[#All],5,0)</f>
        <v>31.102362204724411</v>
      </c>
      <c r="J99" s="20">
        <f>VLOOKUP(SizeCarton[[#This Row],[Carton ID]],Carton[#All],6,0)</f>
        <v>16.535433070866144</v>
      </c>
      <c r="K99" s="20">
        <f>VLOOKUP(SizeCarton[[#This Row],[Carton ID]],Carton[#All],7,0)</f>
        <v>20.275590551181104</v>
      </c>
      <c r="L99">
        <v>50</v>
      </c>
      <c r="M99">
        <v>40</v>
      </c>
    </row>
    <row r="100" spans="1:13">
      <c r="A100" t="s">
        <v>6</v>
      </c>
      <c r="B100">
        <v>10.5</v>
      </c>
      <c r="C100" s="3" t="s">
        <v>88</v>
      </c>
      <c r="E100" s="1" t="s">
        <v>8</v>
      </c>
      <c r="F100">
        <f>VLOOKUP(SizeCarton[[#This Row],[Carton ID]],Carton[#All],2,0)</f>
        <v>79</v>
      </c>
      <c r="G100">
        <f>VLOOKUP(SizeCarton[[#This Row],[Carton ID]],Carton[#All],3,0)</f>
        <v>42</v>
      </c>
      <c r="H100">
        <f>VLOOKUP(SizeCarton[[#This Row],[Carton ID]],Carton[#All],4,0)</f>
        <v>51.5</v>
      </c>
      <c r="I100" s="20">
        <f>VLOOKUP(SizeCarton[[#This Row],[Carton ID]],Carton[#All],5,0)</f>
        <v>31.102362204724411</v>
      </c>
      <c r="J100" s="20">
        <f>VLOOKUP(SizeCarton[[#This Row],[Carton ID]],Carton[#All],6,0)</f>
        <v>16.535433070866144</v>
      </c>
      <c r="K100" s="20">
        <f>VLOOKUP(SizeCarton[[#This Row],[Carton ID]],Carton[#All],7,0)</f>
        <v>20.275590551181104</v>
      </c>
      <c r="L100">
        <v>50</v>
      </c>
      <c r="M100">
        <v>40</v>
      </c>
    </row>
    <row r="101" spans="1:13">
      <c r="A101" t="s">
        <v>6</v>
      </c>
      <c r="B101">
        <v>11</v>
      </c>
      <c r="C101" s="3" t="s">
        <v>88</v>
      </c>
      <c r="D101">
        <v>18</v>
      </c>
      <c r="E101" s="1" t="s">
        <v>9</v>
      </c>
      <c r="F101">
        <f>VLOOKUP(SizeCarton[[#This Row],[Carton ID]],Carton[#All],2,0)</f>
        <v>85</v>
      </c>
      <c r="G101">
        <f>VLOOKUP(SizeCarton[[#This Row],[Carton ID]],Carton[#All],3,0)</f>
        <v>45</v>
      </c>
      <c r="H101">
        <f>VLOOKUP(SizeCarton[[#This Row],[Carton ID]],Carton[#All],4,0)</f>
        <v>55.5</v>
      </c>
      <c r="I101" s="20">
        <f>VLOOKUP(SizeCarton[[#This Row],[Carton ID]],Carton[#All],5,0)</f>
        <v>33.464566929133859</v>
      </c>
      <c r="J101" s="20">
        <f>VLOOKUP(SizeCarton[[#This Row],[Carton ID]],Carton[#All],6,0)</f>
        <v>17.716535433070867</v>
      </c>
      <c r="K101" s="20">
        <f>VLOOKUP(SizeCarton[[#This Row],[Carton ID]],Carton[#All],7,0)</f>
        <v>21.850393700787404</v>
      </c>
      <c r="L101">
        <v>50</v>
      </c>
      <c r="M101">
        <v>40</v>
      </c>
    </row>
    <row r="102" spans="1:13">
      <c r="A102" t="s">
        <v>6</v>
      </c>
      <c r="B102">
        <v>11.5</v>
      </c>
      <c r="C102" s="3" t="s">
        <v>88</v>
      </c>
      <c r="E102" s="1" t="s">
        <v>9</v>
      </c>
      <c r="F102">
        <f>VLOOKUP(SizeCarton[[#This Row],[Carton ID]],Carton[#All],2,0)</f>
        <v>85</v>
      </c>
      <c r="G102">
        <f>VLOOKUP(SizeCarton[[#This Row],[Carton ID]],Carton[#All],3,0)</f>
        <v>45</v>
      </c>
      <c r="H102">
        <f>VLOOKUP(SizeCarton[[#This Row],[Carton ID]],Carton[#All],4,0)</f>
        <v>55.5</v>
      </c>
      <c r="I102" s="20">
        <f>VLOOKUP(SizeCarton[[#This Row],[Carton ID]],Carton[#All],5,0)</f>
        <v>33.464566929133859</v>
      </c>
      <c r="J102" s="20">
        <f>VLOOKUP(SizeCarton[[#This Row],[Carton ID]],Carton[#All],6,0)</f>
        <v>17.716535433070867</v>
      </c>
      <c r="K102" s="20">
        <f>VLOOKUP(SizeCarton[[#This Row],[Carton ID]],Carton[#All],7,0)</f>
        <v>21.850393700787404</v>
      </c>
      <c r="L102">
        <v>50</v>
      </c>
      <c r="M102">
        <v>40</v>
      </c>
    </row>
    <row r="103" spans="1:13">
      <c r="A103" t="s">
        <v>6</v>
      </c>
      <c r="B103">
        <v>12</v>
      </c>
      <c r="C103" s="3" t="s">
        <v>88</v>
      </c>
      <c r="E103" s="1" t="s">
        <v>9</v>
      </c>
      <c r="F103">
        <f>VLOOKUP(SizeCarton[[#This Row],[Carton ID]],Carton[#All],2,0)</f>
        <v>85</v>
      </c>
      <c r="G103">
        <f>VLOOKUP(SizeCarton[[#This Row],[Carton ID]],Carton[#All],3,0)</f>
        <v>45</v>
      </c>
      <c r="H103">
        <f>VLOOKUP(SizeCarton[[#This Row],[Carton ID]],Carton[#All],4,0)</f>
        <v>55.5</v>
      </c>
      <c r="I103" s="20">
        <f>VLOOKUP(SizeCarton[[#This Row],[Carton ID]],Carton[#All],5,0)</f>
        <v>33.464566929133859</v>
      </c>
      <c r="J103" s="20">
        <f>VLOOKUP(SizeCarton[[#This Row],[Carton ID]],Carton[#All],6,0)</f>
        <v>17.716535433070867</v>
      </c>
      <c r="K103" s="20">
        <f>VLOOKUP(SizeCarton[[#This Row],[Carton ID]],Carton[#All],7,0)</f>
        <v>21.850393700787404</v>
      </c>
      <c r="L103">
        <v>50</v>
      </c>
      <c r="M103">
        <v>40</v>
      </c>
    </row>
    <row r="104" spans="1:13">
      <c r="A104" t="s">
        <v>6</v>
      </c>
      <c r="B104">
        <v>12.5</v>
      </c>
      <c r="C104" s="3" t="s">
        <v>88</v>
      </c>
      <c r="E104" s="1" t="s">
        <v>9</v>
      </c>
      <c r="F104">
        <f>VLOOKUP(SizeCarton[[#This Row],[Carton ID]],Carton[#All],2,0)</f>
        <v>85</v>
      </c>
      <c r="G104">
        <f>VLOOKUP(SizeCarton[[#This Row],[Carton ID]],Carton[#All],3,0)</f>
        <v>45</v>
      </c>
      <c r="H104">
        <f>VLOOKUP(SizeCarton[[#This Row],[Carton ID]],Carton[#All],4,0)</f>
        <v>55.5</v>
      </c>
      <c r="I104" s="20">
        <f>VLOOKUP(SizeCarton[[#This Row],[Carton ID]],Carton[#All],5,0)</f>
        <v>33.464566929133859</v>
      </c>
      <c r="J104" s="20">
        <f>VLOOKUP(SizeCarton[[#This Row],[Carton ID]],Carton[#All],6,0)</f>
        <v>17.716535433070867</v>
      </c>
      <c r="K104" s="20">
        <f>VLOOKUP(SizeCarton[[#This Row],[Carton ID]],Carton[#All],7,0)</f>
        <v>21.850393700787404</v>
      </c>
      <c r="L104">
        <v>50</v>
      </c>
      <c r="M104">
        <v>40</v>
      </c>
    </row>
    <row r="105" spans="1:13">
      <c r="A105" t="s">
        <v>6</v>
      </c>
      <c r="B105">
        <v>13</v>
      </c>
      <c r="C105" s="3" t="s">
        <v>88</v>
      </c>
      <c r="E105" s="1" t="s">
        <v>9</v>
      </c>
      <c r="F105">
        <f>VLOOKUP(SizeCarton[[#This Row],[Carton ID]],Carton[#All],2,0)</f>
        <v>85</v>
      </c>
      <c r="G105">
        <f>VLOOKUP(SizeCarton[[#This Row],[Carton ID]],Carton[#All],3,0)</f>
        <v>45</v>
      </c>
      <c r="H105">
        <f>VLOOKUP(SizeCarton[[#This Row],[Carton ID]],Carton[#All],4,0)</f>
        <v>55.5</v>
      </c>
      <c r="I105" s="20">
        <f>VLOOKUP(SizeCarton[[#This Row],[Carton ID]],Carton[#All],5,0)</f>
        <v>33.464566929133859</v>
      </c>
      <c r="J105" s="20">
        <f>VLOOKUP(SizeCarton[[#This Row],[Carton ID]],Carton[#All],6,0)</f>
        <v>17.716535433070867</v>
      </c>
      <c r="K105" s="20">
        <f>VLOOKUP(SizeCarton[[#This Row],[Carton ID]],Carton[#All],7,0)</f>
        <v>21.850393700787404</v>
      </c>
      <c r="L105">
        <v>50</v>
      </c>
      <c r="M105">
        <v>40</v>
      </c>
    </row>
    <row r="106" spans="1:13">
      <c r="A106" t="s">
        <v>6</v>
      </c>
      <c r="B106">
        <v>13.5</v>
      </c>
      <c r="C106" s="3" t="s">
        <v>88</v>
      </c>
      <c r="E106" s="1" t="s">
        <v>9</v>
      </c>
      <c r="F106">
        <f>VLOOKUP(SizeCarton[[#This Row],[Carton ID]],Carton[#All],2,0)</f>
        <v>85</v>
      </c>
      <c r="G106">
        <f>VLOOKUP(SizeCarton[[#This Row],[Carton ID]],Carton[#All],3,0)</f>
        <v>45</v>
      </c>
      <c r="H106">
        <f>VLOOKUP(SizeCarton[[#This Row],[Carton ID]],Carton[#All],4,0)</f>
        <v>55.5</v>
      </c>
      <c r="I106" s="20">
        <f>VLOOKUP(SizeCarton[[#This Row],[Carton ID]],Carton[#All],5,0)</f>
        <v>33.464566929133859</v>
      </c>
      <c r="J106" s="20">
        <f>VLOOKUP(SizeCarton[[#This Row],[Carton ID]],Carton[#All],6,0)</f>
        <v>17.716535433070867</v>
      </c>
      <c r="K106" s="20">
        <f>VLOOKUP(SizeCarton[[#This Row],[Carton ID]],Carton[#All],7,0)</f>
        <v>21.850393700787404</v>
      </c>
      <c r="L106">
        <v>50</v>
      </c>
      <c r="M106">
        <v>40</v>
      </c>
    </row>
    <row r="107" spans="1:13">
      <c r="A107" t="s">
        <v>6</v>
      </c>
      <c r="B107">
        <v>14</v>
      </c>
      <c r="C107" s="3" t="s">
        <v>88</v>
      </c>
      <c r="E107" s="1" t="s">
        <v>9</v>
      </c>
      <c r="F107">
        <f>VLOOKUP(SizeCarton[[#This Row],[Carton ID]],Carton[#All],2,0)</f>
        <v>85</v>
      </c>
      <c r="G107">
        <f>VLOOKUP(SizeCarton[[#This Row],[Carton ID]],Carton[#All],3,0)</f>
        <v>45</v>
      </c>
      <c r="H107">
        <f>VLOOKUP(SizeCarton[[#This Row],[Carton ID]],Carton[#All],4,0)</f>
        <v>55.5</v>
      </c>
      <c r="I107" s="20">
        <f>VLOOKUP(SizeCarton[[#This Row],[Carton ID]],Carton[#All],5,0)</f>
        <v>33.464566929133859</v>
      </c>
      <c r="J107" s="20">
        <f>VLOOKUP(SizeCarton[[#This Row],[Carton ID]],Carton[#All],6,0)</f>
        <v>17.716535433070867</v>
      </c>
      <c r="K107" s="20">
        <f>VLOOKUP(SizeCarton[[#This Row],[Carton ID]],Carton[#All],7,0)</f>
        <v>21.850393700787404</v>
      </c>
      <c r="L107">
        <v>50</v>
      </c>
      <c r="M107">
        <v>40</v>
      </c>
    </row>
    <row r="108" spans="1:13">
      <c r="A108" t="s">
        <v>17</v>
      </c>
      <c r="B108">
        <v>8</v>
      </c>
      <c r="C108" s="3"/>
      <c r="D108">
        <v>8.1</v>
      </c>
      <c r="E108" s="18" t="s">
        <v>60</v>
      </c>
      <c r="F108">
        <f>VLOOKUP(SizeCarton[[#This Row],[Carton ID]],Carton[#All],2,0)</f>
        <v>59.5</v>
      </c>
      <c r="G108">
        <f>VLOOKUP(SizeCarton[[#This Row],[Carton ID]],Carton[#All],3,0)</f>
        <v>37</v>
      </c>
      <c r="H108">
        <f>VLOOKUP(SizeCarton[[#This Row],[Carton ID]],Carton[#All],4,0)</f>
        <v>35.5</v>
      </c>
      <c r="I108" s="20">
        <f>VLOOKUP(SizeCarton[[#This Row],[Carton ID]],Carton[#All],5,0)</f>
        <v>23.4251968503937</v>
      </c>
      <c r="J108" s="20">
        <f>VLOOKUP(SizeCarton[[#This Row],[Carton ID]],Carton[#All],6,0)</f>
        <v>14.566929133858268</v>
      </c>
      <c r="K108" s="20">
        <f>VLOOKUP(SizeCarton[[#This Row],[Carton ID]],Carton[#All],7,0)</f>
        <v>13.976377952755907</v>
      </c>
    </row>
    <row r="109" spans="1:13">
      <c r="A109" t="s">
        <v>17</v>
      </c>
      <c r="B109">
        <v>8.5</v>
      </c>
      <c r="C109" s="3"/>
      <c r="D109">
        <v>8.1999999999999993</v>
      </c>
      <c r="E109" s="18" t="s">
        <v>60</v>
      </c>
      <c r="F109">
        <f>VLOOKUP(SizeCarton[[#This Row],[Carton ID]],Carton[#All],2,0)</f>
        <v>59.5</v>
      </c>
      <c r="G109">
        <f>VLOOKUP(SizeCarton[[#This Row],[Carton ID]],Carton[#All],3,0)</f>
        <v>37</v>
      </c>
      <c r="H109">
        <f>VLOOKUP(SizeCarton[[#This Row],[Carton ID]],Carton[#All],4,0)</f>
        <v>35.5</v>
      </c>
      <c r="I109" s="20">
        <f>VLOOKUP(SizeCarton[[#This Row],[Carton ID]],Carton[#All],5,0)</f>
        <v>23.4251968503937</v>
      </c>
      <c r="J109" s="20">
        <f>VLOOKUP(SizeCarton[[#This Row],[Carton ID]],Carton[#All],6,0)</f>
        <v>14.566929133858268</v>
      </c>
      <c r="K109" s="20">
        <f>VLOOKUP(SizeCarton[[#This Row],[Carton ID]],Carton[#All],7,0)</f>
        <v>13.976377952755907</v>
      </c>
    </row>
    <row r="110" spans="1:13">
      <c r="A110" t="s">
        <v>17</v>
      </c>
      <c r="B110">
        <v>9</v>
      </c>
      <c r="C110" s="3"/>
      <c r="D110">
        <v>8.3000000000000007</v>
      </c>
      <c r="E110" s="18" t="s">
        <v>60</v>
      </c>
      <c r="F110">
        <f>VLOOKUP(SizeCarton[[#This Row],[Carton ID]],Carton[#All],2,0)</f>
        <v>59.5</v>
      </c>
      <c r="G110">
        <f>VLOOKUP(SizeCarton[[#This Row],[Carton ID]],Carton[#All],3,0)</f>
        <v>37</v>
      </c>
      <c r="H110">
        <f>VLOOKUP(SizeCarton[[#This Row],[Carton ID]],Carton[#All],4,0)</f>
        <v>35.5</v>
      </c>
      <c r="I110" s="20">
        <f>VLOOKUP(SizeCarton[[#This Row],[Carton ID]],Carton[#All],5,0)</f>
        <v>23.4251968503937</v>
      </c>
      <c r="J110" s="20">
        <f>VLOOKUP(SizeCarton[[#This Row],[Carton ID]],Carton[#All],6,0)</f>
        <v>14.566929133858268</v>
      </c>
      <c r="K110" s="20">
        <f>VLOOKUP(SizeCarton[[#This Row],[Carton ID]],Carton[#All],7,0)</f>
        <v>13.976377952755907</v>
      </c>
    </row>
    <row r="111" spans="1:13">
      <c r="A111" t="s">
        <v>17</v>
      </c>
      <c r="B111">
        <v>9.5</v>
      </c>
      <c r="C111" s="3"/>
      <c r="D111">
        <v>8.3000000000000007</v>
      </c>
      <c r="E111" s="18" t="s">
        <v>60</v>
      </c>
      <c r="F111">
        <f>VLOOKUP(SizeCarton[[#This Row],[Carton ID]],Carton[#All],2,0)</f>
        <v>59.5</v>
      </c>
      <c r="G111">
        <f>VLOOKUP(SizeCarton[[#This Row],[Carton ID]],Carton[#All],3,0)</f>
        <v>37</v>
      </c>
      <c r="H111">
        <f>VLOOKUP(SizeCarton[[#This Row],[Carton ID]],Carton[#All],4,0)</f>
        <v>35.5</v>
      </c>
      <c r="I111" s="20">
        <f>VLOOKUP(SizeCarton[[#This Row],[Carton ID]],Carton[#All],5,0)</f>
        <v>23.4251968503937</v>
      </c>
      <c r="J111" s="20">
        <f>VLOOKUP(SizeCarton[[#This Row],[Carton ID]],Carton[#All],6,0)</f>
        <v>14.566929133858268</v>
      </c>
      <c r="K111" s="20">
        <f>VLOOKUP(SizeCarton[[#This Row],[Carton ID]],Carton[#All],7,0)</f>
        <v>13.976377952755907</v>
      </c>
    </row>
    <row r="112" spans="1:13">
      <c r="A112" t="s">
        <v>17</v>
      </c>
      <c r="B112">
        <v>10</v>
      </c>
      <c r="C112" s="3"/>
      <c r="D112">
        <v>8.6</v>
      </c>
      <c r="E112" s="18" t="s">
        <v>60</v>
      </c>
      <c r="F112">
        <f>VLOOKUP(SizeCarton[[#This Row],[Carton ID]],Carton[#All],2,0)</f>
        <v>59.5</v>
      </c>
      <c r="G112">
        <f>VLOOKUP(SizeCarton[[#This Row],[Carton ID]],Carton[#All],3,0)</f>
        <v>37</v>
      </c>
      <c r="H112">
        <f>VLOOKUP(SizeCarton[[#This Row],[Carton ID]],Carton[#All],4,0)</f>
        <v>35.5</v>
      </c>
      <c r="I112" s="20">
        <f>VLOOKUP(SizeCarton[[#This Row],[Carton ID]],Carton[#All],5,0)</f>
        <v>23.4251968503937</v>
      </c>
      <c r="J112" s="20">
        <f>VLOOKUP(SizeCarton[[#This Row],[Carton ID]],Carton[#All],6,0)</f>
        <v>14.566929133858268</v>
      </c>
      <c r="K112" s="20">
        <f>VLOOKUP(SizeCarton[[#This Row],[Carton ID]],Carton[#All],7,0)</f>
        <v>13.976377952755907</v>
      </c>
    </row>
    <row r="113" spans="1:11">
      <c r="A113" t="s">
        <v>17</v>
      </c>
      <c r="B113">
        <v>10.5</v>
      </c>
      <c r="C113" s="3"/>
      <c r="D113">
        <v>8.9</v>
      </c>
      <c r="E113" s="18" t="s">
        <v>61</v>
      </c>
      <c r="F113">
        <f>VLOOKUP(SizeCarton[[#This Row],[Carton ID]],Carton[#All],2,0)</f>
        <v>62.5</v>
      </c>
      <c r="G113">
        <f>VLOOKUP(SizeCarton[[#This Row],[Carton ID]],Carton[#All],3,0)</f>
        <v>39.5</v>
      </c>
      <c r="H113">
        <f>VLOOKUP(SizeCarton[[#This Row],[Carton ID]],Carton[#All],4,0)</f>
        <v>38.5</v>
      </c>
      <c r="I113" s="20">
        <f>VLOOKUP(SizeCarton[[#This Row],[Carton ID]],Carton[#All],5,0)</f>
        <v>24.606299212598426</v>
      </c>
      <c r="J113" s="20">
        <f>VLOOKUP(SizeCarton[[#This Row],[Carton ID]],Carton[#All],6,0)</f>
        <v>15.551181102362206</v>
      </c>
      <c r="K113" s="20">
        <f>VLOOKUP(SizeCarton[[#This Row],[Carton ID]],Carton[#All],7,0)</f>
        <v>15.157480314960631</v>
      </c>
    </row>
    <row r="114" spans="1:11">
      <c r="A114" t="s">
        <v>17</v>
      </c>
      <c r="B114">
        <v>11</v>
      </c>
      <c r="C114" s="3"/>
      <c r="D114">
        <v>9</v>
      </c>
      <c r="E114" s="18" t="s">
        <v>61</v>
      </c>
      <c r="F114">
        <f>VLOOKUP(SizeCarton[[#This Row],[Carton ID]],Carton[#All],2,0)</f>
        <v>62.5</v>
      </c>
      <c r="G114">
        <f>VLOOKUP(SizeCarton[[#This Row],[Carton ID]],Carton[#All],3,0)</f>
        <v>39.5</v>
      </c>
      <c r="H114">
        <f>VLOOKUP(SizeCarton[[#This Row],[Carton ID]],Carton[#All],4,0)</f>
        <v>38.5</v>
      </c>
      <c r="I114" s="20">
        <f>VLOOKUP(SizeCarton[[#This Row],[Carton ID]],Carton[#All],5,0)</f>
        <v>24.606299212598426</v>
      </c>
      <c r="J114" s="20">
        <f>VLOOKUP(SizeCarton[[#This Row],[Carton ID]],Carton[#All],6,0)</f>
        <v>15.551181102362206</v>
      </c>
      <c r="K114" s="20">
        <f>VLOOKUP(SizeCarton[[#This Row],[Carton ID]],Carton[#All],7,0)</f>
        <v>15.157480314960631</v>
      </c>
    </row>
    <row r="115" spans="1:11">
      <c r="A115" t="s">
        <v>17</v>
      </c>
      <c r="B115">
        <v>11.5</v>
      </c>
      <c r="C115" s="3"/>
      <c r="D115">
        <v>9</v>
      </c>
      <c r="E115" s="18" t="s">
        <v>61</v>
      </c>
      <c r="F115">
        <f>VLOOKUP(SizeCarton[[#This Row],[Carton ID]],Carton[#All],2,0)</f>
        <v>62.5</v>
      </c>
      <c r="G115">
        <f>VLOOKUP(SizeCarton[[#This Row],[Carton ID]],Carton[#All],3,0)</f>
        <v>39.5</v>
      </c>
      <c r="H115">
        <f>VLOOKUP(SizeCarton[[#This Row],[Carton ID]],Carton[#All],4,0)</f>
        <v>38.5</v>
      </c>
      <c r="I115" s="20">
        <f>VLOOKUP(SizeCarton[[#This Row],[Carton ID]],Carton[#All],5,0)</f>
        <v>24.606299212598426</v>
      </c>
      <c r="J115" s="20">
        <f>VLOOKUP(SizeCarton[[#This Row],[Carton ID]],Carton[#All],6,0)</f>
        <v>15.551181102362206</v>
      </c>
      <c r="K115" s="20">
        <f>VLOOKUP(SizeCarton[[#This Row],[Carton ID]],Carton[#All],7,0)</f>
        <v>15.157480314960631</v>
      </c>
    </row>
    <row r="116" spans="1:11">
      <c r="A116" t="s">
        <v>17</v>
      </c>
      <c r="B116">
        <v>12</v>
      </c>
      <c r="C116" s="3"/>
      <c r="D116">
        <v>9.1999999999999993</v>
      </c>
      <c r="E116" s="18" t="s">
        <v>61</v>
      </c>
      <c r="F116">
        <f>VLOOKUP(SizeCarton[[#This Row],[Carton ID]],Carton[#All],2,0)</f>
        <v>62.5</v>
      </c>
      <c r="G116">
        <f>VLOOKUP(SizeCarton[[#This Row],[Carton ID]],Carton[#All],3,0)</f>
        <v>39.5</v>
      </c>
      <c r="H116">
        <f>VLOOKUP(SizeCarton[[#This Row],[Carton ID]],Carton[#All],4,0)</f>
        <v>38.5</v>
      </c>
      <c r="I116" s="20">
        <f>VLOOKUP(SizeCarton[[#This Row],[Carton ID]],Carton[#All],5,0)</f>
        <v>24.606299212598426</v>
      </c>
      <c r="J116" s="20">
        <f>VLOOKUP(SizeCarton[[#This Row],[Carton ID]],Carton[#All],6,0)</f>
        <v>15.551181102362206</v>
      </c>
      <c r="K116" s="20">
        <f>VLOOKUP(SizeCarton[[#This Row],[Carton ID]],Carton[#All],7,0)</f>
        <v>15.157480314960631</v>
      </c>
    </row>
    <row r="117" spans="1:11">
      <c r="A117" t="s">
        <v>17</v>
      </c>
      <c r="B117">
        <v>13</v>
      </c>
      <c r="C117" s="3"/>
      <c r="D117">
        <v>9.5</v>
      </c>
      <c r="E117" s="18" t="s">
        <v>61</v>
      </c>
      <c r="F117">
        <f>VLOOKUP(SizeCarton[[#This Row],[Carton ID]],Carton[#All],2,0)</f>
        <v>62.5</v>
      </c>
      <c r="G117">
        <f>VLOOKUP(SizeCarton[[#This Row],[Carton ID]],Carton[#All],3,0)</f>
        <v>39.5</v>
      </c>
      <c r="H117">
        <f>VLOOKUP(SizeCarton[[#This Row],[Carton ID]],Carton[#All],4,0)</f>
        <v>38.5</v>
      </c>
      <c r="I117" s="20">
        <f>VLOOKUP(SizeCarton[[#This Row],[Carton ID]],Carton[#All],5,0)</f>
        <v>24.606299212598426</v>
      </c>
      <c r="J117" s="20">
        <f>VLOOKUP(SizeCarton[[#This Row],[Carton ID]],Carton[#All],6,0)</f>
        <v>15.551181102362206</v>
      </c>
      <c r="K117" s="20">
        <f>VLOOKUP(SizeCarton[[#This Row],[Carton ID]],Carton[#All],7,0)</f>
        <v>15.157480314960631</v>
      </c>
    </row>
    <row r="118" spans="1:11">
      <c r="A118" t="s">
        <v>16</v>
      </c>
      <c r="B118">
        <v>5</v>
      </c>
      <c r="C118" s="3" t="s">
        <v>73</v>
      </c>
      <c r="D118">
        <v>7.9</v>
      </c>
      <c r="E118" s="1" t="s">
        <v>58</v>
      </c>
      <c r="F118">
        <f>VLOOKUP(SizeCarton[[#This Row],[Carton ID]],Carton[#All],2,0)</f>
        <v>78.5</v>
      </c>
      <c r="G118">
        <f>VLOOKUP(SizeCarton[[#This Row],[Carton ID]],Carton[#All],3,0)</f>
        <v>30</v>
      </c>
      <c r="H118">
        <f>VLOOKUP(SizeCarton[[#This Row],[Carton ID]],Carton[#All],4,0)</f>
        <v>53</v>
      </c>
      <c r="I118" s="20">
        <f>VLOOKUP(SizeCarton[[#This Row],[Carton ID]],Carton[#All],5,0)</f>
        <v>30.905511811023622</v>
      </c>
      <c r="J118" s="20">
        <f>VLOOKUP(SizeCarton[[#This Row],[Carton ID]],Carton[#All],6,0)</f>
        <v>11.811023622047244</v>
      </c>
      <c r="K118" s="20">
        <f>VLOOKUP(SizeCarton[[#This Row],[Carton ID]],Carton[#All],7,0)</f>
        <v>20.866141732283463</v>
      </c>
    </row>
    <row r="119" spans="1:11">
      <c r="A119" t="s">
        <v>16</v>
      </c>
      <c r="B119">
        <v>5.5</v>
      </c>
      <c r="C119" s="3" t="s">
        <v>73</v>
      </c>
      <c r="D119">
        <v>8.1999999999999993</v>
      </c>
      <c r="E119" s="1" t="s">
        <v>58</v>
      </c>
      <c r="F119">
        <f>VLOOKUP(SizeCarton[[#This Row],[Carton ID]],Carton[#All],2,0)</f>
        <v>78.5</v>
      </c>
      <c r="G119">
        <f>VLOOKUP(SizeCarton[[#This Row],[Carton ID]],Carton[#All],3,0)</f>
        <v>30</v>
      </c>
      <c r="H119">
        <f>VLOOKUP(SizeCarton[[#This Row],[Carton ID]],Carton[#All],4,0)</f>
        <v>53</v>
      </c>
      <c r="I119" s="20">
        <f>VLOOKUP(SizeCarton[[#This Row],[Carton ID]],Carton[#All],5,0)</f>
        <v>30.905511811023622</v>
      </c>
      <c r="J119" s="20">
        <f>VLOOKUP(SizeCarton[[#This Row],[Carton ID]],Carton[#All],6,0)</f>
        <v>11.811023622047244</v>
      </c>
      <c r="K119" s="20">
        <f>VLOOKUP(SizeCarton[[#This Row],[Carton ID]],Carton[#All],7,0)</f>
        <v>20.866141732283463</v>
      </c>
    </row>
    <row r="120" spans="1:11">
      <c r="A120" t="s">
        <v>16</v>
      </c>
      <c r="B120">
        <v>6</v>
      </c>
      <c r="C120" s="3" t="s">
        <v>73</v>
      </c>
      <c r="D120">
        <v>8.4</v>
      </c>
      <c r="E120" s="1" t="s">
        <v>58</v>
      </c>
      <c r="F120">
        <f>VLOOKUP(SizeCarton[[#This Row],[Carton ID]],Carton[#All],2,0)</f>
        <v>78.5</v>
      </c>
      <c r="G120">
        <f>VLOOKUP(SizeCarton[[#This Row],[Carton ID]],Carton[#All],3,0)</f>
        <v>30</v>
      </c>
      <c r="H120">
        <f>VLOOKUP(SizeCarton[[#This Row],[Carton ID]],Carton[#All],4,0)</f>
        <v>53</v>
      </c>
      <c r="I120" s="20">
        <f>VLOOKUP(SizeCarton[[#This Row],[Carton ID]],Carton[#All],5,0)</f>
        <v>30.905511811023622</v>
      </c>
      <c r="J120" s="20">
        <f>VLOOKUP(SizeCarton[[#This Row],[Carton ID]],Carton[#All],6,0)</f>
        <v>11.811023622047244</v>
      </c>
      <c r="K120" s="20">
        <f>VLOOKUP(SizeCarton[[#This Row],[Carton ID]],Carton[#All],7,0)</f>
        <v>20.866141732283463</v>
      </c>
    </row>
    <row r="121" spans="1:11">
      <c r="A121" t="s">
        <v>16</v>
      </c>
      <c r="B121">
        <v>6.5</v>
      </c>
      <c r="C121" s="3" t="s">
        <v>73</v>
      </c>
      <c r="D121">
        <v>8.6</v>
      </c>
      <c r="E121" s="1" t="s">
        <v>58</v>
      </c>
      <c r="F121">
        <f>VLOOKUP(SizeCarton[[#This Row],[Carton ID]],Carton[#All],2,0)</f>
        <v>78.5</v>
      </c>
      <c r="G121">
        <f>VLOOKUP(SizeCarton[[#This Row],[Carton ID]],Carton[#All],3,0)</f>
        <v>30</v>
      </c>
      <c r="H121">
        <f>VLOOKUP(SizeCarton[[#This Row],[Carton ID]],Carton[#All],4,0)</f>
        <v>53</v>
      </c>
      <c r="I121" s="20">
        <f>VLOOKUP(SizeCarton[[#This Row],[Carton ID]],Carton[#All],5,0)</f>
        <v>30.905511811023622</v>
      </c>
      <c r="J121" s="20">
        <f>VLOOKUP(SizeCarton[[#This Row],[Carton ID]],Carton[#All],6,0)</f>
        <v>11.811023622047244</v>
      </c>
      <c r="K121" s="20">
        <f>VLOOKUP(SizeCarton[[#This Row],[Carton ID]],Carton[#All],7,0)</f>
        <v>20.866141732283463</v>
      </c>
    </row>
    <row r="122" spans="1:11">
      <c r="A122" t="s">
        <v>16</v>
      </c>
      <c r="B122">
        <v>7</v>
      </c>
      <c r="C122" s="3" t="s">
        <v>73</v>
      </c>
      <c r="D122">
        <v>8.9</v>
      </c>
      <c r="E122" s="1" t="s">
        <v>58</v>
      </c>
      <c r="F122">
        <f>VLOOKUP(SizeCarton[[#This Row],[Carton ID]],Carton[#All],2,0)</f>
        <v>78.5</v>
      </c>
      <c r="G122">
        <f>VLOOKUP(SizeCarton[[#This Row],[Carton ID]],Carton[#All],3,0)</f>
        <v>30</v>
      </c>
      <c r="H122">
        <f>VLOOKUP(SizeCarton[[#This Row],[Carton ID]],Carton[#All],4,0)</f>
        <v>53</v>
      </c>
      <c r="I122" s="20">
        <f>VLOOKUP(SizeCarton[[#This Row],[Carton ID]],Carton[#All],5,0)</f>
        <v>30.905511811023622</v>
      </c>
      <c r="J122" s="20">
        <f>VLOOKUP(SizeCarton[[#This Row],[Carton ID]],Carton[#All],6,0)</f>
        <v>11.811023622047244</v>
      </c>
      <c r="K122" s="20">
        <f>VLOOKUP(SizeCarton[[#This Row],[Carton ID]],Carton[#All],7,0)</f>
        <v>20.866141732283463</v>
      </c>
    </row>
    <row r="123" spans="1:11">
      <c r="A123" t="s">
        <v>16</v>
      </c>
      <c r="B123">
        <v>7.5</v>
      </c>
      <c r="C123" s="3" t="s">
        <v>73</v>
      </c>
      <c r="D123">
        <v>9.3000000000000007</v>
      </c>
      <c r="E123" s="1" t="s">
        <v>58</v>
      </c>
      <c r="F123">
        <f>VLOOKUP(SizeCarton[[#This Row],[Carton ID]],Carton[#All],2,0)</f>
        <v>78.5</v>
      </c>
      <c r="G123">
        <f>VLOOKUP(SizeCarton[[#This Row],[Carton ID]],Carton[#All],3,0)</f>
        <v>30</v>
      </c>
      <c r="H123">
        <f>VLOOKUP(SizeCarton[[#This Row],[Carton ID]],Carton[#All],4,0)</f>
        <v>53</v>
      </c>
      <c r="I123" s="20">
        <f>VLOOKUP(SizeCarton[[#This Row],[Carton ID]],Carton[#All],5,0)</f>
        <v>30.905511811023622</v>
      </c>
      <c r="J123" s="20">
        <f>VLOOKUP(SizeCarton[[#This Row],[Carton ID]],Carton[#All],6,0)</f>
        <v>11.811023622047244</v>
      </c>
      <c r="K123" s="20">
        <f>VLOOKUP(SizeCarton[[#This Row],[Carton ID]],Carton[#All],7,0)</f>
        <v>20.866141732283463</v>
      </c>
    </row>
    <row r="124" spans="1:11">
      <c r="A124" t="s">
        <v>16</v>
      </c>
      <c r="B124">
        <v>8</v>
      </c>
      <c r="C124" s="3" t="s">
        <v>73</v>
      </c>
      <c r="D124">
        <v>9.6</v>
      </c>
      <c r="E124" s="1" t="s">
        <v>58</v>
      </c>
      <c r="F124">
        <f>VLOOKUP(SizeCarton[[#This Row],[Carton ID]],Carton[#All],2,0)</f>
        <v>78.5</v>
      </c>
      <c r="G124">
        <f>VLOOKUP(SizeCarton[[#This Row],[Carton ID]],Carton[#All],3,0)</f>
        <v>30</v>
      </c>
      <c r="H124">
        <f>VLOOKUP(SizeCarton[[#This Row],[Carton ID]],Carton[#All],4,0)</f>
        <v>53</v>
      </c>
      <c r="I124" s="20">
        <f>VLOOKUP(SizeCarton[[#This Row],[Carton ID]],Carton[#All],5,0)</f>
        <v>30.905511811023622</v>
      </c>
      <c r="J124" s="20">
        <f>VLOOKUP(SizeCarton[[#This Row],[Carton ID]],Carton[#All],6,0)</f>
        <v>11.811023622047244</v>
      </c>
      <c r="K124" s="20">
        <f>VLOOKUP(SizeCarton[[#This Row],[Carton ID]],Carton[#All],7,0)</f>
        <v>20.866141732283463</v>
      </c>
    </row>
    <row r="125" spans="1:11">
      <c r="A125" t="s">
        <v>16</v>
      </c>
      <c r="B125">
        <v>8.5</v>
      </c>
      <c r="C125" s="3" t="s">
        <v>73</v>
      </c>
      <c r="D125">
        <v>9.8000000000000007</v>
      </c>
      <c r="E125" s="1" t="s">
        <v>58</v>
      </c>
      <c r="F125">
        <f>VLOOKUP(SizeCarton[[#This Row],[Carton ID]],Carton[#All],2,0)</f>
        <v>78.5</v>
      </c>
      <c r="G125">
        <f>VLOOKUP(SizeCarton[[#This Row],[Carton ID]],Carton[#All],3,0)</f>
        <v>30</v>
      </c>
      <c r="H125">
        <f>VLOOKUP(SizeCarton[[#This Row],[Carton ID]],Carton[#All],4,0)</f>
        <v>53</v>
      </c>
      <c r="I125" s="20">
        <f>VLOOKUP(SizeCarton[[#This Row],[Carton ID]],Carton[#All],5,0)</f>
        <v>30.905511811023622</v>
      </c>
      <c r="J125" s="20">
        <f>VLOOKUP(SizeCarton[[#This Row],[Carton ID]],Carton[#All],6,0)</f>
        <v>11.811023622047244</v>
      </c>
      <c r="K125" s="20">
        <f>VLOOKUP(SizeCarton[[#This Row],[Carton ID]],Carton[#All],7,0)</f>
        <v>20.866141732283463</v>
      </c>
    </row>
    <row r="126" spans="1:11">
      <c r="A126" t="s">
        <v>16</v>
      </c>
      <c r="B126">
        <v>9</v>
      </c>
      <c r="C126" s="3" t="s">
        <v>73</v>
      </c>
      <c r="D126">
        <v>10</v>
      </c>
      <c r="E126" s="1" t="s">
        <v>58</v>
      </c>
      <c r="F126">
        <f>VLOOKUP(SizeCarton[[#This Row],[Carton ID]],Carton[#All],2,0)</f>
        <v>78.5</v>
      </c>
      <c r="G126">
        <f>VLOOKUP(SizeCarton[[#This Row],[Carton ID]],Carton[#All],3,0)</f>
        <v>30</v>
      </c>
      <c r="H126">
        <f>VLOOKUP(SizeCarton[[#This Row],[Carton ID]],Carton[#All],4,0)</f>
        <v>53</v>
      </c>
      <c r="I126" s="20">
        <f>VLOOKUP(SizeCarton[[#This Row],[Carton ID]],Carton[#All],5,0)</f>
        <v>30.905511811023622</v>
      </c>
      <c r="J126" s="20">
        <f>VLOOKUP(SizeCarton[[#This Row],[Carton ID]],Carton[#All],6,0)</f>
        <v>11.811023622047244</v>
      </c>
      <c r="K126" s="20">
        <f>VLOOKUP(SizeCarton[[#This Row],[Carton ID]],Carton[#All],7,0)</f>
        <v>20.866141732283463</v>
      </c>
    </row>
    <row r="127" spans="1:11">
      <c r="A127" t="s">
        <v>16</v>
      </c>
      <c r="B127">
        <v>9.5</v>
      </c>
      <c r="C127" s="3" t="s">
        <v>73</v>
      </c>
      <c r="D127">
        <v>10.199999999999999</v>
      </c>
      <c r="E127" s="1" t="s">
        <v>58</v>
      </c>
      <c r="F127">
        <f>VLOOKUP(SizeCarton[[#This Row],[Carton ID]],Carton[#All],2,0)</f>
        <v>78.5</v>
      </c>
      <c r="G127">
        <f>VLOOKUP(SizeCarton[[#This Row],[Carton ID]],Carton[#All],3,0)</f>
        <v>30</v>
      </c>
      <c r="H127">
        <f>VLOOKUP(SizeCarton[[#This Row],[Carton ID]],Carton[#All],4,0)</f>
        <v>53</v>
      </c>
      <c r="I127" s="20">
        <f>VLOOKUP(SizeCarton[[#This Row],[Carton ID]],Carton[#All],5,0)</f>
        <v>30.905511811023622</v>
      </c>
      <c r="J127" s="20">
        <f>VLOOKUP(SizeCarton[[#This Row],[Carton ID]],Carton[#All],6,0)</f>
        <v>11.811023622047244</v>
      </c>
      <c r="K127" s="20">
        <f>VLOOKUP(SizeCarton[[#This Row],[Carton ID]],Carton[#All],7,0)</f>
        <v>20.866141732283463</v>
      </c>
    </row>
    <row r="128" spans="1:11">
      <c r="A128" t="s">
        <v>16</v>
      </c>
      <c r="B128">
        <v>10</v>
      </c>
      <c r="C128" s="3" t="s">
        <v>73</v>
      </c>
      <c r="D128">
        <v>10.4</v>
      </c>
      <c r="E128" s="1" t="s">
        <v>59</v>
      </c>
      <c r="F128">
        <f>VLOOKUP(SizeCarton[[#This Row],[Carton ID]],Carton[#All],2,0)</f>
        <v>78</v>
      </c>
      <c r="G128">
        <f>VLOOKUP(SizeCarton[[#This Row],[Carton ID]],Carton[#All],3,0)</f>
        <v>31</v>
      </c>
      <c r="H128">
        <f>VLOOKUP(SizeCarton[[#This Row],[Carton ID]],Carton[#All],4,0)</f>
        <v>58</v>
      </c>
      <c r="I128" s="20">
        <f>VLOOKUP(SizeCarton[[#This Row],[Carton ID]],Carton[#All],5,0)</f>
        <v>30.708661417322833</v>
      </c>
      <c r="J128" s="20">
        <f>VLOOKUP(SizeCarton[[#This Row],[Carton ID]],Carton[#All],6,0)</f>
        <v>12.204724409448819</v>
      </c>
      <c r="K128" s="20">
        <f>VLOOKUP(SizeCarton[[#This Row],[Carton ID]],Carton[#All],7,0)</f>
        <v>22.834645669291341</v>
      </c>
    </row>
    <row r="129" spans="1:11">
      <c r="A129" t="s">
        <v>16</v>
      </c>
      <c r="B129">
        <v>10.5</v>
      </c>
      <c r="C129" s="3" t="s">
        <v>73</v>
      </c>
      <c r="D129">
        <v>10.6</v>
      </c>
      <c r="E129" t="s">
        <v>59</v>
      </c>
      <c r="F129">
        <f>VLOOKUP(SizeCarton[[#This Row],[Carton ID]],Carton[#All],2,0)</f>
        <v>78</v>
      </c>
      <c r="G129">
        <f>VLOOKUP(SizeCarton[[#This Row],[Carton ID]],Carton[#All],3,0)</f>
        <v>31</v>
      </c>
      <c r="H129">
        <f>VLOOKUP(SizeCarton[[#This Row],[Carton ID]],Carton[#All],4,0)</f>
        <v>58</v>
      </c>
      <c r="I129" s="20">
        <f>VLOOKUP(SizeCarton[[#This Row],[Carton ID]],Carton[#All],5,0)</f>
        <v>30.708661417322833</v>
      </c>
      <c r="J129" s="20">
        <f>VLOOKUP(SizeCarton[[#This Row],[Carton ID]],Carton[#All],6,0)</f>
        <v>12.204724409448819</v>
      </c>
      <c r="K129" s="20">
        <f>VLOOKUP(SizeCarton[[#This Row],[Carton ID]],Carton[#All],7,0)</f>
        <v>22.834645669291341</v>
      </c>
    </row>
    <row r="130" spans="1:11">
      <c r="A130" t="s">
        <v>16</v>
      </c>
      <c r="B130">
        <v>11</v>
      </c>
      <c r="C130" s="3" t="s">
        <v>73</v>
      </c>
      <c r="D130">
        <v>10.8</v>
      </c>
      <c r="E130" t="s">
        <v>59</v>
      </c>
      <c r="F130">
        <f>VLOOKUP(SizeCarton[[#This Row],[Carton ID]],Carton[#All],2,0)</f>
        <v>78</v>
      </c>
      <c r="G130">
        <f>VLOOKUP(SizeCarton[[#This Row],[Carton ID]],Carton[#All],3,0)</f>
        <v>31</v>
      </c>
      <c r="H130">
        <f>VLOOKUP(SizeCarton[[#This Row],[Carton ID]],Carton[#All],4,0)</f>
        <v>58</v>
      </c>
      <c r="I130" s="20">
        <f>VLOOKUP(SizeCarton[[#This Row],[Carton ID]],Carton[#All],5,0)</f>
        <v>30.708661417322833</v>
      </c>
      <c r="J130" s="20">
        <f>VLOOKUP(SizeCarton[[#This Row],[Carton ID]],Carton[#All],6,0)</f>
        <v>12.204724409448819</v>
      </c>
      <c r="K130" s="20">
        <f>VLOOKUP(SizeCarton[[#This Row],[Carton ID]],Carton[#All],7,0)</f>
        <v>22.834645669291341</v>
      </c>
    </row>
    <row r="131" spans="1:11">
      <c r="A131" t="s">
        <v>16</v>
      </c>
      <c r="B131">
        <v>11.5</v>
      </c>
      <c r="C131" s="3" t="s">
        <v>73</v>
      </c>
      <c r="D131">
        <v>10.8</v>
      </c>
      <c r="E131" t="s">
        <v>59</v>
      </c>
      <c r="F131">
        <f>VLOOKUP(SizeCarton[[#This Row],[Carton ID]],Carton[#All],2,0)</f>
        <v>78</v>
      </c>
      <c r="G131">
        <f>VLOOKUP(SizeCarton[[#This Row],[Carton ID]],Carton[#All],3,0)</f>
        <v>31</v>
      </c>
      <c r="H131">
        <f>VLOOKUP(SizeCarton[[#This Row],[Carton ID]],Carton[#All],4,0)</f>
        <v>58</v>
      </c>
      <c r="I131" s="20">
        <f>VLOOKUP(SizeCarton[[#This Row],[Carton ID]],Carton[#All],5,0)</f>
        <v>30.708661417322833</v>
      </c>
      <c r="J131" s="20">
        <f>VLOOKUP(SizeCarton[[#This Row],[Carton ID]],Carton[#All],6,0)</f>
        <v>12.204724409448819</v>
      </c>
      <c r="K131" s="20">
        <f>VLOOKUP(SizeCarton[[#This Row],[Carton ID]],Carton[#All],7,0)</f>
        <v>22.834645669291341</v>
      </c>
    </row>
    <row r="132" spans="1:11">
      <c r="A132" t="s">
        <v>16</v>
      </c>
      <c r="B132">
        <v>12</v>
      </c>
      <c r="C132" s="3" t="s">
        <v>73</v>
      </c>
      <c r="D132">
        <v>11.1</v>
      </c>
      <c r="E132" t="s">
        <v>59</v>
      </c>
      <c r="F132">
        <f>VLOOKUP(SizeCarton[[#This Row],[Carton ID]],Carton[#All],2,0)</f>
        <v>78</v>
      </c>
      <c r="G132">
        <f>VLOOKUP(SizeCarton[[#This Row],[Carton ID]],Carton[#All],3,0)</f>
        <v>31</v>
      </c>
      <c r="H132">
        <f>VLOOKUP(SizeCarton[[#This Row],[Carton ID]],Carton[#All],4,0)</f>
        <v>58</v>
      </c>
      <c r="I132" s="20">
        <f>VLOOKUP(SizeCarton[[#This Row],[Carton ID]],Carton[#All],5,0)</f>
        <v>30.708661417322833</v>
      </c>
      <c r="J132" s="20">
        <f>VLOOKUP(SizeCarton[[#This Row],[Carton ID]],Carton[#All],6,0)</f>
        <v>12.204724409448819</v>
      </c>
      <c r="K132" s="20">
        <f>VLOOKUP(SizeCarton[[#This Row],[Carton ID]],Carton[#All],7,0)</f>
        <v>22.834645669291341</v>
      </c>
    </row>
    <row r="133" spans="1:11">
      <c r="A133" t="s">
        <v>16</v>
      </c>
      <c r="B133">
        <v>12.5</v>
      </c>
      <c r="C133" s="3" t="s">
        <v>73</v>
      </c>
      <c r="D133">
        <v>11.2</v>
      </c>
      <c r="E133" t="s">
        <v>59</v>
      </c>
      <c r="F133">
        <f>VLOOKUP(SizeCarton[[#This Row],[Carton ID]],Carton[#All],2,0)</f>
        <v>78</v>
      </c>
      <c r="G133">
        <f>VLOOKUP(SizeCarton[[#This Row],[Carton ID]],Carton[#All],3,0)</f>
        <v>31</v>
      </c>
      <c r="H133">
        <f>VLOOKUP(SizeCarton[[#This Row],[Carton ID]],Carton[#All],4,0)</f>
        <v>58</v>
      </c>
      <c r="I133" s="20">
        <f>VLOOKUP(SizeCarton[[#This Row],[Carton ID]],Carton[#All],5,0)</f>
        <v>30.708661417322833</v>
      </c>
      <c r="J133" s="20">
        <f>VLOOKUP(SizeCarton[[#This Row],[Carton ID]],Carton[#All],6,0)</f>
        <v>12.204724409448819</v>
      </c>
      <c r="K133" s="20">
        <f>VLOOKUP(SizeCarton[[#This Row],[Carton ID]],Carton[#All],7,0)</f>
        <v>22.834645669291341</v>
      </c>
    </row>
    <row r="134" spans="1:11">
      <c r="A134" t="s">
        <v>16</v>
      </c>
      <c r="B134">
        <v>13</v>
      </c>
      <c r="C134" s="3" t="s">
        <v>73</v>
      </c>
      <c r="D134">
        <v>11.3</v>
      </c>
      <c r="E134" t="s">
        <v>59</v>
      </c>
      <c r="F134">
        <f>VLOOKUP(SizeCarton[[#This Row],[Carton ID]],Carton[#All],2,0)</f>
        <v>78</v>
      </c>
      <c r="G134">
        <f>VLOOKUP(SizeCarton[[#This Row],[Carton ID]],Carton[#All],3,0)</f>
        <v>31</v>
      </c>
      <c r="H134">
        <f>VLOOKUP(SizeCarton[[#This Row],[Carton ID]],Carton[#All],4,0)</f>
        <v>58</v>
      </c>
      <c r="I134" s="20">
        <f>VLOOKUP(SizeCarton[[#This Row],[Carton ID]],Carton[#All],5,0)</f>
        <v>30.708661417322833</v>
      </c>
      <c r="J134" s="20">
        <f>VLOOKUP(SizeCarton[[#This Row],[Carton ID]],Carton[#All],6,0)</f>
        <v>12.204724409448819</v>
      </c>
      <c r="K134" s="20">
        <f>VLOOKUP(SizeCarton[[#This Row],[Carton ID]],Carton[#All],7,0)</f>
        <v>22.834645669291341</v>
      </c>
    </row>
    <row r="135" spans="1:11">
      <c r="A135" t="s">
        <v>16</v>
      </c>
      <c r="B135">
        <v>13</v>
      </c>
      <c r="C135" s="3" t="s">
        <v>73</v>
      </c>
      <c r="D135">
        <v>11.2</v>
      </c>
      <c r="E135" t="s">
        <v>59</v>
      </c>
      <c r="F135">
        <f>VLOOKUP(SizeCarton[[#This Row],[Carton ID]],Carton[#All],2,0)</f>
        <v>78</v>
      </c>
      <c r="G135">
        <f>VLOOKUP(SizeCarton[[#This Row],[Carton ID]],Carton[#All],3,0)</f>
        <v>31</v>
      </c>
      <c r="H135">
        <f>VLOOKUP(SizeCarton[[#This Row],[Carton ID]],Carton[#All],4,0)</f>
        <v>58</v>
      </c>
      <c r="I135" s="20">
        <f>VLOOKUP(SizeCarton[[#This Row],[Carton ID]],Carton[#All],5,0)</f>
        <v>30.708661417322833</v>
      </c>
      <c r="J135" s="20">
        <f>VLOOKUP(SizeCarton[[#This Row],[Carton ID]],Carton[#All],6,0)</f>
        <v>12.204724409448819</v>
      </c>
      <c r="K135" s="20">
        <f>VLOOKUP(SizeCarton[[#This Row],[Carton ID]],Carton[#All],7,0)</f>
        <v>22.834645669291341</v>
      </c>
    </row>
    <row r="136" spans="1:11">
      <c r="A136" t="s">
        <v>16</v>
      </c>
      <c r="B136">
        <v>13.5</v>
      </c>
      <c r="C136" s="3" t="s">
        <v>73</v>
      </c>
      <c r="D136">
        <v>11.5</v>
      </c>
      <c r="E136" t="s">
        <v>59</v>
      </c>
      <c r="F136">
        <f>VLOOKUP(SizeCarton[[#This Row],[Carton ID]],Carton[#All],2,0)</f>
        <v>78</v>
      </c>
      <c r="G136">
        <f>VLOOKUP(SizeCarton[[#This Row],[Carton ID]],Carton[#All],3,0)</f>
        <v>31</v>
      </c>
      <c r="H136">
        <f>VLOOKUP(SizeCarton[[#This Row],[Carton ID]],Carton[#All],4,0)</f>
        <v>58</v>
      </c>
      <c r="I136" s="20">
        <f>VLOOKUP(SizeCarton[[#This Row],[Carton ID]],Carton[#All],5,0)</f>
        <v>30.708661417322833</v>
      </c>
      <c r="J136" s="20">
        <f>VLOOKUP(SizeCarton[[#This Row],[Carton ID]],Carton[#All],6,0)</f>
        <v>12.204724409448819</v>
      </c>
      <c r="K136" s="20">
        <f>VLOOKUP(SizeCarton[[#This Row],[Carton ID]],Carton[#All],7,0)</f>
        <v>22.834645669291341</v>
      </c>
    </row>
    <row r="137" spans="1:11">
      <c r="A137" t="s">
        <v>16</v>
      </c>
      <c r="B137">
        <v>14</v>
      </c>
      <c r="C137" s="3" t="s">
        <v>73</v>
      </c>
      <c r="D137">
        <v>11.7</v>
      </c>
      <c r="E137" t="s">
        <v>59</v>
      </c>
      <c r="F137">
        <f>VLOOKUP(SizeCarton[[#This Row],[Carton ID]],Carton[#All],2,0)</f>
        <v>78</v>
      </c>
      <c r="G137">
        <f>VLOOKUP(SizeCarton[[#This Row],[Carton ID]],Carton[#All],3,0)</f>
        <v>31</v>
      </c>
      <c r="H137">
        <f>VLOOKUP(SizeCarton[[#This Row],[Carton ID]],Carton[#All],4,0)</f>
        <v>58</v>
      </c>
      <c r="I137" s="20">
        <f>VLOOKUP(SizeCarton[[#This Row],[Carton ID]],Carton[#All],5,0)</f>
        <v>30.708661417322833</v>
      </c>
      <c r="J137" s="20">
        <f>VLOOKUP(SizeCarton[[#This Row],[Carton ID]],Carton[#All],6,0)</f>
        <v>12.204724409448819</v>
      </c>
      <c r="K137" s="20">
        <f>VLOOKUP(SizeCarton[[#This Row],[Carton ID]],Carton[#All],7,0)</f>
        <v>22.834645669291341</v>
      </c>
    </row>
    <row r="138" spans="1:11">
      <c r="A138" t="s">
        <v>16</v>
      </c>
      <c r="B138">
        <v>14.5</v>
      </c>
      <c r="C138" s="3" t="s">
        <v>73</v>
      </c>
      <c r="D138">
        <v>11.8</v>
      </c>
      <c r="E138" t="s">
        <v>59</v>
      </c>
      <c r="F138">
        <f>VLOOKUP(SizeCarton[[#This Row],[Carton ID]],Carton[#All],2,0)</f>
        <v>78</v>
      </c>
      <c r="G138">
        <f>VLOOKUP(SizeCarton[[#This Row],[Carton ID]],Carton[#All],3,0)</f>
        <v>31</v>
      </c>
      <c r="H138">
        <f>VLOOKUP(SizeCarton[[#This Row],[Carton ID]],Carton[#All],4,0)</f>
        <v>58</v>
      </c>
      <c r="I138" s="20">
        <f>VLOOKUP(SizeCarton[[#This Row],[Carton ID]],Carton[#All],5,0)</f>
        <v>30.708661417322833</v>
      </c>
      <c r="J138" s="20">
        <f>VLOOKUP(SizeCarton[[#This Row],[Carton ID]],Carton[#All],6,0)</f>
        <v>12.204724409448819</v>
      </c>
      <c r="K138" s="20">
        <f>VLOOKUP(SizeCarton[[#This Row],[Carton ID]],Carton[#All],7,0)</f>
        <v>22.834645669291341</v>
      </c>
    </row>
    <row r="139" spans="1:11">
      <c r="A139" t="s">
        <v>16</v>
      </c>
      <c r="B139">
        <v>15</v>
      </c>
      <c r="C139" s="3" t="s">
        <v>73</v>
      </c>
      <c r="D139">
        <v>12.5</v>
      </c>
      <c r="E139" t="s">
        <v>59</v>
      </c>
      <c r="F139">
        <f>VLOOKUP(SizeCarton[[#This Row],[Carton ID]],Carton[#All],2,0)</f>
        <v>78</v>
      </c>
      <c r="G139">
        <f>VLOOKUP(SizeCarton[[#This Row],[Carton ID]],Carton[#All],3,0)</f>
        <v>31</v>
      </c>
      <c r="H139">
        <f>VLOOKUP(SizeCarton[[#This Row],[Carton ID]],Carton[#All],4,0)</f>
        <v>58</v>
      </c>
      <c r="I139" s="20">
        <f>VLOOKUP(SizeCarton[[#This Row],[Carton ID]],Carton[#All],5,0)</f>
        <v>30.708661417322833</v>
      </c>
      <c r="J139" s="20">
        <f>VLOOKUP(SizeCarton[[#This Row],[Carton ID]],Carton[#All],6,0)</f>
        <v>12.204724409448819</v>
      </c>
      <c r="K139" s="20">
        <f>VLOOKUP(SizeCarton[[#This Row],[Carton ID]],Carton[#All],7,0)</f>
        <v>22.834645669291341</v>
      </c>
    </row>
    <row r="140" spans="1:11">
      <c r="A140" t="s">
        <v>16</v>
      </c>
      <c r="B140">
        <v>5</v>
      </c>
      <c r="C140" s="3" t="s">
        <v>75</v>
      </c>
      <c r="D140">
        <v>6</v>
      </c>
      <c r="E140" s="1" t="s">
        <v>58</v>
      </c>
      <c r="F140">
        <f>VLOOKUP(SizeCarton[[#This Row],[Carton ID]],Carton[#All],2,0)</f>
        <v>78.5</v>
      </c>
      <c r="G140">
        <f>VLOOKUP(SizeCarton[[#This Row],[Carton ID]],Carton[#All],3,0)</f>
        <v>30</v>
      </c>
      <c r="H140">
        <f>VLOOKUP(SizeCarton[[#This Row],[Carton ID]],Carton[#All],4,0)</f>
        <v>53</v>
      </c>
      <c r="I140" s="20">
        <f>VLOOKUP(SizeCarton[[#This Row],[Carton ID]],Carton[#All],5,0)</f>
        <v>30.905511811023622</v>
      </c>
      <c r="J140" s="20">
        <f>VLOOKUP(SizeCarton[[#This Row],[Carton ID]],Carton[#All],6,0)</f>
        <v>11.811023622047244</v>
      </c>
      <c r="K140" s="20">
        <f>VLOOKUP(SizeCarton[[#This Row],[Carton ID]],Carton[#All],7,0)</f>
        <v>20.866141732283463</v>
      </c>
    </row>
    <row r="141" spans="1:11">
      <c r="A141" t="s">
        <v>16</v>
      </c>
      <c r="B141">
        <v>5.5</v>
      </c>
      <c r="C141" s="3" t="s">
        <v>75</v>
      </c>
      <c r="D141">
        <v>7.4</v>
      </c>
      <c r="E141" s="1" t="s">
        <v>58</v>
      </c>
      <c r="F141">
        <f>VLOOKUP(SizeCarton[[#This Row],[Carton ID]],Carton[#All],2,0)</f>
        <v>78.5</v>
      </c>
      <c r="G141">
        <f>VLOOKUP(SizeCarton[[#This Row],[Carton ID]],Carton[#All],3,0)</f>
        <v>30</v>
      </c>
      <c r="H141">
        <f>VLOOKUP(SizeCarton[[#This Row],[Carton ID]],Carton[#All],4,0)</f>
        <v>53</v>
      </c>
      <c r="I141" s="20">
        <f>VLOOKUP(SizeCarton[[#This Row],[Carton ID]],Carton[#All],5,0)</f>
        <v>30.905511811023622</v>
      </c>
      <c r="J141" s="20">
        <f>VLOOKUP(SizeCarton[[#This Row],[Carton ID]],Carton[#All],6,0)</f>
        <v>11.811023622047244</v>
      </c>
      <c r="K141" s="20">
        <f>VLOOKUP(SizeCarton[[#This Row],[Carton ID]],Carton[#All],7,0)</f>
        <v>20.866141732283463</v>
      </c>
    </row>
    <row r="142" spans="1:11">
      <c r="A142" t="s">
        <v>16</v>
      </c>
      <c r="B142">
        <v>6</v>
      </c>
      <c r="C142" s="3" t="s">
        <v>75</v>
      </c>
      <c r="D142">
        <v>8.4</v>
      </c>
      <c r="E142" s="1" t="s">
        <v>58</v>
      </c>
      <c r="F142">
        <f>VLOOKUP(SizeCarton[[#This Row],[Carton ID]],Carton[#All],2,0)</f>
        <v>78.5</v>
      </c>
      <c r="G142">
        <f>VLOOKUP(SizeCarton[[#This Row],[Carton ID]],Carton[#All],3,0)</f>
        <v>30</v>
      </c>
      <c r="H142">
        <f>VLOOKUP(SizeCarton[[#This Row],[Carton ID]],Carton[#All],4,0)</f>
        <v>53</v>
      </c>
      <c r="I142" s="20">
        <f>VLOOKUP(SizeCarton[[#This Row],[Carton ID]],Carton[#All],5,0)</f>
        <v>30.905511811023622</v>
      </c>
      <c r="J142" s="20">
        <f>VLOOKUP(SizeCarton[[#This Row],[Carton ID]],Carton[#All],6,0)</f>
        <v>11.811023622047244</v>
      </c>
      <c r="K142" s="20">
        <f>VLOOKUP(SizeCarton[[#This Row],[Carton ID]],Carton[#All],7,0)</f>
        <v>20.866141732283463</v>
      </c>
    </row>
    <row r="143" spans="1:11">
      <c r="A143" t="s">
        <v>16</v>
      </c>
      <c r="B143">
        <v>6.5</v>
      </c>
      <c r="C143" s="3" t="s">
        <v>75</v>
      </c>
      <c r="D143">
        <v>8.5</v>
      </c>
      <c r="E143" s="1" t="s">
        <v>58</v>
      </c>
      <c r="F143">
        <f>VLOOKUP(SizeCarton[[#This Row],[Carton ID]],Carton[#All],2,0)</f>
        <v>78.5</v>
      </c>
      <c r="G143">
        <f>VLOOKUP(SizeCarton[[#This Row],[Carton ID]],Carton[#All],3,0)</f>
        <v>30</v>
      </c>
      <c r="H143">
        <f>VLOOKUP(SizeCarton[[#This Row],[Carton ID]],Carton[#All],4,0)</f>
        <v>53</v>
      </c>
      <c r="I143" s="20">
        <f>VLOOKUP(SizeCarton[[#This Row],[Carton ID]],Carton[#All],5,0)</f>
        <v>30.905511811023622</v>
      </c>
      <c r="J143" s="20">
        <f>VLOOKUP(SizeCarton[[#This Row],[Carton ID]],Carton[#All],6,0)</f>
        <v>11.811023622047244</v>
      </c>
      <c r="K143" s="20">
        <f>VLOOKUP(SizeCarton[[#This Row],[Carton ID]],Carton[#All],7,0)</f>
        <v>20.866141732283463</v>
      </c>
    </row>
    <row r="144" spans="1:11">
      <c r="A144" t="s">
        <v>16</v>
      </c>
      <c r="B144">
        <v>7</v>
      </c>
      <c r="C144" s="3" t="s">
        <v>75</v>
      </c>
      <c r="D144">
        <v>8.9</v>
      </c>
      <c r="E144" s="1" t="s">
        <v>58</v>
      </c>
      <c r="F144">
        <f>VLOOKUP(SizeCarton[[#This Row],[Carton ID]],Carton[#All],2,0)</f>
        <v>78.5</v>
      </c>
      <c r="G144">
        <f>VLOOKUP(SizeCarton[[#This Row],[Carton ID]],Carton[#All],3,0)</f>
        <v>30</v>
      </c>
      <c r="H144">
        <f>VLOOKUP(SizeCarton[[#This Row],[Carton ID]],Carton[#All],4,0)</f>
        <v>53</v>
      </c>
      <c r="I144" s="20">
        <f>VLOOKUP(SizeCarton[[#This Row],[Carton ID]],Carton[#All],5,0)</f>
        <v>30.905511811023622</v>
      </c>
      <c r="J144" s="20">
        <f>VLOOKUP(SizeCarton[[#This Row],[Carton ID]],Carton[#All],6,0)</f>
        <v>11.811023622047244</v>
      </c>
      <c r="K144" s="20">
        <f>VLOOKUP(SizeCarton[[#This Row],[Carton ID]],Carton[#All],7,0)</f>
        <v>20.866141732283463</v>
      </c>
    </row>
    <row r="145" spans="1:11">
      <c r="A145" t="s">
        <v>16</v>
      </c>
      <c r="B145">
        <v>7.5</v>
      </c>
      <c r="C145" s="3" t="s">
        <v>75</v>
      </c>
      <c r="D145">
        <v>9.3000000000000007</v>
      </c>
      <c r="E145" s="1" t="s">
        <v>58</v>
      </c>
      <c r="F145">
        <f>VLOOKUP(SizeCarton[[#This Row],[Carton ID]],Carton[#All],2,0)</f>
        <v>78.5</v>
      </c>
      <c r="G145">
        <f>VLOOKUP(SizeCarton[[#This Row],[Carton ID]],Carton[#All],3,0)</f>
        <v>30</v>
      </c>
      <c r="H145">
        <f>VLOOKUP(SizeCarton[[#This Row],[Carton ID]],Carton[#All],4,0)</f>
        <v>53</v>
      </c>
      <c r="I145" s="20">
        <f>VLOOKUP(SizeCarton[[#This Row],[Carton ID]],Carton[#All],5,0)</f>
        <v>30.905511811023622</v>
      </c>
      <c r="J145" s="20">
        <f>VLOOKUP(SizeCarton[[#This Row],[Carton ID]],Carton[#All],6,0)</f>
        <v>11.811023622047244</v>
      </c>
      <c r="K145" s="20">
        <f>VLOOKUP(SizeCarton[[#This Row],[Carton ID]],Carton[#All],7,0)</f>
        <v>20.866141732283463</v>
      </c>
    </row>
    <row r="146" spans="1:11">
      <c r="A146" t="s">
        <v>16</v>
      </c>
      <c r="B146">
        <v>8</v>
      </c>
      <c r="C146" s="3" t="s">
        <v>75</v>
      </c>
      <c r="D146">
        <v>9.6</v>
      </c>
      <c r="E146" s="1" t="s">
        <v>58</v>
      </c>
      <c r="F146">
        <f>VLOOKUP(SizeCarton[[#This Row],[Carton ID]],Carton[#All],2,0)</f>
        <v>78.5</v>
      </c>
      <c r="G146">
        <f>VLOOKUP(SizeCarton[[#This Row],[Carton ID]],Carton[#All],3,0)</f>
        <v>30</v>
      </c>
      <c r="H146">
        <f>VLOOKUP(SizeCarton[[#This Row],[Carton ID]],Carton[#All],4,0)</f>
        <v>53</v>
      </c>
      <c r="I146" s="20">
        <f>VLOOKUP(SizeCarton[[#This Row],[Carton ID]],Carton[#All],5,0)</f>
        <v>30.905511811023622</v>
      </c>
      <c r="J146" s="20">
        <f>VLOOKUP(SizeCarton[[#This Row],[Carton ID]],Carton[#All],6,0)</f>
        <v>11.811023622047244</v>
      </c>
      <c r="K146" s="20">
        <f>VLOOKUP(SizeCarton[[#This Row],[Carton ID]],Carton[#All],7,0)</f>
        <v>20.866141732283463</v>
      </c>
    </row>
    <row r="147" spans="1:11">
      <c r="A147" t="s">
        <v>16</v>
      </c>
      <c r="B147">
        <v>8.5</v>
      </c>
      <c r="C147" s="3" t="s">
        <v>75</v>
      </c>
      <c r="D147">
        <v>9.8000000000000007</v>
      </c>
      <c r="E147" s="1" t="s">
        <v>58</v>
      </c>
      <c r="F147">
        <f>VLOOKUP(SizeCarton[[#This Row],[Carton ID]],Carton[#All],2,0)</f>
        <v>78.5</v>
      </c>
      <c r="G147">
        <f>VLOOKUP(SizeCarton[[#This Row],[Carton ID]],Carton[#All],3,0)</f>
        <v>30</v>
      </c>
      <c r="H147">
        <f>VLOOKUP(SizeCarton[[#This Row],[Carton ID]],Carton[#All],4,0)</f>
        <v>53</v>
      </c>
      <c r="I147" s="20">
        <f>VLOOKUP(SizeCarton[[#This Row],[Carton ID]],Carton[#All],5,0)</f>
        <v>30.905511811023622</v>
      </c>
      <c r="J147" s="20">
        <f>VLOOKUP(SizeCarton[[#This Row],[Carton ID]],Carton[#All],6,0)</f>
        <v>11.811023622047244</v>
      </c>
      <c r="K147" s="20">
        <f>VLOOKUP(SizeCarton[[#This Row],[Carton ID]],Carton[#All],7,0)</f>
        <v>20.866141732283463</v>
      </c>
    </row>
    <row r="148" spans="1:11">
      <c r="A148" t="s">
        <v>16</v>
      </c>
      <c r="B148">
        <v>9</v>
      </c>
      <c r="C148" s="3" t="s">
        <v>75</v>
      </c>
      <c r="D148">
        <v>10</v>
      </c>
      <c r="E148" s="1" t="s">
        <v>58</v>
      </c>
      <c r="F148">
        <f>VLOOKUP(SizeCarton[[#This Row],[Carton ID]],Carton[#All],2,0)</f>
        <v>78.5</v>
      </c>
      <c r="G148">
        <f>VLOOKUP(SizeCarton[[#This Row],[Carton ID]],Carton[#All],3,0)</f>
        <v>30</v>
      </c>
      <c r="H148">
        <f>VLOOKUP(SizeCarton[[#This Row],[Carton ID]],Carton[#All],4,0)</f>
        <v>53</v>
      </c>
      <c r="I148" s="20">
        <f>VLOOKUP(SizeCarton[[#This Row],[Carton ID]],Carton[#All],5,0)</f>
        <v>30.905511811023622</v>
      </c>
      <c r="J148" s="20">
        <f>VLOOKUP(SizeCarton[[#This Row],[Carton ID]],Carton[#All],6,0)</f>
        <v>11.811023622047244</v>
      </c>
      <c r="K148" s="20">
        <f>VLOOKUP(SizeCarton[[#This Row],[Carton ID]],Carton[#All],7,0)</f>
        <v>20.866141732283463</v>
      </c>
    </row>
    <row r="149" spans="1:11">
      <c r="A149" t="s">
        <v>16</v>
      </c>
      <c r="B149">
        <v>9.5</v>
      </c>
      <c r="C149" s="3" t="s">
        <v>75</v>
      </c>
      <c r="D149">
        <v>10.199999999999999</v>
      </c>
      <c r="E149" s="1" t="s">
        <v>58</v>
      </c>
      <c r="F149">
        <f>VLOOKUP(SizeCarton[[#This Row],[Carton ID]],Carton[#All],2,0)</f>
        <v>78.5</v>
      </c>
      <c r="G149">
        <f>VLOOKUP(SizeCarton[[#This Row],[Carton ID]],Carton[#All],3,0)</f>
        <v>30</v>
      </c>
      <c r="H149">
        <f>VLOOKUP(SizeCarton[[#This Row],[Carton ID]],Carton[#All],4,0)</f>
        <v>53</v>
      </c>
      <c r="I149" s="20">
        <f>VLOOKUP(SizeCarton[[#This Row],[Carton ID]],Carton[#All],5,0)</f>
        <v>30.905511811023622</v>
      </c>
      <c r="J149" s="20">
        <f>VLOOKUP(SizeCarton[[#This Row],[Carton ID]],Carton[#All],6,0)</f>
        <v>11.811023622047244</v>
      </c>
      <c r="K149" s="20">
        <f>VLOOKUP(SizeCarton[[#This Row],[Carton ID]],Carton[#All],7,0)</f>
        <v>20.866141732283463</v>
      </c>
    </row>
    <row r="150" spans="1:11">
      <c r="A150" t="s">
        <v>16</v>
      </c>
      <c r="B150">
        <v>10</v>
      </c>
      <c r="C150" s="3" t="s">
        <v>75</v>
      </c>
      <c r="D150">
        <v>10.4</v>
      </c>
      <c r="E150" t="s">
        <v>59</v>
      </c>
      <c r="F150">
        <f>VLOOKUP(SizeCarton[[#This Row],[Carton ID]],Carton[#All],2,0)</f>
        <v>78</v>
      </c>
      <c r="G150">
        <f>VLOOKUP(SizeCarton[[#This Row],[Carton ID]],Carton[#All],3,0)</f>
        <v>31</v>
      </c>
      <c r="H150">
        <f>VLOOKUP(SizeCarton[[#This Row],[Carton ID]],Carton[#All],4,0)</f>
        <v>58</v>
      </c>
      <c r="I150" s="20">
        <f>VLOOKUP(SizeCarton[[#This Row],[Carton ID]],Carton[#All],5,0)</f>
        <v>30.708661417322833</v>
      </c>
      <c r="J150" s="20">
        <f>VLOOKUP(SizeCarton[[#This Row],[Carton ID]],Carton[#All],6,0)</f>
        <v>12.204724409448819</v>
      </c>
      <c r="K150" s="20">
        <f>VLOOKUP(SizeCarton[[#This Row],[Carton ID]],Carton[#All],7,0)</f>
        <v>22.834645669291341</v>
      </c>
    </row>
    <row r="151" spans="1:11">
      <c r="A151" t="s">
        <v>16</v>
      </c>
      <c r="B151">
        <v>10.5</v>
      </c>
      <c r="C151" s="3" t="s">
        <v>75</v>
      </c>
      <c r="D151">
        <v>10.6</v>
      </c>
      <c r="E151" t="s">
        <v>59</v>
      </c>
      <c r="F151">
        <f>VLOOKUP(SizeCarton[[#This Row],[Carton ID]],Carton[#All],2,0)</f>
        <v>78</v>
      </c>
      <c r="G151">
        <f>VLOOKUP(SizeCarton[[#This Row],[Carton ID]],Carton[#All],3,0)</f>
        <v>31</v>
      </c>
      <c r="H151">
        <f>VLOOKUP(SizeCarton[[#This Row],[Carton ID]],Carton[#All],4,0)</f>
        <v>58</v>
      </c>
      <c r="I151" s="20">
        <f>VLOOKUP(SizeCarton[[#This Row],[Carton ID]],Carton[#All],5,0)</f>
        <v>30.708661417322833</v>
      </c>
      <c r="J151" s="20">
        <f>VLOOKUP(SizeCarton[[#This Row],[Carton ID]],Carton[#All],6,0)</f>
        <v>12.204724409448819</v>
      </c>
      <c r="K151" s="20">
        <f>VLOOKUP(SizeCarton[[#This Row],[Carton ID]],Carton[#All],7,0)</f>
        <v>22.834645669291341</v>
      </c>
    </row>
    <row r="152" spans="1:11">
      <c r="A152" t="s">
        <v>16</v>
      </c>
      <c r="B152">
        <v>11</v>
      </c>
      <c r="C152" s="3" t="s">
        <v>75</v>
      </c>
      <c r="D152">
        <v>10.8</v>
      </c>
      <c r="E152" t="s">
        <v>59</v>
      </c>
      <c r="F152">
        <f>VLOOKUP(SizeCarton[[#This Row],[Carton ID]],Carton[#All],2,0)</f>
        <v>78</v>
      </c>
      <c r="G152">
        <f>VLOOKUP(SizeCarton[[#This Row],[Carton ID]],Carton[#All],3,0)</f>
        <v>31</v>
      </c>
      <c r="H152">
        <f>VLOOKUP(SizeCarton[[#This Row],[Carton ID]],Carton[#All],4,0)</f>
        <v>58</v>
      </c>
      <c r="I152" s="20">
        <f>VLOOKUP(SizeCarton[[#This Row],[Carton ID]],Carton[#All],5,0)</f>
        <v>30.708661417322833</v>
      </c>
      <c r="J152" s="20">
        <f>VLOOKUP(SizeCarton[[#This Row],[Carton ID]],Carton[#All],6,0)</f>
        <v>12.204724409448819</v>
      </c>
      <c r="K152" s="20">
        <f>VLOOKUP(SizeCarton[[#This Row],[Carton ID]],Carton[#All],7,0)</f>
        <v>22.834645669291341</v>
      </c>
    </row>
    <row r="153" spans="1:11">
      <c r="A153" t="s">
        <v>16</v>
      </c>
      <c r="B153">
        <v>11.5</v>
      </c>
      <c r="C153" s="3" t="s">
        <v>75</v>
      </c>
      <c r="D153">
        <v>10.8</v>
      </c>
      <c r="E153" t="s">
        <v>59</v>
      </c>
      <c r="F153">
        <f>VLOOKUP(SizeCarton[[#This Row],[Carton ID]],Carton[#All],2,0)</f>
        <v>78</v>
      </c>
      <c r="G153">
        <f>VLOOKUP(SizeCarton[[#This Row],[Carton ID]],Carton[#All],3,0)</f>
        <v>31</v>
      </c>
      <c r="H153">
        <f>VLOOKUP(SizeCarton[[#This Row],[Carton ID]],Carton[#All],4,0)</f>
        <v>58</v>
      </c>
      <c r="I153" s="20">
        <f>VLOOKUP(SizeCarton[[#This Row],[Carton ID]],Carton[#All],5,0)</f>
        <v>30.708661417322833</v>
      </c>
      <c r="J153" s="20">
        <f>VLOOKUP(SizeCarton[[#This Row],[Carton ID]],Carton[#All],6,0)</f>
        <v>12.204724409448819</v>
      </c>
      <c r="K153" s="20">
        <f>VLOOKUP(SizeCarton[[#This Row],[Carton ID]],Carton[#All],7,0)</f>
        <v>22.834645669291341</v>
      </c>
    </row>
    <row r="154" spans="1:11">
      <c r="A154" t="s">
        <v>16</v>
      </c>
      <c r="B154">
        <v>12</v>
      </c>
      <c r="C154" s="3" t="s">
        <v>75</v>
      </c>
      <c r="D154">
        <v>11.1</v>
      </c>
      <c r="E154" t="s">
        <v>59</v>
      </c>
      <c r="F154">
        <f>VLOOKUP(SizeCarton[[#This Row],[Carton ID]],Carton[#All],2,0)</f>
        <v>78</v>
      </c>
      <c r="G154">
        <f>VLOOKUP(SizeCarton[[#This Row],[Carton ID]],Carton[#All],3,0)</f>
        <v>31</v>
      </c>
      <c r="H154">
        <f>VLOOKUP(SizeCarton[[#This Row],[Carton ID]],Carton[#All],4,0)</f>
        <v>58</v>
      </c>
      <c r="I154" s="20">
        <f>VLOOKUP(SizeCarton[[#This Row],[Carton ID]],Carton[#All],5,0)</f>
        <v>30.708661417322833</v>
      </c>
      <c r="J154" s="20">
        <f>VLOOKUP(SizeCarton[[#This Row],[Carton ID]],Carton[#All],6,0)</f>
        <v>12.204724409448819</v>
      </c>
      <c r="K154" s="20">
        <f>VLOOKUP(SizeCarton[[#This Row],[Carton ID]],Carton[#All],7,0)</f>
        <v>22.834645669291341</v>
      </c>
    </row>
    <row r="155" spans="1:11">
      <c r="A155" t="s">
        <v>16</v>
      </c>
      <c r="B155">
        <v>12.5</v>
      </c>
      <c r="C155" s="3" t="s">
        <v>75</v>
      </c>
      <c r="D155">
        <v>11.2</v>
      </c>
      <c r="E155" t="s">
        <v>59</v>
      </c>
      <c r="F155">
        <f>VLOOKUP(SizeCarton[[#This Row],[Carton ID]],Carton[#All],2,0)</f>
        <v>78</v>
      </c>
      <c r="G155">
        <f>VLOOKUP(SizeCarton[[#This Row],[Carton ID]],Carton[#All],3,0)</f>
        <v>31</v>
      </c>
      <c r="H155">
        <f>VLOOKUP(SizeCarton[[#This Row],[Carton ID]],Carton[#All],4,0)</f>
        <v>58</v>
      </c>
      <c r="I155" s="20">
        <f>VLOOKUP(SizeCarton[[#This Row],[Carton ID]],Carton[#All],5,0)</f>
        <v>30.708661417322833</v>
      </c>
      <c r="J155" s="20">
        <f>VLOOKUP(SizeCarton[[#This Row],[Carton ID]],Carton[#All],6,0)</f>
        <v>12.204724409448819</v>
      </c>
      <c r="K155" s="20">
        <f>VLOOKUP(SizeCarton[[#This Row],[Carton ID]],Carton[#All],7,0)</f>
        <v>22.834645669291341</v>
      </c>
    </row>
    <row r="156" spans="1:11">
      <c r="A156" t="s">
        <v>16</v>
      </c>
      <c r="B156">
        <v>13</v>
      </c>
      <c r="C156" s="3" t="s">
        <v>75</v>
      </c>
      <c r="D156">
        <v>11.3</v>
      </c>
      <c r="E156" t="s">
        <v>59</v>
      </c>
      <c r="F156">
        <f>VLOOKUP(SizeCarton[[#This Row],[Carton ID]],Carton[#All],2,0)</f>
        <v>78</v>
      </c>
      <c r="G156">
        <f>VLOOKUP(SizeCarton[[#This Row],[Carton ID]],Carton[#All],3,0)</f>
        <v>31</v>
      </c>
      <c r="H156">
        <f>VLOOKUP(SizeCarton[[#This Row],[Carton ID]],Carton[#All],4,0)</f>
        <v>58</v>
      </c>
      <c r="I156" s="20">
        <f>VLOOKUP(SizeCarton[[#This Row],[Carton ID]],Carton[#All],5,0)</f>
        <v>30.708661417322833</v>
      </c>
      <c r="J156" s="20">
        <f>VLOOKUP(SizeCarton[[#This Row],[Carton ID]],Carton[#All],6,0)</f>
        <v>12.204724409448819</v>
      </c>
      <c r="K156" s="20">
        <f>VLOOKUP(SizeCarton[[#This Row],[Carton ID]],Carton[#All],7,0)</f>
        <v>22.834645669291341</v>
      </c>
    </row>
    <row r="157" spans="1:11">
      <c r="A157" t="s">
        <v>16</v>
      </c>
      <c r="B157">
        <v>13.5</v>
      </c>
      <c r="C157" s="3" t="s">
        <v>75</v>
      </c>
      <c r="D157">
        <v>11.5</v>
      </c>
      <c r="E157" t="s">
        <v>59</v>
      </c>
      <c r="F157">
        <f>VLOOKUP(SizeCarton[[#This Row],[Carton ID]],Carton[#All],2,0)</f>
        <v>78</v>
      </c>
      <c r="G157">
        <f>VLOOKUP(SizeCarton[[#This Row],[Carton ID]],Carton[#All],3,0)</f>
        <v>31</v>
      </c>
      <c r="H157">
        <f>VLOOKUP(SizeCarton[[#This Row],[Carton ID]],Carton[#All],4,0)</f>
        <v>58</v>
      </c>
      <c r="I157" s="20">
        <f>VLOOKUP(SizeCarton[[#This Row],[Carton ID]],Carton[#All],5,0)</f>
        <v>30.708661417322833</v>
      </c>
      <c r="J157" s="20">
        <f>VLOOKUP(SizeCarton[[#This Row],[Carton ID]],Carton[#All],6,0)</f>
        <v>12.204724409448819</v>
      </c>
      <c r="K157" s="20">
        <f>VLOOKUP(SizeCarton[[#This Row],[Carton ID]],Carton[#All],7,0)</f>
        <v>22.834645669291341</v>
      </c>
    </row>
    <row r="158" spans="1:11">
      <c r="A158" t="s">
        <v>16</v>
      </c>
      <c r="B158">
        <v>14</v>
      </c>
      <c r="C158" s="3" t="s">
        <v>75</v>
      </c>
      <c r="D158">
        <v>11.7</v>
      </c>
      <c r="E158" t="s">
        <v>59</v>
      </c>
      <c r="F158">
        <f>VLOOKUP(SizeCarton[[#This Row],[Carton ID]],Carton[#All],2,0)</f>
        <v>78</v>
      </c>
      <c r="G158">
        <f>VLOOKUP(SizeCarton[[#This Row],[Carton ID]],Carton[#All],3,0)</f>
        <v>31</v>
      </c>
      <c r="H158">
        <f>VLOOKUP(SizeCarton[[#This Row],[Carton ID]],Carton[#All],4,0)</f>
        <v>58</v>
      </c>
      <c r="I158" s="20">
        <f>VLOOKUP(SizeCarton[[#This Row],[Carton ID]],Carton[#All],5,0)</f>
        <v>30.708661417322833</v>
      </c>
      <c r="J158" s="20">
        <f>VLOOKUP(SizeCarton[[#This Row],[Carton ID]],Carton[#All],6,0)</f>
        <v>12.204724409448819</v>
      </c>
      <c r="K158" s="20">
        <f>VLOOKUP(SizeCarton[[#This Row],[Carton ID]],Carton[#All],7,0)</f>
        <v>22.834645669291341</v>
      </c>
    </row>
    <row r="159" spans="1:11">
      <c r="A159" t="s">
        <v>16</v>
      </c>
      <c r="B159">
        <v>14.5</v>
      </c>
      <c r="C159" s="3" t="s">
        <v>75</v>
      </c>
      <c r="D159">
        <v>12</v>
      </c>
      <c r="E159" t="s">
        <v>59</v>
      </c>
      <c r="F159">
        <f>VLOOKUP(SizeCarton[[#This Row],[Carton ID]],Carton[#All],2,0)</f>
        <v>78</v>
      </c>
      <c r="G159">
        <f>VLOOKUP(SizeCarton[[#This Row],[Carton ID]],Carton[#All],3,0)</f>
        <v>31</v>
      </c>
      <c r="H159">
        <f>VLOOKUP(SizeCarton[[#This Row],[Carton ID]],Carton[#All],4,0)</f>
        <v>58</v>
      </c>
      <c r="I159" s="20">
        <f>VLOOKUP(SizeCarton[[#This Row],[Carton ID]],Carton[#All],5,0)</f>
        <v>30.708661417322833</v>
      </c>
      <c r="J159" s="20">
        <f>VLOOKUP(SizeCarton[[#This Row],[Carton ID]],Carton[#All],6,0)</f>
        <v>12.204724409448819</v>
      </c>
      <c r="K159" s="20">
        <f>VLOOKUP(SizeCarton[[#This Row],[Carton ID]],Carton[#All],7,0)</f>
        <v>22.834645669291341</v>
      </c>
    </row>
    <row r="160" spans="1:11">
      <c r="A160" t="s">
        <v>16</v>
      </c>
      <c r="B160">
        <v>15</v>
      </c>
      <c r="C160" s="3" t="s">
        <v>75</v>
      </c>
      <c r="D160">
        <v>12.5</v>
      </c>
      <c r="E160" t="s">
        <v>59</v>
      </c>
      <c r="F160">
        <f>VLOOKUP(SizeCarton[[#This Row],[Carton ID]],Carton[#All],2,0)</f>
        <v>78</v>
      </c>
      <c r="G160">
        <f>VLOOKUP(SizeCarton[[#This Row],[Carton ID]],Carton[#All],3,0)</f>
        <v>31</v>
      </c>
      <c r="H160">
        <f>VLOOKUP(SizeCarton[[#This Row],[Carton ID]],Carton[#All],4,0)</f>
        <v>58</v>
      </c>
      <c r="I160" s="20">
        <f>VLOOKUP(SizeCarton[[#This Row],[Carton ID]],Carton[#All],5,0)</f>
        <v>30.708661417322833</v>
      </c>
      <c r="J160" s="20">
        <f>VLOOKUP(SizeCarton[[#This Row],[Carton ID]],Carton[#All],6,0)</f>
        <v>12.204724409448819</v>
      </c>
      <c r="K160" s="20">
        <f>VLOOKUP(SizeCarton[[#This Row],[Carton ID]],Carton[#All],7,0)</f>
        <v>22.834645669291341</v>
      </c>
    </row>
    <row r="161" spans="1:11">
      <c r="A161" t="s">
        <v>16</v>
      </c>
      <c r="B161">
        <v>16</v>
      </c>
      <c r="C161" s="3" t="s">
        <v>75</v>
      </c>
      <c r="D161">
        <v>13</v>
      </c>
      <c r="E161" t="s">
        <v>59</v>
      </c>
      <c r="F161">
        <f>VLOOKUP(SizeCarton[[#This Row],[Carton ID]],Carton[#All],2,0)</f>
        <v>78</v>
      </c>
      <c r="G161">
        <f>VLOOKUP(SizeCarton[[#This Row],[Carton ID]],Carton[#All],3,0)</f>
        <v>31</v>
      </c>
      <c r="H161">
        <f>VLOOKUP(SizeCarton[[#This Row],[Carton ID]],Carton[#All],4,0)</f>
        <v>58</v>
      </c>
      <c r="I161" s="20">
        <f>VLOOKUP(SizeCarton[[#This Row],[Carton ID]],Carton[#All],5,0)</f>
        <v>30.708661417322833</v>
      </c>
      <c r="J161" s="20">
        <f>VLOOKUP(SizeCarton[[#This Row],[Carton ID]],Carton[#All],6,0)</f>
        <v>12.204724409448819</v>
      </c>
      <c r="K161" s="20">
        <f>VLOOKUP(SizeCarton[[#This Row],[Carton ID]],Carton[#All],7,0)</f>
        <v>22.834645669291341</v>
      </c>
    </row>
    <row r="162" spans="1:11">
      <c r="A162" t="s">
        <v>16</v>
      </c>
      <c r="B162">
        <v>8</v>
      </c>
      <c r="C162" s="3" t="s">
        <v>76</v>
      </c>
      <c r="D162">
        <v>9.6</v>
      </c>
      <c r="E162" s="1" t="s">
        <v>58</v>
      </c>
      <c r="F162">
        <f>VLOOKUP(SizeCarton[[#This Row],[Carton ID]],Carton[#All],2,0)</f>
        <v>78.5</v>
      </c>
      <c r="G162">
        <f>VLOOKUP(SizeCarton[[#This Row],[Carton ID]],Carton[#All],3,0)</f>
        <v>30</v>
      </c>
      <c r="H162">
        <f>VLOOKUP(SizeCarton[[#This Row],[Carton ID]],Carton[#All],4,0)</f>
        <v>53</v>
      </c>
      <c r="I162" s="20">
        <f>VLOOKUP(SizeCarton[[#This Row],[Carton ID]],Carton[#All],5,0)</f>
        <v>30.905511811023622</v>
      </c>
      <c r="J162" s="20">
        <f>VLOOKUP(SizeCarton[[#This Row],[Carton ID]],Carton[#All],6,0)</f>
        <v>11.811023622047244</v>
      </c>
      <c r="K162" s="20">
        <f>VLOOKUP(SizeCarton[[#This Row],[Carton ID]],Carton[#All],7,0)</f>
        <v>20.866141732283463</v>
      </c>
    </row>
    <row r="163" spans="1:11">
      <c r="A163" t="s">
        <v>16</v>
      </c>
      <c r="B163">
        <v>9</v>
      </c>
      <c r="C163" s="3" t="s">
        <v>76</v>
      </c>
      <c r="D163">
        <v>10</v>
      </c>
      <c r="E163" s="1" t="s">
        <v>58</v>
      </c>
      <c r="F163">
        <f>VLOOKUP(SizeCarton[[#This Row],[Carton ID]],Carton[#All],2,0)</f>
        <v>78.5</v>
      </c>
      <c r="G163">
        <f>VLOOKUP(SizeCarton[[#This Row],[Carton ID]],Carton[#All],3,0)</f>
        <v>30</v>
      </c>
      <c r="H163">
        <f>VLOOKUP(SizeCarton[[#This Row],[Carton ID]],Carton[#All],4,0)</f>
        <v>53</v>
      </c>
      <c r="I163" s="20">
        <f>VLOOKUP(SizeCarton[[#This Row],[Carton ID]],Carton[#All],5,0)</f>
        <v>30.905511811023622</v>
      </c>
      <c r="J163" s="20">
        <f>VLOOKUP(SizeCarton[[#This Row],[Carton ID]],Carton[#All],6,0)</f>
        <v>11.811023622047244</v>
      </c>
      <c r="K163" s="20">
        <f>VLOOKUP(SizeCarton[[#This Row],[Carton ID]],Carton[#All],7,0)</f>
        <v>20.866141732283463</v>
      </c>
    </row>
    <row r="164" spans="1:11">
      <c r="A164" t="s">
        <v>16</v>
      </c>
      <c r="B164">
        <v>9.5</v>
      </c>
      <c r="C164" s="3" t="s">
        <v>76</v>
      </c>
      <c r="D164">
        <v>10.199999999999999</v>
      </c>
      <c r="E164" s="1" t="s">
        <v>58</v>
      </c>
      <c r="F164">
        <f>VLOOKUP(SizeCarton[[#This Row],[Carton ID]],Carton[#All],2,0)</f>
        <v>78.5</v>
      </c>
      <c r="G164">
        <f>VLOOKUP(SizeCarton[[#This Row],[Carton ID]],Carton[#All],3,0)</f>
        <v>30</v>
      </c>
      <c r="H164">
        <f>VLOOKUP(SizeCarton[[#This Row],[Carton ID]],Carton[#All],4,0)</f>
        <v>53</v>
      </c>
      <c r="I164" s="20">
        <f>VLOOKUP(SizeCarton[[#This Row],[Carton ID]],Carton[#All],5,0)</f>
        <v>30.905511811023622</v>
      </c>
      <c r="J164" s="20">
        <f>VLOOKUP(SizeCarton[[#This Row],[Carton ID]],Carton[#All],6,0)</f>
        <v>11.811023622047244</v>
      </c>
      <c r="K164" s="20">
        <f>VLOOKUP(SizeCarton[[#This Row],[Carton ID]],Carton[#All],7,0)</f>
        <v>20.866141732283463</v>
      </c>
    </row>
    <row r="165" spans="1:11">
      <c r="A165" t="s">
        <v>16</v>
      </c>
      <c r="B165">
        <v>10</v>
      </c>
      <c r="C165" s="3" t="s">
        <v>76</v>
      </c>
      <c r="D165">
        <v>10.4</v>
      </c>
      <c r="E165" t="s">
        <v>59</v>
      </c>
      <c r="F165">
        <f>VLOOKUP(SizeCarton[[#This Row],[Carton ID]],Carton[#All],2,0)</f>
        <v>78</v>
      </c>
      <c r="G165">
        <f>VLOOKUP(SizeCarton[[#This Row],[Carton ID]],Carton[#All],3,0)</f>
        <v>31</v>
      </c>
      <c r="H165">
        <f>VLOOKUP(SizeCarton[[#This Row],[Carton ID]],Carton[#All],4,0)</f>
        <v>58</v>
      </c>
      <c r="I165" s="20">
        <f>VLOOKUP(SizeCarton[[#This Row],[Carton ID]],Carton[#All],5,0)</f>
        <v>30.708661417322833</v>
      </c>
      <c r="J165" s="20">
        <f>VLOOKUP(SizeCarton[[#This Row],[Carton ID]],Carton[#All],6,0)</f>
        <v>12.204724409448819</v>
      </c>
      <c r="K165" s="20">
        <f>VLOOKUP(SizeCarton[[#This Row],[Carton ID]],Carton[#All],7,0)</f>
        <v>22.834645669291341</v>
      </c>
    </row>
    <row r="166" spans="1:11">
      <c r="A166" t="s">
        <v>16</v>
      </c>
      <c r="B166">
        <v>10.5</v>
      </c>
      <c r="C166" s="3" t="s">
        <v>76</v>
      </c>
      <c r="D166">
        <v>10.6</v>
      </c>
      <c r="E166" t="s">
        <v>59</v>
      </c>
      <c r="F166">
        <f>VLOOKUP(SizeCarton[[#This Row],[Carton ID]],Carton[#All],2,0)</f>
        <v>78</v>
      </c>
      <c r="G166">
        <f>VLOOKUP(SizeCarton[[#This Row],[Carton ID]],Carton[#All],3,0)</f>
        <v>31</v>
      </c>
      <c r="H166">
        <f>VLOOKUP(SizeCarton[[#This Row],[Carton ID]],Carton[#All],4,0)</f>
        <v>58</v>
      </c>
      <c r="I166" s="20">
        <f>VLOOKUP(SizeCarton[[#This Row],[Carton ID]],Carton[#All],5,0)</f>
        <v>30.708661417322833</v>
      </c>
      <c r="J166" s="20">
        <f>VLOOKUP(SizeCarton[[#This Row],[Carton ID]],Carton[#All],6,0)</f>
        <v>12.204724409448819</v>
      </c>
      <c r="K166" s="20">
        <f>VLOOKUP(SizeCarton[[#This Row],[Carton ID]],Carton[#All],7,0)</f>
        <v>22.834645669291341</v>
      </c>
    </row>
    <row r="167" spans="1:11">
      <c r="A167" t="s">
        <v>16</v>
      </c>
      <c r="B167">
        <v>11</v>
      </c>
      <c r="C167" s="3" t="s">
        <v>76</v>
      </c>
      <c r="D167">
        <v>10.8</v>
      </c>
      <c r="E167" t="s">
        <v>59</v>
      </c>
      <c r="F167">
        <f>VLOOKUP(SizeCarton[[#This Row],[Carton ID]],Carton[#All],2,0)</f>
        <v>78</v>
      </c>
      <c r="G167">
        <f>VLOOKUP(SizeCarton[[#This Row],[Carton ID]],Carton[#All],3,0)</f>
        <v>31</v>
      </c>
      <c r="H167">
        <f>VLOOKUP(SizeCarton[[#This Row],[Carton ID]],Carton[#All],4,0)</f>
        <v>58</v>
      </c>
      <c r="I167" s="20">
        <f>VLOOKUP(SizeCarton[[#This Row],[Carton ID]],Carton[#All],5,0)</f>
        <v>30.708661417322833</v>
      </c>
      <c r="J167" s="20">
        <f>VLOOKUP(SizeCarton[[#This Row],[Carton ID]],Carton[#All],6,0)</f>
        <v>12.204724409448819</v>
      </c>
      <c r="K167" s="20">
        <f>VLOOKUP(SizeCarton[[#This Row],[Carton ID]],Carton[#All],7,0)</f>
        <v>22.834645669291341</v>
      </c>
    </row>
    <row r="168" spans="1:11">
      <c r="A168" t="s">
        <v>16</v>
      </c>
      <c r="B168">
        <v>11.5</v>
      </c>
      <c r="C168" s="3" t="s">
        <v>76</v>
      </c>
      <c r="D168">
        <v>10.8</v>
      </c>
      <c r="E168" t="s">
        <v>59</v>
      </c>
      <c r="F168">
        <f>VLOOKUP(SizeCarton[[#This Row],[Carton ID]],Carton[#All],2,0)</f>
        <v>78</v>
      </c>
      <c r="G168">
        <f>VLOOKUP(SizeCarton[[#This Row],[Carton ID]],Carton[#All],3,0)</f>
        <v>31</v>
      </c>
      <c r="H168">
        <f>VLOOKUP(SizeCarton[[#This Row],[Carton ID]],Carton[#All],4,0)</f>
        <v>58</v>
      </c>
      <c r="I168" s="20">
        <f>VLOOKUP(SizeCarton[[#This Row],[Carton ID]],Carton[#All],5,0)</f>
        <v>30.708661417322833</v>
      </c>
      <c r="J168" s="20">
        <f>VLOOKUP(SizeCarton[[#This Row],[Carton ID]],Carton[#All],6,0)</f>
        <v>12.204724409448819</v>
      </c>
      <c r="K168" s="20">
        <f>VLOOKUP(SizeCarton[[#This Row],[Carton ID]],Carton[#All],7,0)</f>
        <v>22.834645669291341</v>
      </c>
    </row>
    <row r="169" spans="1:11">
      <c r="A169" t="s">
        <v>16</v>
      </c>
      <c r="B169">
        <v>12</v>
      </c>
      <c r="C169" s="3" t="s">
        <v>76</v>
      </c>
      <c r="D169">
        <v>11.1</v>
      </c>
      <c r="E169" t="s">
        <v>59</v>
      </c>
      <c r="F169">
        <f>VLOOKUP(SizeCarton[[#This Row],[Carton ID]],Carton[#All],2,0)</f>
        <v>78</v>
      </c>
      <c r="G169">
        <f>VLOOKUP(SizeCarton[[#This Row],[Carton ID]],Carton[#All],3,0)</f>
        <v>31</v>
      </c>
      <c r="H169">
        <f>VLOOKUP(SizeCarton[[#This Row],[Carton ID]],Carton[#All],4,0)</f>
        <v>58</v>
      </c>
      <c r="I169" s="20">
        <f>VLOOKUP(SizeCarton[[#This Row],[Carton ID]],Carton[#All],5,0)</f>
        <v>30.708661417322833</v>
      </c>
      <c r="J169" s="20">
        <f>VLOOKUP(SizeCarton[[#This Row],[Carton ID]],Carton[#All],6,0)</f>
        <v>12.204724409448819</v>
      </c>
      <c r="K169" s="20">
        <f>VLOOKUP(SizeCarton[[#This Row],[Carton ID]],Carton[#All],7,0)</f>
        <v>22.834645669291341</v>
      </c>
    </row>
    <row r="170" spans="1:11">
      <c r="A170" t="s">
        <v>16</v>
      </c>
      <c r="B170">
        <v>13</v>
      </c>
      <c r="C170" s="3" t="s">
        <v>76</v>
      </c>
      <c r="D170">
        <v>11.3</v>
      </c>
      <c r="E170" t="s">
        <v>59</v>
      </c>
      <c r="F170">
        <f>VLOOKUP(SizeCarton[[#This Row],[Carton ID]],Carton[#All],2,0)</f>
        <v>78</v>
      </c>
      <c r="G170">
        <f>VLOOKUP(SizeCarton[[#This Row],[Carton ID]],Carton[#All],3,0)</f>
        <v>31</v>
      </c>
      <c r="H170">
        <f>VLOOKUP(SizeCarton[[#This Row],[Carton ID]],Carton[#All],4,0)</f>
        <v>58</v>
      </c>
      <c r="I170" s="20">
        <f>VLOOKUP(SizeCarton[[#This Row],[Carton ID]],Carton[#All],5,0)</f>
        <v>30.708661417322833</v>
      </c>
      <c r="J170" s="20">
        <f>VLOOKUP(SizeCarton[[#This Row],[Carton ID]],Carton[#All],6,0)</f>
        <v>12.204724409448819</v>
      </c>
      <c r="K170" s="20">
        <f>VLOOKUP(SizeCarton[[#This Row],[Carton ID]],Carton[#All],7,0)</f>
        <v>22.834645669291341</v>
      </c>
    </row>
    <row r="171" spans="1:11">
      <c r="E171" s="2"/>
    </row>
    <row r="172" spans="1:11">
      <c r="E172" s="2"/>
    </row>
    <row r="173" spans="1:11">
      <c r="E173" s="2"/>
    </row>
    <row r="174" spans="1:11">
      <c r="E174" s="2"/>
    </row>
    <row r="175" spans="1:11">
      <c r="E175" s="2"/>
    </row>
    <row r="176" spans="1:11">
      <c r="E176" s="2"/>
    </row>
    <row r="177" spans="5:5">
      <c r="E177" s="2"/>
    </row>
    <row r="178" spans="5:5">
      <c r="E178" s="2"/>
    </row>
    <row r="179" spans="5:5">
      <c r="E179" s="2"/>
    </row>
    <row r="180" spans="5:5">
      <c r="E180" s="2"/>
    </row>
    <row r="181" spans="5:5">
      <c r="E181" s="2"/>
    </row>
    <row r="182" spans="5:5">
      <c r="E182" s="2"/>
    </row>
    <row r="183" spans="5:5">
      <c r="E183" s="2"/>
    </row>
    <row r="184" spans="5:5">
      <c r="E184" s="2"/>
    </row>
  </sheetData>
  <phoneticPr fontId="11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957A3-F583-0044-AC2C-FC3EF62D75CC}">
  <sheetPr codeName="Sheet4"/>
  <dimension ref="A1:G14"/>
  <sheetViews>
    <sheetView zoomScale="138" workbookViewId="0">
      <selection activeCell="A9" sqref="A9"/>
    </sheetView>
  </sheetViews>
  <sheetFormatPr baseColWidth="10" defaultRowHeight="16"/>
  <cols>
    <col min="1" max="1" width="14" customWidth="1"/>
  </cols>
  <sheetData>
    <row r="1" spans="1:7">
      <c r="A1" t="s">
        <v>7</v>
      </c>
      <c r="B1" t="s">
        <v>10</v>
      </c>
      <c r="C1" t="s">
        <v>11</v>
      </c>
      <c r="D1" t="s">
        <v>12</v>
      </c>
      <c r="E1" s="19" t="s">
        <v>5</v>
      </c>
      <c r="F1" s="19" t="s">
        <v>4</v>
      </c>
      <c r="G1" s="19" t="s">
        <v>3</v>
      </c>
    </row>
    <row r="2" spans="1:7">
      <c r="A2" s="1" t="s">
        <v>8</v>
      </c>
      <c r="B2" s="23">
        <v>79</v>
      </c>
      <c r="C2" s="23">
        <v>42</v>
      </c>
      <c r="D2" s="23">
        <v>51.5</v>
      </c>
      <c r="E2" s="20">
        <f>CONVERT(Carton[[#This Row],[L (CM)]],"cm","in")</f>
        <v>31.102362204724411</v>
      </c>
      <c r="F2" s="20">
        <f>CONVERT(Carton[[#This Row],[W (CM)]],"cm","in")</f>
        <v>16.535433070866144</v>
      </c>
      <c r="G2" s="20">
        <f>CONVERT(Carton[[#This Row],[H (CM)]],"cm","in")</f>
        <v>20.275590551181104</v>
      </c>
    </row>
    <row r="3" spans="1:7">
      <c r="A3" s="1" t="s">
        <v>9</v>
      </c>
      <c r="B3" s="23">
        <v>85</v>
      </c>
      <c r="C3" s="23">
        <v>45</v>
      </c>
      <c r="D3" s="23">
        <v>55.5</v>
      </c>
      <c r="E3" s="20">
        <f>CONVERT(Carton[[#This Row],[L (CM)]],"cm","in")</f>
        <v>33.464566929133859</v>
      </c>
      <c r="F3" s="20">
        <f>CONVERT(Carton[[#This Row],[W (CM)]],"cm","in")</f>
        <v>17.716535433070867</v>
      </c>
      <c r="G3" s="20">
        <f>CONVERT(Carton[[#This Row],[H (CM)]],"cm","in")</f>
        <v>21.850393700787404</v>
      </c>
    </row>
    <row r="4" spans="1:7">
      <c r="A4" s="1" t="s">
        <v>53</v>
      </c>
      <c r="B4" s="23">
        <v>63.5</v>
      </c>
      <c r="C4" s="23">
        <v>37.5</v>
      </c>
      <c r="D4" s="23">
        <v>34.5</v>
      </c>
      <c r="E4" s="20">
        <f>CONVERT(Carton[[#This Row],[L (CM)]],"cm","in")</f>
        <v>25</v>
      </c>
      <c r="F4" s="20">
        <f>CONVERT(Carton[[#This Row],[W (CM)]],"cm","in")</f>
        <v>14.763779527559054</v>
      </c>
      <c r="G4" s="20">
        <f>CONVERT(Carton[[#This Row],[H (CM)]],"cm","in")</f>
        <v>13.58267716535433</v>
      </c>
    </row>
    <row r="5" spans="1:7">
      <c r="A5" s="1" t="s">
        <v>54</v>
      </c>
      <c r="B5" s="20">
        <v>67.5</v>
      </c>
      <c r="C5" s="20">
        <v>42</v>
      </c>
      <c r="D5" s="20">
        <v>37.5</v>
      </c>
      <c r="E5" s="20">
        <f>CONVERT(Carton[[#This Row],[L (CM)]],"cm","in")</f>
        <v>26.5748031496063</v>
      </c>
      <c r="F5" s="20">
        <f>CONVERT(Carton[[#This Row],[W (CM)]],"cm","in")</f>
        <v>16.535433070866144</v>
      </c>
      <c r="G5" s="20">
        <f>CONVERT(Carton[[#This Row],[H (CM)]],"cm","in")</f>
        <v>14.763779527559054</v>
      </c>
    </row>
    <row r="6" spans="1:7">
      <c r="A6" s="1" t="s">
        <v>55</v>
      </c>
      <c r="B6" s="20">
        <v>74.5</v>
      </c>
      <c r="C6" s="20">
        <v>42</v>
      </c>
      <c r="D6" s="20">
        <v>41</v>
      </c>
      <c r="E6" s="20">
        <f>CONVERT(Carton[[#This Row],[L (CM)]],"cm","in")</f>
        <v>29.330708661417326</v>
      </c>
      <c r="F6" s="20">
        <f>CONVERT(Carton[[#This Row],[W (CM)]],"cm","in")</f>
        <v>16.535433070866144</v>
      </c>
      <c r="G6" s="20">
        <f>CONVERT(Carton[[#This Row],[H (CM)]],"cm","in")</f>
        <v>16.141732283464567</v>
      </c>
    </row>
    <row r="7" spans="1:7">
      <c r="A7" s="1" t="s">
        <v>56</v>
      </c>
      <c r="B7" s="23">
        <v>75.5</v>
      </c>
      <c r="C7" s="23">
        <v>39.5</v>
      </c>
      <c r="D7" s="23">
        <v>44.7</v>
      </c>
      <c r="E7" s="20">
        <f>CONVERT(Carton[[#This Row],[L (CM)]],"cm","in")</f>
        <v>29.724409448818896</v>
      </c>
      <c r="F7" s="20">
        <f>CONVERT(Carton[[#This Row],[W (CM)]],"cm","in")</f>
        <v>15.551181102362206</v>
      </c>
      <c r="G7" s="20">
        <f>CONVERT(Carton[[#This Row],[H (CM)]],"cm","in")</f>
        <v>17.598425196850396</v>
      </c>
    </row>
    <row r="8" spans="1:7">
      <c r="A8" s="1" t="s">
        <v>57</v>
      </c>
      <c r="B8" s="23">
        <v>79.5</v>
      </c>
      <c r="C8" s="23">
        <v>42.5</v>
      </c>
      <c r="D8" s="23">
        <v>49.7</v>
      </c>
      <c r="E8" s="20">
        <f>CONVERT(Carton[[#This Row],[L (CM)]],"cm","in")</f>
        <v>31.299212598425196</v>
      </c>
      <c r="F8" s="20">
        <f>CONVERT(Carton[[#This Row],[W (CM)]],"cm","in")</f>
        <v>16.73228346456693</v>
      </c>
      <c r="G8" s="20">
        <f>CONVERT(Carton[[#This Row],[H (CM)]],"cm","in")</f>
        <v>19.56692913385827</v>
      </c>
    </row>
    <row r="9" spans="1:7">
      <c r="A9" s="1" t="s">
        <v>58</v>
      </c>
      <c r="B9" s="23">
        <v>78.5</v>
      </c>
      <c r="C9" s="23">
        <v>30</v>
      </c>
      <c r="D9" s="23">
        <v>53</v>
      </c>
      <c r="E9" s="20">
        <f>CONVERT(Carton[[#This Row],[L (CM)]],"cm","in")</f>
        <v>30.905511811023622</v>
      </c>
      <c r="F9" s="20">
        <f>CONVERT(Carton[[#This Row],[W (CM)]],"cm","in")</f>
        <v>11.811023622047244</v>
      </c>
      <c r="G9" s="20">
        <f>CONVERT(Carton[[#This Row],[H (CM)]],"cm","in")</f>
        <v>20.866141732283463</v>
      </c>
    </row>
    <row r="10" spans="1:7">
      <c r="A10" s="1" t="s">
        <v>59</v>
      </c>
      <c r="B10" s="20">
        <v>78</v>
      </c>
      <c r="C10" s="20">
        <v>31</v>
      </c>
      <c r="D10" s="20">
        <v>58</v>
      </c>
      <c r="E10" s="20">
        <f>CONVERT(Carton[[#This Row],[L (CM)]],"cm","in")</f>
        <v>30.708661417322833</v>
      </c>
      <c r="F10" s="20">
        <f>CONVERT(Carton[[#This Row],[W (CM)]],"cm","in")</f>
        <v>12.204724409448819</v>
      </c>
      <c r="G10" s="20">
        <f>CONVERT(Carton[[#This Row],[H (CM)]],"cm","in")</f>
        <v>22.834645669291341</v>
      </c>
    </row>
    <row r="11" spans="1:7">
      <c r="A11" s="1" t="s">
        <v>60</v>
      </c>
      <c r="B11" s="23">
        <v>59.5</v>
      </c>
      <c r="C11" s="23">
        <v>37</v>
      </c>
      <c r="D11" s="23">
        <v>35.5</v>
      </c>
      <c r="E11" s="20">
        <f>CONVERT(Carton[[#This Row],[L (CM)]],"cm","in")</f>
        <v>23.4251968503937</v>
      </c>
      <c r="F11" s="20">
        <f>CONVERT(Carton[[#This Row],[W (CM)]],"cm","in")</f>
        <v>14.566929133858268</v>
      </c>
      <c r="G11" s="20">
        <f>CONVERT(Carton[[#This Row],[H (CM)]],"cm","in")</f>
        <v>13.976377952755907</v>
      </c>
    </row>
    <row r="12" spans="1:7">
      <c r="A12" t="s">
        <v>61</v>
      </c>
      <c r="B12" s="20">
        <v>62.5</v>
      </c>
      <c r="C12" s="20">
        <v>39.5</v>
      </c>
      <c r="D12" s="20">
        <v>38.5</v>
      </c>
      <c r="E12" s="20">
        <f>CONVERT(Carton[[#This Row],[L (CM)]],"cm","in")</f>
        <v>24.606299212598426</v>
      </c>
      <c r="F12" s="20">
        <f>CONVERT(Carton[[#This Row],[W (CM)]],"cm","in")</f>
        <v>15.551181102362206</v>
      </c>
      <c r="G12" s="20">
        <f>CONVERT(Carton[[#This Row],[H (CM)]],"cm","in")</f>
        <v>15.157480314960631</v>
      </c>
    </row>
    <row r="13" spans="1:7">
      <c r="A13" s="1" t="s">
        <v>62</v>
      </c>
      <c r="B13" s="23">
        <v>64.5</v>
      </c>
      <c r="C13" s="23">
        <v>38.5</v>
      </c>
      <c r="D13" s="23">
        <v>36</v>
      </c>
      <c r="E13" s="20">
        <f>CONVERT(Carton[[#This Row],[L (CM)]],"cm","in")</f>
        <v>25.393700787401578</v>
      </c>
      <c r="F13" s="20">
        <f>CONVERT(Carton[[#This Row],[W (CM)]],"cm","in")</f>
        <v>15.157480314960631</v>
      </c>
      <c r="G13" s="20">
        <f>CONVERT(Carton[[#This Row],[H (CM)]],"cm","in")</f>
        <v>14.173228346456693</v>
      </c>
    </row>
    <row r="14" spans="1:7">
      <c r="A14" s="1" t="s">
        <v>63</v>
      </c>
      <c r="B14" s="23">
        <v>68.5</v>
      </c>
      <c r="C14" s="23">
        <v>43</v>
      </c>
      <c r="D14" s="23">
        <v>39.5</v>
      </c>
      <c r="E14" s="20">
        <f>CONVERT(Carton[[#This Row],[L (CM)]],"cm","in")</f>
        <v>26.968503937007874</v>
      </c>
      <c r="F14" s="20">
        <f>CONVERT(Carton[[#This Row],[W (CM)]],"cm","in")</f>
        <v>16.929133858267718</v>
      </c>
      <c r="G14" s="20">
        <f>CONVERT(Carton[[#This Row],[H (CM)]],"cm","in")</f>
        <v>15.551181102362206</v>
      </c>
    </row>
  </sheetData>
  <phoneticPr fontId="11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8427E-47ED-B243-A805-E288344E3877}">
  <dimension ref="B2:F4"/>
  <sheetViews>
    <sheetView tabSelected="1" workbookViewId="0">
      <selection activeCell="J32" sqref="J32"/>
    </sheetView>
  </sheetViews>
  <sheetFormatPr baseColWidth="10" defaultRowHeight="16"/>
  <cols>
    <col min="4" max="4" width="9.5" customWidth="1"/>
    <col min="6" max="6" width="9.83203125" customWidth="1"/>
  </cols>
  <sheetData>
    <row r="2" spans="2:6">
      <c r="B2" s="57" t="s">
        <v>133</v>
      </c>
      <c r="C2" s="57"/>
      <c r="D2" s="57"/>
      <c r="E2" s="57"/>
      <c r="F2" s="57"/>
    </row>
    <row r="3" spans="2:6" ht="34" customHeight="1">
      <c r="B3" s="58" t="s">
        <v>134</v>
      </c>
      <c r="C3" s="59" t="s">
        <v>138</v>
      </c>
      <c r="D3" s="59" t="s">
        <v>130</v>
      </c>
      <c r="E3" s="59" t="s">
        <v>137</v>
      </c>
      <c r="F3" s="59" t="s">
        <v>132</v>
      </c>
    </row>
    <row r="4" spans="2:6">
      <c r="B4" s="60" t="s">
        <v>135</v>
      </c>
      <c r="C4" s="60">
        <v>48</v>
      </c>
      <c r="D4" s="61">
        <v>40</v>
      </c>
      <c r="E4" s="56">
        <v>5</v>
      </c>
      <c r="F4" s="3">
        <v>15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3F296-3CF7-E54B-9C4E-424D7141B637}">
  <sheetPr codeName="Sheet7"/>
  <dimension ref="B6:D10"/>
  <sheetViews>
    <sheetView workbookViewId="0">
      <selection activeCell="D6" sqref="D6"/>
    </sheetView>
  </sheetViews>
  <sheetFormatPr baseColWidth="10" defaultRowHeight="16"/>
  <cols>
    <col min="3" max="3" width="11.5" customWidth="1"/>
  </cols>
  <sheetData>
    <row r="6" spans="2:4">
      <c r="B6" t="s">
        <v>6</v>
      </c>
      <c r="C6" t="s">
        <v>15</v>
      </c>
      <c r="D6" t="s">
        <v>16</v>
      </c>
    </row>
    <row r="7" spans="2:4">
      <c r="B7" t="str" cm="1">
        <f t="array" ref="B7:B10">{"M";"W";"XW";"WOS-M"}</f>
        <v>M</v>
      </c>
      <c r="C7" t="str" cm="1">
        <f t="array" ref="C7:C8">{"E";"EEE"}</f>
        <v>E</v>
      </c>
      <c r="D7" t="str" cm="1">
        <f t="array" ref="D7:D9">{"M";"W";"XW"}</f>
        <v>M</v>
      </c>
    </row>
    <row r="8" spans="2:4">
      <c r="B8" t="str">
        <v>W</v>
      </c>
      <c r="C8" t="str">
        <v>EEE</v>
      </c>
      <c r="D8" t="str">
        <v>W</v>
      </c>
    </row>
    <row r="9" spans="2:4">
      <c r="B9" t="str">
        <v>XW</v>
      </c>
      <c r="D9" t="str">
        <v>XW</v>
      </c>
    </row>
    <row r="10" spans="2:4">
      <c r="B10" t="str">
        <v>WOS-M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Log</vt:lpstr>
      <vt:lpstr>Input</vt:lpstr>
      <vt:lpstr>PackingPalletDetail</vt:lpstr>
      <vt:lpstr>PalletSummary</vt:lpstr>
      <vt:lpstr>Concat+Rename</vt:lpstr>
      <vt:lpstr>SizeCarton</vt:lpstr>
      <vt:lpstr>Carton</vt:lpstr>
      <vt:lpstr>Pallet</vt:lpstr>
      <vt:lpstr>Dropdown</vt:lpstr>
      <vt:lpstr>Brand</vt:lpstr>
      <vt:lpstr>CtnLayer</vt:lpstr>
      <vt:lpstr>MaxLayer</vt:lpstr>
      <vt:lpstr>MaxPal</vt:lpstr>
      <vt:lpstr>PairCtn</vt:lpstr>
      <vt:lpstr>PalletPlan</vt:lpstr>
      <vt:lpstr>PO</vt:lpstr>
      <vt:lpstr>'Concat+Rename'!Print_Area</vt:lpstr>
      <vt:lpstr>PackingPalletDetail!Print_Area</vt:lpstr>
      <vt:lpstr>PalletSummary!Print_Area</vt:lpstr>
      <vt:lpstr>SizeLabels</vt:lpstr>
      <vt:lpstr>Sizes</vt:lpstr>
      <vt:lpstr>StyleName</vt:lpstr>
      <vt:lpstr>StyleNo</vt:lpstr>
      <vt:lpstr>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Clyde | American Sole</dc:creator>
  <cp:lastModifiedBy>Clyde | American Sole</cp:lastModifiedBy>
  <dcterms:created xsi:type="dcterms:W3CDTF">2026-05-04T16:52:23Z</dcterms:created>
  <dcterms:modified xsi:type="dcterms:W3CDTF">2026-05-08T16:27:13Z</dcterms:modified>
</cp:coreProperties>
</file>