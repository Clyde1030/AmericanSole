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Users/yu-shenglee/Desktop/dev/AmericanSole/Excel/"/>
    </mc:Choice>
  </mc:AlternateContent>
  <xr:revisionPtr revIDLastSave="0" documentId="13_ncr:1_{C7E5A07C-A141-8E4A-8D5C-9AD3A061A8F1}" xr6:coauthVersionLast="47" xr6:coauthVersionMax="47" xr10:uidLastSave="{00000000-0000-0000-0000-000000000000}"/>
  <bookViews>
    <workbookView xWindow="28800" yWindow="500" windowWidth="38400" windowHeight="21100" activeTab="3" xr2:uid="{D841F097-CF9B-9F48-8F70-F9C054FBA455}"/>
  </bookViews>
  <sheets>
    <sheet name="Setting" sheetId="55" r:id="rId1"/>
    <sheet name="DataValidation" sheetId="53" r:id="rId2"/>
    <sheet name="ContainerSchedule" sheetId="54" r:id="rId3"/>
    <sheet name="Gantt Chart Update" sheetId="9" r:id="rId4"/>
    <sheet name="27 Projections" sheetId="51" r:id="rId5"/>
    <sheet name="New summary" sheetId="10" r:id="rId6"/>
    <sheet name="Margins" sheetId="41" r:id="rId7"/>
    <sheet name="Cashflow" sheetId="35" r:id="rId8"/>
    <sheet name="For Schedule" sheetId="36" r:id="rId9"/>
    <sheet name="2026 Direct Labor Cost" sheetId="44" r:id="rId10"/>
    <sheet name="2026 Indirect Labor Cost " sheetId="48" r:id="rId11"/>
    <sheet name="2026 Expense" sheetId="46" r:id="rId12"/>
    <sheet name="2026 People Schedule" sheetId="11" r:id="rId13"/>
    <sheet name="2026 AS Office " sheetId="49" r:id="rId14"/>
    <sheet name="2026 Pairs Packed" sheetId="47" r:id="rId15"/>
    <sheet name="2026 Packed Jan" sheetId="40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4" hidden="1">'27 Projections'!$A$3:$A$122</definedName>
    <definedName name="_xlnm._FilterDatabase" localSheetId="8" hidden="1">'For Schedule'!$A$51:$F$209</definedName>
    <definedName name="_xlnm._FilterDatabase" localSheetId="3" hidden="1">'Gantt Chart Update'!$A$5:$BX$152</definedName>
    <definedName name="_xleta.SUM" hidden="1" xlm="1">#NAME?</definedName>
    <definedName name="year">Setting!$B$1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1" i="9" l="1"/>
  <c r="E150" i="9"/>
  <c r="E149" i="9"/>
  <c r="E148" i="9"/>
  <c r="E147" i="9"/>
  <c r="E146" i="9"/>
  <c r="E145" i="9"/>
  <c r="E144" i="9"/>
  <c r="E143" i="9"/>
  <c r="E142" i="9"/>
  <c r="E141" i="9"/>
  <c r="E140" i="9"/>
  <c r="E152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12" i="9"/>
  <c r="E126" i="9"/>
  <c r="E125" i="9"/>
  <c r="E124" i="9"/>
  <c r="E122" i="9"/>
  <c r="E123" i="9"/>
  <c r="E106" i="9"/>
  <c r="E121" i="9"/>
  <c r="E120" i="9"/>
  <c r="E119" i="9"/>
  <c r="E118" i="9"/>
  <c r="E117" i="9"/>
  <c r="E116" i="9"/>
  <c r="E115" i="9"/>
  <c r="E114" i="9"/>
  <c r="E113" i="9"/>
  <c r="E111" i="9"/>
  <c r="E110" i="9"/>
  <c r="E105" i="9"/>
  <c r="E109" i="9"/>
  <c r="E104" i="9"/>
  <c r="E103" i="9"/>
  <c r="E108" i="9"/>
  <c r="E102" i="9"/>
  <c r="E101" i="9"/>
  <c r="E93" i="9"/>
  <c r="E89" i="9"/>
  <c r="E82" i="9"/>
  <c r="E86" i="9"/>
  <c r="E85" i="9"/>
  <c r="E96" i="9"/>
  <c r="E95" i="9"/>
  <c r="E94" i="9"/>
  <c r="E92" i="9"/>
  <c r="E91" i="9"/>
  <c r="E88" i="9"/>
  <c r="E90" i="9"/>
  <c r="E107" i="9"/>
  <c r="E100" i="9"/>
  <c r="E81" i="9"/>
  <c r="E79" i="9"/>
  <c r="E72" i="9"/>
  <c r="E71" i="9"/>
  <c r="E70" i="9"/>
  <c r="E78" i="9"/>
  <c r="E77" i="9"/>
  <c r="E76" i="9"/>
  <c r="E75" i="9"/>
  <c r="E74" i="9"/>
  <c r="E73" i="9"/>
  <c r="E99" i="9"/>
  <c r="E98" i="9"/>
  <c r="E97" i="9"/>
  <c r="E84" i="9"/>
  <c r="E83" i="9"/>
  <c r="E87" i="9"/>
  <c r="E80" i="9"/>
  <c r="E69" i="9"/>
  <c r="E68" i="9"/>
  <c r="E67" i="9"/>
  <c r="E66" i="9"/>
  <c r="E61" i="9"/>
  <c r="E65" i="9"/>
  <c r="E64" i="9"/>
  <c r="E63" i="9"/>
  <c r="E60" i="9"/>
  <c r="E59" i="9"/>
  <c r="E62" i="9"/>
  <c r="E58" i="9"/>
  <c r="E57" i="9"/>
  <c r="E54" i="9"/>
  <c r="E53" i="9"/>
  <c r="E56" i="9"/>
  <c r="E55" i="9"/>
  <c r="E52" i="9"/>
  <c r="E46" i="9"/>
  <c r="E45" i="9"/>
  <c r="E44" i="9"/>
  <c r="E39" i="9"/>
  <c r="E38" i="9"/>
  <c r="E37" i="9"/>
  <c r="E36" i="9"/>
  <c r="E33" i="9"/>
  <c r="E35" i="9"/>
  <c r="E32" i="9"/>
  <c r="E28" i="9"/>
  <c r="E31" i="9"/>
  <c r="E30" i="9"/>
  <c r="E50" i="9"/>
  <c r="E51" i="9"/>
  <c r="E49" i="9"/>
  <c r="E48" i="9"/>
  <c r="E25" i="9"/>
  <c r="E24" i="9"/>
  <c r="E23" i="9"/>
  <c r="E22" i="9"/>
  <c r="E21" i="9"/>
  <c r="E29" i="9"/>
  <c r="E17" i="9"/>
  <c r="E20" i="9"/>
  <c r="E47" i="9"/>
  <c r="E34" i="9"/>
  <c r="E6" i="9"/>
  <c r="E27" i="9"/>
  <c r="E26" i="9"/>
  <c r="E19" i="9"/>
  <c r="E15" i="9"/>
  <c r="E7" i="9"/>
  <c r="E9" i="9"/>
  <c r="E14" i="9"/>
  <c r="E8" i="9"/>
  <c r="E11" i="9"/>
  <c r="E43" i="9"/>
  <c r="E42" i="9"/>
  <c r="E41" i="9"/>
  <c r="E40" i="9"/>
  <c r="E13" i="9"/>
  <c r="E16" i="9"/>
  <c r="E12" i="9"/>
  <c r="E10" i="9"/>
  <c r="E18" i="9"/>
  <c r="I47" i="41"/>
  <c r="H47" i="41"/>
  <c r="G47" i="41"/>
  <c r="F47" i="41"/>
  <c r="D3" i="41" l="1"/>
  <c r="BI18" i="10" l="1"/>
  <c r="BH18" i="10"/>
  <c r="BG18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AM18" i="10"/>
  <c r="AL18" i="10"/>
  <c r="AK18" i="10"/>
  <c r="AJ18" i="10"/>
  <c r="AI18" i="10"/>
  <c r="AH18" i="10"/>
  <c r="AG18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F22" i="9"/>
  <c r="F21" i="9"/>
  <c r="J50" i="9" a="1"/>
  <c r="J50" i="9" s="1"/>
  <c r="H50" i="9"/>
  <c r="I50" i="9" s="1"/>
  <c r="F25" i="9"/>
  <c r="F24" i="9"/>
  <c r="F23" i="9"/>
  <c r="J49" i="9" a="1"/>
  <c r="J49" i="9" s="1"/>
  <c r="H49" i="9"/>
  <c r="I49" i="9" s="1"/>
  <c r="J48" i="9" a="1"/>
  <c r="J48" i="9" s="1"/>
  <c r="H48" i="9"/>
  <c r="I48" i="9" s="1"/>
  <c r="J46" i="9" a="1"/>
  <c r="J46" i="9" s="1"/>
  <c r="H46" i="9"/>
  <c r="I46" i="9" s="1"/>
  <c r="F37" i="9"/>
  <c r="F36" i="9"/>
  <c r="F33" i="9"/>
  <c r="F35" i="9"/>
  <c r="F32" i="9"/>
  <c r="F28" i="9"/>
  <c r="F31" i="9"/>
  <c r="F30" i="9"/>
  <c r="M68" i="10"/>
  <c r="N68" i="10" s="1"/>
  <c r="O68" i="10" s="1"/>
  <c r="P68" i="10" s="1"/>
  <c r="Q68" i="10" s="1"/>
  <c r="R68" i="10" s="1"/>
  <c r="S68" i="10" s="1"/>
  <c r="T68" i="10" s="1"/>
  <c r="U68" i="10" s="1"/>
  <c r="V68" i="10" s="1"/>
  <c r="W68" i="10" s="1"/>
  <c r="V66" i="10"/>
  <c r="U66" i="10"/>
  <c r="N66" i="10"/>
  <c r="M66" i="10"/>
  <c r="W64" i="10"/>
  <c r="V64" i="10"/>
  <c r="U64" i="10"/>
  <c r="T64" i="10"/>
  <c r="T66" i="10" s="1"/>
  <c r="S64" i="10"/>
  <c r="R64" i="10"/>
  <c r="Q64" i="10"/>
  <c r="P64" i="10"/>
  <c r="O64" i="10"/>
  <c r="N64" i="10"/>
  <c r="M64" i="10"/>
  <c r="L64" i="10"/>
  <c r="X64" i="10" s="1"/>
  <c r="X63" i="10"/>
  <c r="X66" i="10" s="1"/>
  <c r="W63" i="10"/>
  <c r="W66" i="10" s="1"/>
  <c r="V63" i="10"/>
  <c r="U63" i="10"/>
  <c r="T63" i="10"/>
  <c r="S63" i="10"/>
  <c r="S66" i="10" s="1"/>
  <c r="R63" i="10"/>
  <c r="R66" i="10" s="1"/>
  <c r="Q63" i="10"/>
  <c r="Q66" i="10" s="1"/>
  <c r="P63" i="10"/>
  <c r="P66" i="10" s="1"/>
  <c r="O63" i="10"/>
  <c r="O66" i="10" s="1"/>
  <c r="N63" i="10"/>
  <c r="M63" i="10"/>
  <c r="L63" i="10"/>
  <c r="J107" i="9" a="1"/>
  <c r="J107" i="9" s="1"/>
  <c r="J100" i="9" a="1"/>
  <c r="J100" i="9" s="1"/>
  <c r="H107" i="9"/>
  <c r="I107" i="9" s="1"/>
  <c r="H100" i="9"/>
  <c r="I100" i="9" s="1"/>
  <c r="F107" i="9"/>
  <c r="F100" i="9"/>
  <c r="F81" i="9"/>
  <c r="H81" i="9"/>
  <c r="J151" i="9" a="1"/>
  <c r="J151" i="9" s="1"/>
  <c r="J150" i="9" a="1"/>
  <c r="J150" i="9" s="1"/>
  <c r="J149" i="9" a="1"/>
  <c r="J149" i="9" s="1"/>
  <c r="J148" i="9" a="1"/>
  <c r="J148" i="9" s="1"/>
  <c r="J147" i="9" a="1"/>
  <c r="J147" i="9" s="1"/>
  <c r="J146" i="9" a="1"/>
  <c r="J146" i="9" s="1"/>
  <c r="J145" i="9" a="1"/>
  <c r="J145" i="9" s="1"/>
  <c r="J144" i="9" a="1"/>
  <c r="J144" i="9" s="1"/>
  <c r="J143" i="9" a="1"/>
  <c r="J143" i="9" s="1"/>
  <c r="J142" i="9" a="1"/>
  <c r="J142" i="9" s="1"/>
  <c r="J141" i="9" a="1"/>
  <c r="J141" i="9" s="1"/>
  <c r="J140" i="9" a="1"/>
  <c r="J140" i="9" s="1"/>
  <c r="J152" i="9" a="1"/>
  <c r="J152" i="9" s="1"/>
  <c r="K152" i="9" s="1"/>
  <c r="J139" i="9" a="1"/>
  <c r="J139" i="9" s="1"/>
  <c r="J138" i="9" a="1"/>
  <c r="J138" i="9" s="1"/>
  <c r="J137" i="9" a="1"/>
  <c r="J137" i="9" s="1"/>
  <c r="J136" i="9" a="1"/>
  <c r="J136" i="9" s="1"/>
  <c r="J135" i="9" a="1"/>
  <c r="J135" i="9" s="1"/>
  <c r="J134" i="9" a="1"/>
  <c r="J134" i="9" s="1"/>
  <c r="J133" i="9" a="1"/>
  <c r="J133" i="9" s="1"/>
  <c r="J132" i="9" a="1"/>
  <c r="J132" i="9" s="1"/>
  <c r="J131" i="9" a="1"/>
  <c r="J131" i="9" s="1"/>
  <c r="J130" i="9" a="1"/>
  <c r="J130" i="9" s="1"/>
  <c r="J129" i="9" a="1"/>
  <c r="J129" i="9" s="1"/>
  <c r="J128" i="9" a="1"/>
  <c r="J128" i="9" s="1"/>
  <c r="J127" i="9" a="1"/>
  <c r="J127" i="9" s="1"/>
  <c r="J112" i="9" a="1"/>
  <c r="J112" i="9" s="1"/>
  <c r="J126" i="9" a="1"/>
  <c r="J126" i="9" s="1"/>
  <c r="J125" i="9" a="1"/>
  <c r="J125" i="9" s="1"/>
  <c r="J124" i="9" a="1"/>
  <c r="J124" i="9" s="1"/>
  <c r="J122" i="9" a="1"/>
  <c r="J122" i="9" s="1"/>
  <c r="J123" i="9" a="1"/>
  <c r="J123" i="9" s="1"/>
  <c r="J106" i="9" a="1"/>
  <c r="J106" i="9" s="1"/>
  <c r="J121" i="9" a="1"/>
  <c r="J121" i="9" s="1"/>
  <c r="J120" i="9" a="1"/>
  <c r="J120" i="9" s="1"/>
  <c r="J119" i="9" a="1"/>
  <c r="J119" i="9" s="1"/>
  <c r="J118" i="9" a="1"/>
  <c r="J118" i="9" s="1"/>
  <c r="J117" i="9" a="1"/>
  <c r="J117" i="9" s="1"/>
  <c r="J116" i="9" a="1"/>
  <c r="J116" i="9" s="1"/>
  <c r="J115" i="9" a="1"/>
  <c r="J115" i="9" s="1"/>
  <c r="J114" i="9" a="1"/>
  <c r="J114" i="9" s="1"/>
  <c r="J113" i="9" a="1"/>
  <c r="J113" i="9" s="1"/>
  <c r="J111" i="9" a="1"/>
  <c r="J111" i="9" s="1"/>
  <c r="J110" i="9" a="1"/>
  <c r="J110" i="9" s="1"/>
  <c r="J105" i="9" a="1"/>
  <c r="J105" i="9" s="1"/>
  <c r="J109" i="9" a="1"/>
  <c r="J109" i="9" s="1"/>
  <c r="J104" i="9" a="1"/>
  <c r="J104" i="9" s="1"/>
  <c r="J103" i="9" a="1"/>
  <c r="J103" i="9" s="1"/>
  <c r="J108" i="9" a="1"/>
  <c r="J108" i="9" s="1"/>
  <c r="J102" i="9" a="1"/>
  <c r="J102" i="9" s="1"/>
  <c r="J101" i="9" a="1"/>
  <c r="J101" i="9" s="1"/>
  <c r="J93" i="9" a="1"/>
  <c r="J93" i="9" s="1"/>
  <c r="J89" i="9" a="1"/>
  <c r="J89" i="9" s="1"/>
  <c r="J82" i="9" a="1"/>
  <c r="J82" i="9" s="1"/>
  <c r="J86" i="9" a="1"/>
  <c r="J86" i="9" s="1"/>
  <c r="J85" i="9" a="1"/>
  <c r="J85" i="9" s="1"/>
  <c r="J96" i="9" a="1"/>
  <c r="J96" i="9" s="1"/>
  <c r="J95" i="9" a="1"/>
  <c r="J95" i="9" s="1"/>
  <c r="J94" i="9" a="1"/>
  <c r="J94" i="9" s="1"/>
  <c r="J92" i="9" a="1"/>
  <c r="J92" i="9" s="1"/>
  <c r="J91" i="9" a="1"/>
  <c r="J91" i="9" s="1"/>
  <c r="J88" i="9" a="1"/>
  <c r="J88" i="9" s="1"/>
  <c r="J90" i="9" a="1"/>
  <c r="J90" i="9" s="1"/>
  <c r="J81" i="9" a="1"/>
  <c r="J81" i="9" s="1"/>
  <c r="J79" i="9" a="1"/>
  <c r="J79" i="9" s="1"/>
  <c r="J72" i="9" a="1"/>
  <c r="J72" i="9" s="1"/>
  <c r="J71" i="9" a="1"/>
  <c r="J71" i="9" s="1"/>
  <c r="J70" i="9" a="1"/>
  <c r="J70" i="9" s="1"/>
  <c r="J78" i="9" a="1"/>
  <c r="J78" i="9" s="1"/>
  <c r="J77" i="9" a="1"/>
  <c r="J77" i="9" s="1"/>
  <c r="J76" i="9" a="1"/>
  <c r="J76" i="9" s="1"/>
  <c r="J75" i="9" a="1"/>
  <c r="J75" i="9" s="1"/>
  <c r="J74" i="9" a="1"/>
  <c r="J74" i="9" s="1"/>
  <c r="J73" i="9" a="1"/>
  <c r="J73" i="9" s="1"/>
  <c r="J99" i="9" a="1"/>
  <c r="J99" i="9" s="1"/>
  <c r="J98" i="9" a="1"/>
  <c r="J98" i="9" s="1"/>
  <c r="J97" i="9" a="1"/>
  <c r="J97" i="9" s="1"/>
  <c r="J84" i="9" a="1"/>
  <c r="J84" i="9" s="1"/>
  <c r="J83" i="9" a="1"/>
  <c r="J83" i="9" s="1"/>
  <c r="J87" i="9" a="1"/>
  <c r="J87" i="9" s="1"/>
  <c r="J80" i="9" a="1"/>
  <c r="J80" i="9" s="1"/>
  <c r="J69" i="9" a="1"/>
  <c r="J69" i="9" s="1"/>
  <c r="J68" i="9" a="1"/>
  <c r="J68" i="9" s="1"/>
  <c r="J67" i="9" a="1"/>
  <c r="J67" i="9" s="1"/>
  <c r="J66" i="9" a="1"/>
  <c r="J66" i="9" s="1"/>
  <c r="J61" i="9" a="1"/>
  <c r="J61" i="9" s="1"/>
  <c r="J65" i="9" a="1"/>
  <c r="J65" i="9" s="1"/>
  <c r="J64" i="9" a="1"/>
  <c r="J64" i="9" s="1"/>
  <c r="J63" i="9" a="1"/>
  <c r="J63" i="9" s="1"/>
  <c r="J60" i="9" a="1"/>
  <c r="J60" i="9" s="1"/>
  <c r="J59" i="9" a="1"/>
  <c r="J59" i="9" s="1"/>
  <c r="J62" i="9" a="1"/>
  <c r="J62" i="9" s="1"/>
  <c r="J58" i="9" a="1"/>
  <c r="J58" i="9" s="1"/>
  <c r="J57" i="9" a="1"/>
  <c r="J57" i="9" s="1"/>
  <c r="J54" i="9" a="1"/>
  <c r="J54" i="9" s="1"/>
  <c r="J53" i="9" a="1"/>
  <c r="J53" i="9" s="1"/>
  <c r="J56" i="9" a="1"/>
  <c r="J56" i="9" s="1"/>
  <c r="J52" i="9" a="1"/>
  <c r="J52" i="9" s="1"/>
  <c r="J45" i="9" a="1"/>
  <c r="J45" i="9" s="1"/>
  <c r="J44" i="9" a="1"/>
  <c r="J44" i="9" s="1"/>
  <c r="J38" i="9" a="1"/>
  <c r="J38" i="9" s="1"/>
  <c r="J37" i="9" a="1"/>
  <c r="J37" i="9" s="1"/>
  <c r="J36" i="9" a="1"/>
  <c r="J36" i="9" s="1"/>
  <c r="J33" i="9" a="1"/>
  <c r="J33" i="9" s="1"/>
  <c r="J35" i="9" a="1"/>
  <c r="J35" i="9" s="1"/>
  <c r="J32" i="9" a="1"/>
  <c r="J32" i="9" s="1"/>
  <c r="J28" i="9" a="1"/>
  <c r="J28" i="9" s="1"/>
  <c r="J31" i="9" a="1"/>
  <c r="J31" i="9" s="1"/>
  <c r="J30" i="9" a="1"/>
  <c r="J30" i="9" s="1"/>
  <c r="J51" i="9" a="1"/>
  <c r="J51" i="9" s="1"/>
  <c r="J25" i="9" a="1"/>
  <c r="J25" i="9" s="1"/>
  <c r="J24" i="9" a="1"/>
  <c r="J24" i="9" s="1"/>
  <c r="J23" i="9" a="1"/>
  <c r="J23" i="9" s="1"/>
  <c r="J22" i="9" a="1"/>
  <c r="J22" i="9" s="1"/>
  <c r="J21" i="9" a="1"/>
  <c r="J21" i="9" s="1"/>
  <c r="J29" i="9" a="1"/>
  <c r="J29" i="9" s="1"/>
  <c r="J17" i="9" a="1"/>
  <c r="J17" i="9" s="1"/>
  <c r="J20" i="9" a="1"/>
  <c r="J20" i="9" s="1"/>
  <c r="J47" i="9" a="1"/>
  <c r="J47" i="9" s="1"/>
  <c r="J34" i="9" a="1"/>
  <c r="J34" i="9" s="1"/>
  <c r="J6" i="9" a="1"/>
  <c r="J6" i="9" s="1"/>
  <c r="J27" i="9" a="1"/>
  <c r="J27" i="9" s="1"/>
  <c r="J26" i="9" a="1"/>
  <c r="J26" i="9" s="1"/>
  <c r="J19" i="9" a="1"/>
  <c r="J19" i="9" s="1"/>
  <c r="J15" i="9" a="1"/>
  <c r="J15" i="9" s="1"/>
  <c r="J7" i="9" a="1"/>
  <c r="J7" i="9" s="1"/>
  <c r="J9" i="9" a="1"/>
  <c r="J9" i="9" s="1"/>
  <c r="J14" i="9" a="1"/>
  <c r="J14" i="9" s="1"/>
  <c r="J8" i="9" a="1"/>
  <c r="J8" i="9" s="1"/>
  <c r="J11" i="9" a="1"/>
  <c r="J11" i="9" s="1"/>
  <c r="J43" i="9" a="1"/>
  <c r="J43" i="9" s="1"/>
  <c r="J42" i="9" a="1"/>
  <c r="J42" i="9" s="1"/>
  <c r="J41" i="9" a="1"/>
  <c r="J41" i="9" s="1"/>
  <c r="J40" i="9" a="1"/>
  <c r="J40" i="9" s="1"/>
  <c r="J13" i="9" a="1"/>
  <c r="J13" i="9" s="1"/>
  <c r="J16" i="9" a="1"/>
  <c r="J16" i="9" s="1"/>
  <c r="J12" i="9" a="1"/>
  <c r="J12" i="9" s="1"/>
  <c r="J10" i="9" a="1"/>
  <c r="J10" i="9" s="1"/>
  <c r="J18" i="9" a="1"/>
  <c r="J18" i="9" s="1"/>
  <c r="F19" i="54"/>
  <c r="E19" i="54"/>
  <c r="D19" i="54"/>
  <c r="C19" i="54"/>
  <c r="B19" i="54"/>
  <c r="A19" i="54"/>
  <c r="F18" i="54"/>
  <c r="E18" i="54"/>
  <c r="D18" i="54"/>
  <c r="C18" i="54"/>
  <c r="B18" i="54"/>
  <c r="A18" i="54"/>
  <c r="F17" i="54"/>
  <c r="E17" i="54"/>
  <c r="D17" i="54"/>
  <c r="C17" i="54"/>
  <c r="B17" i="54"/>
  <c r="A17" i="54"/>
  <c r="F16" i="54"/>
  <c r="E16" i="54"/>
  <c r="D16" i="54"/>
  <c r="C16" i="54"/>
  <c r="B16" i="54"/>
  <c r="A16" i="54"/>
  <c r="F15" i="54"/>
  <c r="E15" i="54"/>
  <c r="D15" i="54"/>
  <c r="C15" i="54"/>
  <c r="B15" i="54"/>
  <c r="A15" i="54"/>
  <c r="F14" i="54"/>
  <c r="E14" i="54"/>
  <c r="D14" i="54"/>
  <c r="C14" i="54"/>
  <c r="B14" i="54"/>
  <c r="A14" i="54"/>
  <c r="F13" i="54"/>
  <c r="E13" i="54"/>
  <c r="D13" i="54"/>
  <c r="C13" i="54"/>
  <c r="B13" i="54"/>
  <c r="A13" i="54"/>
  <c r="F12" i="54"/>
  <c r="E12" i="54"/>
  <c r="D12" i="54"/>
  <c r="C12" i="54"/>
  <c r="B12" i="54"/>
  <c r="A12" i="54"/>
  <c r="F11" i="54"/>
  <c r="E11" i="54"/>
  <c r="D11" i="54"/>
  <c r="C11" i="54"/>
  <c r="B11" i="54"/>
  <c r="A11" i="54"/>
  <c r="F10" i="54"/>
  <c r="E10" i="54"/>
  <c r="D10" i="54"/>
  <c r="C10" i="54"/>
  <c r="B10" i="54"/>
  <c r="A10" i="54"/>
  <c r="F9" i="54"/>
  <c r="E9" i="54"/>
  <c r="D9" i="54"/>
  <c r="C9" i="54"/>
  <c r="B9" i="54"/>
  <c r="A9" i="54"/>
  <c r="F8" i="54"/>
  <c r="E8" i="54"/>
  <c r="D8" i="54"/>
  <c r="C8" i="54"/>
  <c r="B8" i="54"/>
  <c r="A8" i="54"/>
  <c r="F7" i="54"/>
  <c r="E7" i="54"/>
  <c r="D7" i="54"/>
  <c r="C7" i="54"/>
  <c r="B7" i="54"/>
  <c r="A7" i="54"/>
  <c r="F6" i="54"/>
  <c r="E6" i="54"/>
  <c r="D6" i="54"/>
  <c r="C6" i="54"/>
  <c r="B6" i="54"/>
  <c r="A6" i="54"/>
  <c r="F5" i="54"/>
  <c r="E5" i="54"/>
  <c r="D5" i="54"/>
  <c r="C5" i="54"/>
  <c r="B5" i="54"/>
  <c r="A5" i="54"/>
  <c r="F4" i="54"/>
  <c r="E4" i="54"/>
  <c r="D4" i="54"/>
  <c r="C4" i="54"/>
  <c r="B4" i="54"/>
  <c r="A4" i="54"/>
  <c r="F3" i="54"/>
  <c r="E3" i="54"/>
  <c r="D3" i="54"/>
  <c r="C3" i="54"/>
  <c r="B3" i="54"/>
  <c r="A3" i="54"/>
  <c r="F2" i="54"/>
  <c r="E2" i="54"/>
  <c r="D2" i="54"/>
  <c r="C2" i="54"/>
  <c r="B2" i="54"/>
  <c r="A2" i="54"/>
  <c r="L66" i="10" l="1"/>
  <c r="H34" i="41"/>
  <c r="G34" i="41"/>
  <c r="F34" i="41"/>
  <c r="E34" i="41"/>
  <c r="H32" i="41"/>
  <c r="N1" i="41"/>
  <c r="L1" i="41"/>
  <c r="J1" i="41"/>
  <c r="H1" i="41"/>
  <c r="C27" i="41"/>
  <c r="G27" i="41" s="1"/>
  <c r="P27" i="41" s="1"/>
  <c r="C26" i="41"/>
  <c r="G26" i="41" s="1"/>
  <c r="P26" i="41" s="1"/>
  <c r="C25" i="41"/>
  <c r="G25" i="41" s="1"/>
  <c r="P25" i="41" s="1"/>
  <c r="C24" i="41"/>
  <c r="C23" i="41"/>
  <c r="G23" i="41" s="1"/>
  <c r="P23" i="41" s="1"/>
  <c r="C22" i="41"/>
  <c r="G22" i="41" s="1"/>
  <c r="P22" i="41" s="1"/>
  <c r="C21" i="41"/>
  <c r="G21" i="41" s="1"/>
  <c r="P21" i="41" s="1"/>
  <c r="C20" i="41"/>
  <c r="C19" i="41"/>
  <c r="C18" i="41"/>
  <c r="C17" i="41"/>
  <c r="C16" i="41"/>
  <c r="C15" i="41"/>
  <c r="C14" i="41"/>
  <c r="C13" i="41"/>
  <c r="C12" i="41"/>
  <c r="C11" i="41"/>
  <c r="C10" i="41"/>
  <c r="C9" i="41"/>
  <c r="C8" i="41"/>
  <c r="C7" i="41"/>
  <c r="C6" i="41"/>
  <c r="C5" i="41"/>
  <c r="C4" i="41"/>
  <c r="G4" i="41" s="1"/>
  <c r="P4" i="41" s="1"/>
  <c r="C3" i="41"/>
  <c r="B20" i="41"/>
  <c r="B19" i="41"/>
  <c r="G19" i="41" s="1"/>
  <c r="P19" i="41" s="1"/>
  <c r="B18" i="41"/>
  <c r="B17" i="41"/>
  <c r="B16" i="41"/>
  <c r="B15" i="41"/>
  <c r="B14" i="41"/>
  <c r="G14" i="41" s="1"/>
  <c r="P14" i="41" s="1"/>
  <c r="B13" i="41"/>
  <c r="B12" i="41"/>
  <c r="B11" i="41"/>
  <c r="B10" i="41"/>
  <c r="B9" i="41"/>
  <c r="B8" i="41"/>
  <c r="B7" i="41"/>
  <c r="B6" i="41"/>
  <c r="B5" i="41"/>
  <c r="B4" i="41"/>
  <c r="B3" i="41"/>
  <c r="G3" i="41" l="1"/>
  <c r="P3" i="41" s="1"/>
  <c r="G12" i="41"/>
  <c r="P12" i="41" s="1"/>
  <c r="G20" i="41"/>
  <c r="P20" i="41" s="1"/>
  <c r="G10" i="41"/>
  <c r="P10" i="41" s="1"/>
  <c r="G18" i="41"/>
  <c r="P18" i="41" s="1"/>
  <c r="G15" i="41"/>
  <c r="P15" i="41" s="1"/>
  <c r="G13" i="41"/>
  <c r="P13" i="41" s="1"/>
  <c r="G6" i="41"/>
  <c r="P6" i="41" s="1"/>
  <c r="D35" i="41" a="1"/>
  <c r="D35" i="41" s="1"/>
  <c r="G11" i="41"/>
  <c r="P11" i="41" s="1"/>
  <c r="G17" i="41"/>
  <c r="P17" i="41" s="1"/>
  <c r="G5" i="41"/>
  <c r="P5" i="41" s="1"/>
  <c r="G9" i="41"/>
  <c r="P9" i="41" s="1"/>
  <c r="G7" i="41"/>
  <c r="P7" i="41" s="1"/>
  <c r="G8" i="41"/>
  <c r="P8" i="41" s="1"/>
  <c r="G16" i="41"/>
  <c r="P16" i="41" s="1"/>
  <c r="G24" i="41"/>
  <c r="P24" i="41" s="1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BI30" i="10"/>
  <c r="BH30" i="10"/>
  <c r="BG30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AM30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BI27" i="10"/>
  <c r="BH27" i="10"/>
  <c r="BG27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AN27" i="10"/>
  <c r="AM27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BI26" i="10"/>
  <c r="BH26" i="10"/>
  <c r="BG26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BI25" i="10"/>
  <c r="BH25" i="10"/>
  <c r="BG25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AM25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X25" i="10"/>
  <c r="W25" i="10"/>
  <c r="V25" i="10"/>
  <c r="U25" i="10"/>
  <c r="T25" i="10"/>
  <c r="S25" i="10"/>
  <c r="R25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BI24" i="10"/>
  <c r="BH24" i="10"/>
  <c r="BG24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AN24" i="10"/>
  <c r="AM24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BI23" i="10"/>
  <c r="BH23" i="10"/>
  <c r="BG23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AN23" i="10"/>
  <c r="AM23" i="10"/>
  <c r="AL23" i="10"/>
  <c r="AK23" i="10"/>
  <c r="AJ23" i="10"/>
  <c r="AI23" i="10"/>
  <c r="AH23" i="10"/>
  <c r="AG23" i="10"/>
  <c r="AF23" i="10"/>
  <c r="AE23" i="10"/>
  <c r="AD23" i="10"/>
  <c r="AC23" i="10"/>
  <c r="AB23" i="10"/>
  <c r="AA23" i="10"/>
  <c r="Z23" i="10"/>
  <c r="Y23" i="10"/>
  <c r="X23" i="10"/>
  <c r="W23" i="10"/>
  <c r="V23" i="10"/>
  <c r="U23" i="10"/>
  <c r="T23" i="10"/>
  <c r="S23" i="10"/>
  <c r="R23" i="10"/>
  <c r="Q23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BI22" i="10"/>
  <c r="BH22" i="10"/>
  <c r="BG22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AM22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W22" i="10"/>
  <c r="V22" i="10"/>
  <c r="U22" i="10"/>
  <c r="T22" i="10"/>
  <c r="S22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BI21" i="10"/>
  <c r="BH21" i="10"/>
  <c r="BG21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AM21" i="10"/>
  <c r="AL21" i="10"/>
  <c r="AK21" i="10"/>
  <c r="AJ21" i="10"/>
  <c r="AI21" i="10"/>
  <c r="AH21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BI17" i="10"/>
  <c r="BH17" i="10"/>
  <c r="BG17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AM17" i="10"/>
  <c r="AL17" i="10"/>
  <c r="AK17" i="10"/>
  <c r="AJ17" i="10"/>
  <c r="AI17" i="10"/>
  <c r="AH17" i="10"/>
  <c r="AG17" i="10"/>
  <c r="AF17" i="10"/>
  <c r="AE17" i="10"/>
  <c r="AD17" i="10"/>
  <c r="AC17" i="10"/>
  <c r="AB17" i="10"/>
  <c r="AA17" i="10"/>
  <c r="Z17" i="10"/>
  <c r="Y17" i="10"/>
  <c r="X17" i="10"/>
  <c r="W17" i="10"/>
  <c r="V17" i="10"/>
  <c r="U17" i="10"/>
  <c r="T17" i="10"/>
  <c r="S17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BI16" i="10"/>
  <c r="BH16" i="10"/>
  <c r="BG16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AM16" i="10"/>
  <c r="AL16" i="10"/>
  <c r="AK16" i="10"/>
  <c r="AJ16" i="10"/>
  <c r="AI16" i="10"/>
  <c r="AH16" i="10"/>
  <c r="AG16" i="10"/>
  <c r="AF16" i="10"/>
  <c r="AE16" i="10"/>
  <c r="AD16" i="10"/>
  <c r="AC16" i="10"/>
  <c r="AB16" i="10"/>
  <c r="AA16" i="10"/>
  <c r="Z16" i="10"/>
  <c r="Y16" i="10"/>
  <c r="X16" i="10"/>
  <c r="W16" i="10"/>
  <c r="V16" i="10"/>
  <c r="U16" i="10"/>
  <c r="T16" i="10"/>
  <c r="S16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BI15" i="10"/>
  <c r="BH15" i="10"/>
  <c r="BG15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BI14" i="10"/>
  <c r="BH14" i="10"/>
  <c r="BG14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AM14" i="10"/>
  <c r="AL14" i="10"/>
  <c r="AK14" i="10"/>
  <c r="AJ14" i="10"/>
  <c r="AI14" i="10"/>
  <c r="AH14" i="10"/>
  <c r="AG14" i="10"/>
  <c r="AF14" i="10"/>
  <c r="AE14" i="10"/>
  <c r="AD14" i="10"/>
  <c r="AC14" i="10"/>
  <c r="AB14" i="10"/>
  <c r="AA14" i="10"/>
  <c r="Z14" i="10"/>
  <c r="Y14" i="10"/>
  <c r="X14" i="10"/>
  <c r="W14" i="10"/>
  <c r="V14" i="10"/>
  <c r="U14" i="10"/>
  <c r="T14" i="10"/>
  <c r="S14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BI13" i="10"/>
  <c r="BH13" i="10"/>
  <c r="BG13" i="10"/>
  <c r="BF13" i="10"/>
  <c r="BE13" i="10"/>
  <c r="BD13" i="10"/>
  <c r="BC13" i="10"/>
  <c r="BB13" i="10"/>
  <c r="BA13" i="10"/>
  <c r="AZ13" i="10"/>
  <c r="AY13" i="10"/>
  <c r="AX13" i="10"/>
  <c r="AW13" i="10"/>
  <c r="AV13" i="10"/>
  <c r="AU13" i="10"/>
  <c r="AT13" i="10"/>
  <c r="AS13" i="10"/>
  <c r="AR13" i="10"/>
  <c r="AQ13" i="10"/>
  <c r="AP13" i="10"/>
  <c r="AO13" i="10"/>
  <c r="AN13" i="10"/>
  <c r="AM13" i="10"/>
  <c r="AL13" i="10"/>
  <c r="AK13" i="10"/>
  <c r="AJ13" i="10"/>
  <c r="AI13" i="10"/>
  <c r="AH13" i="10"/>
  <c r="AG13" i="10"/>
  <c r="AF13" i="10"/>
  <c r="AE13" i="10"/>
  <c r="AC13" i="10"/>
  <c r="AB13" i="10"/>
  <c r="AA13" i="10"/>
  <c r="Z13" i="10"/>
  <c r="Y13" i="10"/>
  <c r="X13" i="10"/>
  <c r="W13" i="10"/>
  <c r="V13" i="10"/>
  <c r="U13" i="10"/>
  <c r="T13" i="10"/>
  <c r="S13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BI12" i="10"/>
  <c r="BH12" i="10"/>
  <c r="BG12" i="10"/>
  <c r="BF12" i="10"/>
  <c r="BE12" i="10"/>
  <c r="BD12" i="10"/>
  <c r="BC12" i="10"/>
  <c r="BB12" i="10"/>
  <c r="BA12" i="10"/>
  <c r="AZ12" i="10"/>
  <c r="AY12" i="10"/>
  <c r="AX12" i="10"/>
  <c r="AW12" i="10"/>
  <c r="AV12" i="10"/>
  <c r="AU12" i="10"/>
  <c r="AT12" i="10"/>
  <c r="AS12" i="10"/>
  <c r="AR12" i="10"/>
  <c r="AQ12" i="10"/>
  <c r="AP12" i="10"/>
  <c r="AO12" i="10"/>
  <c r="AN12" i="10"/>
  <c r="AM12" i="10"/>
  <c r="AL12" i="10"/>
  <c r="AK12" i="10"/>
  <c r="AJ12" i="10"/>
  <c r="AI12" i="10"/>
  <c r="AH12" i="10"/>
  <c r="AG12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BI8" i="10"/>
  <c r="BH8" i="10"/>
  <c r="BG8" i="10"/>
  <c r="BF8" i="10"/>
  <c r="BE8" i="10"/>
  <c r="BD8" i="10"/>
  <c r="BC8" i="10"/>
  <c r="BB8" i="10"/>
  <c r="BA8" i="10"/>
  <c r="AZ8" i="10"/>
  <c r="AY8" i="10"/>
  <c r="AX8" i="10"/>
  <c r="AW8" i="10"/>
  <c r="AV8" i="10"/>
  <c r="AU8" i="10"/>
  <c r="AT8" i="10"/>
  <c r="AS8" i="10"/>
  <c r="AR8" i="10"/>
  <c r="AQ8" i="10"/>
  <c r="AP8" i="10"/>
  <c r="AO8" i="10"/>
  <c r="AN8" i="10"/>
  <c r="AM8" i="10"/>
  <c r="AL8" i="10"/>
  <c r="AK8" i="10"/>
  <c r="AJ8" i="10"/>
  <c r="AI8" i="10"/>
  <c r="AH8" i="10"/>
  <c r="AG8" i="10"/>
  <c r="AF8" i="10"/>
  <c r="AE8" i="10"/>
  <c r="AD8" i="10"/>
  <c r="AC8" i="10"/>
  <c r="AB8" i="10"/>
  <c r="AA8" i="10"/>
  <c r="Z8" i="10"/>
  <c r="Y8" i="10"/>
  <c r="X8" i="10"/>
  <c r="W8" i="10"/>
  <c r="V8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BI7" i="10"/>
  <c r="BH7" i="10"/>
  <c r="BG7" i="10"/>
  <c r="BF7" i="10"/>
  <c r="BE7" i="10"/>
  <c r="BD7" i="10"/>
  <c r="BC7" i="10"/>
  <c r="BB7" i="10"/>
  <c r="BA7" i="10"/>
  <c r="AZ7" i="10"/>
  <c r="AY7" i="10"/>
  <c r="AX7" i="10"/>
  <c r="AW7" i="10"/>
  <c r="AV7" i="10"/>
  <c r="AU7" i="10"/>
  <c r="AT7" i="10"/>
  <c r="AS7" i="10"/>
  <c r="AR7" i="10"/>
  <c r="AQ7" i="10"/>
  <c r="AP7" i="10"/>
  <c r="AO7" i="10"/>
  <c r="AN7" i="10"/>
  <c r="AM7" i="10"/>
  <c r="AL7" i="10"/>
  <c r="AK7" i="10"/>
  <c r="AJ7" i="10"/>
  <c r="AI7" i="10"/>
  <c r="AH7" i="10"/>
  <c r="AG7" i="10"/>
  <c r="AF7" i="10"/>
  <c r="AE7" i="10"/>
  <c r="AD7" i="10"/>
  <c r="AC7" i="10"/>
  <c r="AB7" i="10"/>
  <c r="AA7" i="10"/>
  <c r="Z7" i="10"/>
  <c r="Y7" i="10"/>
  <c r="X7" i="10"/>
  <c r="W7" i="10"/>
  <c r="V7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BI6" i="10"/>
  <c r="BH6" i="10"/>
  <c r="BG6" i="10"/>
  <c r="BF6" i="10"/>
  <c r="BE6" i="10"/>
  <c r="BD6" i="10"/>
  <c r="BC6" i="10"/>
  <c r="BB6" i="10"/>
  <c r="BA6" i="10"/>
  <c r="AZ6" i="10"/>
  <c r="AY6" i="10"/>
  <c r="AX6" i="10"/>
  <c r="AW6" i="10"/>
  <c r="AV6" i="10"/>
  <c r="AU6" i="10"/>
  <c r="AT6" i="10"/>
  <c r="AS6" i="10"/>
  <c r="AR6" i="10"/>
  <c r="AQ6" i="10"/>
  <c r="AP6" i="10"/>
  <c r="AO6" i="10"/>
  <c r="AN6" i="10"/>
  <c r="AM6" i="10"/>
  <c r="AL6" i="10"/>
  <c r="AK6" i="10"/>
  <c r="AJ6" i="10"/>
  <c r="AI6" i="10"/>
  <c r="AH6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H4" i="53" a="1"/>
  <c r="L19" i="41" l="1"/>
  <c r="H21" i="41"/>
  <c r="J24" i="41"/>
  <c r="K24" i="41" s="1"/>
  <c r="L25" i="41"/>
  <c r="M25" i="41" s="1"/>
  <c r="J16" i="41"/>
  <c r="N22" i="41"/>
  <c r="L4" i="41"/>
  <c r="H6" i="41"/>
  <c r="J11" i="41"/>
  <c r="L14" i="41"/>
  <c r="J12" i="41"/>
  <c r="L16" i="41"/>
  <c r="N25" i="41"/>
  <c r="O25" i="41" s="1"/>
  <c r="N8" i="41"/>
  <c r="L26" i="41"/>
  <c r="M26" i="41" s="1"/>
  <c r="L10" i="41"/>
  <c r="H12" i="41"/>
  <c r="H4" i="41"/>
  <c r="N5" i="41"/>
  <c r="J8" i="41"/>
  <c r="L12" i="41"/>
  <c r="H14" i="41"/>
  <c r="N16" i="41"/>
  <c r="J18" i="41"/>
  <c r="L21" i="41"/>
  <c r="N24" i="41"/>
  <c r="O24" i="41" s="1"/>
  <c r="J27" i="41"/>
  <c r="K27" i="41" s="1"/>
  <c r="H8" i="41"/>
  <c r="L7" i="41"/>
  <c r="J5" i="41"/>
  <c r="H5" i="41"/>
  <c r="N6" i="41"/>
  <c r="N7" i="41"/>
  <c r="J9" i="41"/>
  <c r="L13" i="41"/>
  <c r="H16" i="41"/>
  <c r="N17" i="41"/>
  <c r="O17" i="41" s="1"/>
  <c r="J19" i="41"/>
  <c r="L22" i="41"/>
  <c r="N26" i="41"/>
  <c r="O26" i="41" s="1"/>
  <c r="J25" i="41"/>
  <c r="K25" i="41" s="1"/>
  <c r="H17" i="41"/>
  <c r="I17" i="41" s="1"/>
  <c r="N18" i="41"/>
  <c r="J20" i="41"/>
  <c r="L23" i="41"/>
  <c r="H26" i="41"/>
  <c r="I26" i="41" s="1"/>
  <c r="N27" i="41"/>
  <c r="O27" i="41" s="1"/>
  <c r="N10" i="41"/>
  <c r="H18" i="41"/>
  <c r="N19" i="41"/>
  <c r="J21" i="41"/>
  <c r="L24" i="41"/>
  <c r="M24" i="41" s="1"/>
  <c r="H27" i="41"/>
  <c r="I27" i="41" s="1"/>
  <c r="L17" i="41"/>
  <c r="M17" i="41" s="1"/>
  <c r="H19" i="41"/>
  <c r="N20" i="41"/>
  <c r="J22" i="41"/>
  <c r="H25" i="41"/>
  <c r="I25" i="41" s="1"/>
  <c r="N9" i="41"/>
  <c r="H9" i="41"/>
  <c r="N11" i="41"/>
  <c r="J13" i="41"/>
  <c r="J4" i="41"/>
  <c r="L8" i="41"/>
  <c r="H10" i="41"/>
  <c r="H11" i="41"/>
  <c r="N12" i="41"/>
  <c r="J14" i="41"/>
  <c r="L18" i="41"/>
  <c r="H20" i="41"/>
  <c r="N21" i="41"/>
  <c r="J23" i="41"/>
  <c r="L27" i="41"/>
  <c r="M27" i="41" s="1"/>
  <c r="L5" i="41"/>
  <c r="H7" i="41"/>
  <c r="L6" i="41"/>
  <c r="L9" i="41"/>
  <c r="N13" i="41"/>
  <c r="N4" i="41"/>
  <c r="J6" i="41"/>
  <c r="L11" i="41"/>
  <c r="H13" i="41"/>
  <c r="N14" i="41"/>
  <c r="J17" i="41"/>
  <c r="K17" i="41" s="1"/>
  <c r="L20" i="41"/>
  <c r="H22" i="41"/>
  <c r="N23" i="41"/>
  <c r="J26" i="41"/>
  <c r="K26" i="41" s="1"/>
  <c r="H24" i="41"/>
  <c r="I24" i="41" s="1"/>
  <c r="H23" i="41"/>
  <c r="D28" i="10"/>
  <c r="D27" i="10"/>
  <c r="D29" i="10"/>
  <c r="D19" i="10"/>
  <c r="H4" i="53"/>
  <c r="H5" i="53" s="1" a="1"/>
  <c r="H5" i="53" s="1"/>
  <c r="O5" i="53" a="1"/>
  <c r="O5" i="53" s="1"/>
  <c r="K5" i="53" a="1"/>
  <c r="K5" i="53" s="1"/>
  <c r="L5" i="53" a="1"/>
  <c r="L5" i="53" s="1"/>
  <c r="I5" i="53" a="1"/>
  <c r="I5" i="53" s="1"/>
  <c r="J5" i="53" a="1"/>
  <c r="J5" i="53" s="1"/>
  <c r="M5" i="53" a="1"/>
  <c r="M5" i="53" s="1"/>
  <c r="N5" i="53" a="1"/>
  <c r="N5" i="53" s="1"/>
  <c r="B3" i="55" l="1"/>
  <c r="B2" i="55"/>
  <c r="P5" i="9" s="1"/>
  <c r="O5" i="9" s="1"/>
  <c r="N5" i="9" s="1"/>
  <c r="M5" i="9" s="1"/>
  <c r="L5" i="9" s="1"/>
  <c r="K6" i="9" s="1"/>
  <c r="K9" i="9" l="1"/>
  <c r="K8" i="9"/>
  <c r="J15" i="41"/>
  <c r="N15" i="41"/>
  <c r="H15" i="41"/>
  <c r="L15" i="41"/>
  <c r="F29" i="9"/>
  <c r="F17" i="9"/>
  <c r="F47" i="9"/>
  <c r="Q5" i="9" l="1"/>
  <c r="K7" i="9"/>
  <c r="H29" i="9"/>
  <c r="I29" i="9" s="1"/>
  <c r="H17" i="9"/>
  <c r="I17" i="9" s="1"/>
  <c r="H20" i="9"/>
  <c r="I20" i="9" s="1"/>
  <c r="H47" i="9"/>
  <c r="I47" i="9" s="1"/>
  <c r="R5" i="9" l="1"/>
  <c r="K10" i="9"/>
  <c r="K11" i="9"/>
  <c r="H80" i="9"/>
  <c r="I80" i="9" s="1"/>
  <c r="F69" i="9"/>
  <c r="F80" i="9"/>
  <c r="F99" i="9"/>
  <c r="F98" i="9"/>
  <c r="F97" i="9"/>
  <c r="H99" i="9"/>
  <c r="I99" i="9" s="1"/>
  <c r="H98" i="9"/>
  <c r="I98" i="9" s="1"/>
  <c r="H97" i="9"/>
  <c r="I97" i="9" s="1"/>
  <c r="E3" i="10"/>
  <c r="S5" i="9" l="1"/>
  <c r="T5" i="9" s="1"/>
  <c r="U5" i="9" s="1"/>
  <c r="N3" i="10" s="1"/>
  <c r="K14" i="9"/>
  <c r="K15" i="9"/>
  <c r="K12" i="9"/>
  <c r="K13" i="9"/>
  <c r="H3" i="10"/>
  <c r="G3" i="10"/>
  <c r="I3" i="10"/>
  <c r="F3" i="10"/>
  <c r="J3" i="10"/>
  <c r="K3" i="10"/>
  <c r="M3" i="10" l="1"/>
  <c r="L3" i="10"/>
  <c r="V5" i="9"/>
  <c r="K16" i="9"/>
  <c r="F128" i="9"/>
  <c r="H84" i="9"/>
  <c r="I84" i="9" s="1"/>
  <c r="AK55" i="9"/>
  <c r="AD13" i="10" l="1"/>
  <c r="J10" i="41" s="1"/>
  <c r="J55" i="9" a="1"/>
  <c r="J55" i="9" s="1"/>
  <c r="W5" i="9"/>
  <c r="K17" i="9"/>
  <c r="O3" i="10"/>
  <c r="F93" i="9"/>
  <c r="H69" i="9"/>
  <c r="I69" i="9" s="1"/>
  <c r="H121" i="9"/>
  <c r="I121" i="9" s="1"/>
  <c r="H93" i="9"/>
  <c r="I93" i="9" s="1"/>
  <c r="H89" i="9"/>
  <c r="I89" i="9" s="1"/>
  <c r="X5" i="9" l="1"/>
  <c r="K18" i="9"/>
  <c r="K19" i="9"/>
  <c r="P3" i="10"/>
  <c r="F147" i="9"/>
  <c r="F136" i="9"/>
  <c r="F127" i="9"/>
  <c r="F112" i="9"/>
  <c r="F105" i="9"/>
  <c r="F89" i="9"/>
  <c r="F82" i="9"/>
  <c r="F96" i="9"/>
  <c r="F95" i="9"/>
  <c r="F94" i="9"/>
  <c r="F92" i="9"/>
  <c r="F91" i="9"/>
  <c r="F88" i="9"/>
  <c r="F90" i="9"/>
  <c r="F79" i="9"/>
  <c r="F84" i="9"/>
  <c r="F72" i="9"/>
  <c r="F71" i="9"/>
  <c r="F70" i="9"/>
  <c r="F78" i="9"/>
  <c r="F77" i="9"/>
  <c r="F76" i="9"/>
  <c r="F75" i="9"/>
  <c r="F74" i="9"/>
  <c r="F83" i="9"/>
  <c r="F87" i="9"/>
  <c r="F68" i="9"/>
  <c r="F67" i="9"/>
  <c r="F66" i="9"/>
  <c r="F65" i="9"/>
  <c r="F64" i="9"/>
  <c r="F63" i="9"/>
  <c r="F60" i="9"/>
  <c r="F59" i="9"/>
  <c r="F62" i="9"/>
  <c r="F58" i="9"/>
  <c r="F57" i="9"/>
  <c r="F56" i="9"/>
  <c r="F55" i="9"/>
  <c r="F52" i="9"/>
  <c r="H68" i="9"/>
  <c r="I68" i="9" s="1"/>
  <c r="H67" i="9"/>
  <c r="I67" i="9" s="1"/>
  <c r="H66" i="9"/>
  <c r="I66" i="9" s="1"/>
  <c r="F61" i="9"/>
  <c r="H61" i="9"/>
  <c r="I61" i="9" s="1"/>
  <c r="H123" i="9"/>
  <c r="I123" i="9" s="1"/>
  <c r="F106" i="9"/>
  <c r="F125" i="9"/>
  <c r="F124" i="9"/>
  <c r="H125" i="9"/>
  <c r="I125" i="9" s="1"/>
  <c r="F86" i="9"/>
  <c r="F85" i="9"/>
  <c r="H86" i="9"/>
  <c r="I86" i="9" s="1"/>
  <c r="H85" i="9"/>
  <c r="H87" i="9"/>
  <c r="Y5" i="9" l="1"/>
  <c r="K20" i="9"/>
  <c r="Q3" i="10"/>
  <c r="I5" i="49"/>
  <c r="I4" i="49"/>
  <c r="Z5" i="9" l="1"/>
  <c r="K21" i="9"/>
  <c r="R3" i="10"/>
  <c r="H5" i="49"/>
  <c r="H4" i="49"/>
  <c r="G5" i="49"/>
  <c r="G4" i="49"/>
  <c r="H122" i="9"/>
  <c r="I122" i="9" s="1"/>
  <c r="AA5" i="9" l="1"/>
  <c r="K22" i="9"/>
  <c r="K23" i="9"/>
  <c r="K25" i="9"/>
  <c r="K24" i="9"/>
  <c r="S3" i="10"/>
  <c r="B159" i="51"/>
  <c r="B158" i="51"/>
  <c r="B157" i="51"/>
  <c r="C153" i="51"/>
  <c r="D153" i="51" s="1"/>
  <c r="D152" i="51"/>
  <c r="C152" i="51"/>
  <c r="D151" i="51"/>
  <c r="C151" i="51"/>
  <c r="C150" i="51"/>
  <c r="D150" i="51" s="1"/>
  <c r="C149" i="51"/>
  <c r="D149" i="51" s="1"/>
  <c r="D148" i="51"/>
  <c r="C148" i="51"/>
  <c r="D147" i="51"/>
  <c r="C147" i="51"/>
  <c r="C146" i="51"/>
  <c r="D146" i="51" s="1"/>
  <c r="C145" i="51"/>
  <c r="D145" i="51" s="1"/>
  <c r="D154" i="51" s="1"/>
  <c r="B143" i="51"/>
  <c r="B142" i="51"/>
  <c r="B141" i="51"/>
  <c r="B140" i="51"/>
  <c r="B139" i="51"/>
  <c r="B138" i="51"/>
  <c r="B137" i="51"/>
  <c r="B136" i="51"/>
  <c r="B135" i="51"/>
  <c r="B134" i="51"/>
  <c r="C128" i="51"/>
  <c r="C123" i="51"/>
  <c r="F122" i="51"/>
  <c r="F121" i="51"/>
  <c r="BE120" i="51"/>
  <c r="BD120" i="51"/>
  <c r="BC120" i="51"/>
  <c r="BB120" i="51"/>
  <c r="BA120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I120" i="51"/>
  <c r="AH120" i="51"/>
  <c r="AG120" i="51"/>
  <c r="AF120" i="51"/>
  <c r="AE120" i="51"/>
  <c r="AD120" i="51"/>
  <c r="AC120" i="51"/>
  <c r="AB120" i="51"/>
  <c r="AA120" i="51"/>
  <c r="Z120" i="51"/>
  <c r="Y120" i="51"/>
  <c r="X120" i="51"/>
  <c r="W120" i="51"/>
  <c r="V120" i="51"/>
  <c r="U120" i="51"/>
  <c r="T120" i="51"/>
  <c r="S120" i="51"/>
  <c r="R120" i="51"/>
  <c r="Q120" i="51"/>
  <c r="P120" i="51"/>
  <c r="O120" i="51"/>
  <c r="N120" i="51"/>
  <c r="M120" i="51"/>
  <c r="L120" i="51"/>
  <c r="K120" i="51"/>
  <c r="J120" i="51"/>
  <c r="I120" i="51"/>
  <c r="H120" i="51"/>
  <c r="G120" i="51"/>
  <c r="F120" i="51"/>
  <c r="B119" i="51"/>
  <c r="D119" i="51" s="1"/>
  <c r="D117" i="51"/>
  <c r="D116" i="51"/>
  <c r="D115" i="51"/>
  <c r="D114" i="51"/>
  <c r="D113" i="51"/>
  <c r="D112" i="51"/>
  <c r="D111" i="51"/>
  <c r="D110" i="51"/>
  <c r="D109" i="51"/>
  <c r="D108" i="51"/>
  <c r="D107" i="51"/>
  <c r="D106" i="51"/>
  <c r="D105" i="51"/>
  <c r="D104" i="51"/>
  <c r="D103" i="51"/>
  <c r="D102" i="51"/>
  <c r="D101" i="51"/>
  <c r="D100" i="51"/>
  <c r="D99" i="51"/>
  <c r="D98" i="51"/>
  <c r="D97" i="51"/>
  <c r="D96" i="51"/>
  <c r="D95" i="51"/>
  <c r="D94" i="51"/>
  <c r="D93" i="51"/>
  <c r="D92" i="51"/>
  <c r="D91" i="51"/>
  <c r="D90" i="51"/>
  <c r="D89" i="51"/>
  <c r="D88" i="51"/>
  <c r="D87" i="51"/>
  <c r="D86" i="51"/>
  <c r="D85" i="51"/>
  <c r="D84" i="51"/>
  <c r="D83" i="51"/>
  <c r="D82" i="51"/>
  <c r="D81" i="51"/>
  <c r="D80" i="51"/>
  <c r="D79" i="51"/>
  <c r="D78" i="51"/>
  <c r="D77" i="51"/>
  <c r="D76" i="51"/>
  <c r="D75" i="51"/>
  <c r="D74" i="51"/>
  <c r="D73" i="51"/>
  <c r="D72" i="51"/>
  <c r="D71" i="51"/>
  <c r="D70" i="51"/>
  <c r="D69" i="51"/>
  <c r="D68" i="51"/>
  <c r="D67" i="51"/>
  <c r="D66" i="51"/>
  <c r="D65" i="51"/>
  <c r="D64" i="51"/>
  <c r="D63" i="51"/>
  <c r="D62" i="51"/>
  <c r="D61" i="51"/>
  <c r="D60" i="51"/>
  <c r="D59" i="51"/>
  <c r="D58" i="51"/>
  <c r="D57" i="51"/>
  <c r="D56" i="51"/>
  <c r="D55" i="51"/>
  <c r="D54" i="51"/>
  <c r="D53" i="51"/>
  <c r="D52" i="51"/>
  <c r="D51" i="51"/>
  <c r="D50" i="51"/>
  <c r="D49" i="51"/>
  <c r="D48" i="51"/>
  <c r="D47" i="51"/>
  <c r="D46" i="51"/>
  <c r="D45" i="51"/>
  <c r="D44" i="51"/>
  <c r="D43" i="51"/>
  <c r="D42" i="51"/>
  <c r="D41" i="51"/>
  <c r="D40" i="51"/>
  <c r="D39" i="51"/>
  <c r="D38" i="51"/>
  <c r="D37" i="51"/>
  <c r="D36" i="51"/>
  <c r="D35" i="51"/>
  <c r="D34" i="51"/>
  <c r="D33" i="51"/>
  <c r="D32" i="51"/>
  <c r="D31" i="51"/>
  <c r="D30" i="51"/>
  <c r="D29" i="51"/>
  <c r="D28" i="51"/>
  <c r="D27" i="51"/>
  <c r="D26" i="51"/>
  <c r="D25" i="51"/>
  <c r="D24" i="51"/>
  <c r="D23" i="51"/>
  <c r="D22" i="51"/>
  <c r="D21" i="51"/>
  <c r="D20" i="51"/>
  <c r="D19" i="51"/>
  <c r="D17" i="51"/>
  <c r="D16" i="51"/>
  <c r="D15" i="51"/>
  <c r="D14" i="51"/>
  <c r="D13" i="51"/>
  <c r="D12" i="51"/>
  <c r="D11" i="51"/>
  <c r="D10" i="51"/>
  <c r="D9" i="51"/>
  <c r="E8" i="51" a="1"/>
  <c r="E8" i="51" s="1"/>
  <c r="C8" i="51"/>
  <c r="D8" i="51" s="1"/>
  <c r="E7" i="51" a="1"/>
  <c r="E7" i="51" s="1"/>
  <c r="C7" i="51"/>
  <c r="D7" i="51" s="1"/>
  <c r="E6" i="51" a="1"/>
  <c r="E6" i="51" s="1"/>
  <c r="C6" i="51"/>
  <c r="D6" i="51" s="1"/>
  <c r="E5" i="51" a="1"/>
  <c r="E5" i="51" s="1"/>
  <c r="C5" i="51"/>
  <c r="D5" i="51" s="1"/>
  <c r="E4" i="51" a="1"/>
  <c r="E4" i="51" s="1"/>
  <c r="C4" i="51"/>
  <c r="D4" i="51" s="1"/>
  <c r="G3" i="51"/>
  <c r="H3" i="51" s="1"/>
  <c r="I3" i="51" s="1"/>
  <c r="J3" i="51" s="1"/>
  <c r="K3" i="51" s="1"/>
  <c r="L3" i="51" s="1"/>
  <c r="M3" i="51" s="1"/>
  <c r="N3" i="51" s="1"/>
  <c r="O3" i="51" s="1"/>
  <c r="P3" i="51" s="1"/>
  <c r="Q3" i="51" s="1"/>
  <c r="R3" i="51" s="1"/>
  <c r="S3" i="51" s="1"/>
  <c r="T3" i="51" s="1"/>
  <c r="U3" i="51" s="1"/>
  <c r="V3" i="51" s="1"/>
  <c r="W3" i="51" s="1"/>
  <c r="X3" i="51" s="1"/>
  <c r="Y3" i="51" s="1"/>
  <c r="Z3" i="51" s="1"/>
  <c r="AA3" i="51" s="1"/>
  <c r="AB3" i="51" s="1"/>
  <c r="AC3" i="51" s="1"/>
  <c r="AD3" i="51" s="1"/>
  <c r="AE3" i="51" s="1"/>
  <c r="AF3" i="51" s="1"/>
  <c r="AG3" i="51" s="1"/>
  <c r="AH3" i="51" s="1"/>
  <c r="AI3" i="51" s="1"/>
  <c r="AJ3" i="51" s="1"/>
  <c r="AK3" i="51" s="1"/>
  <c r="AL3" i="51" s="1"/>
  <c r="AM3" i="51" s="1"/>
  <c r="AN3" i="51" s="1"/>
  <c r="AO3" i="51" s="1"/>
  <c r="AP3" i="51" s="1"/>
  <c r="AQ3" i="51" s="1"/>
  <c r="AR3" i="51" s="1"/>
  <c r="AS3" i="51" s="1"/>
  <c r="AT3" i="51" s="1"/>
  <c r="AU3" i="51" s="1"/>
  <c r="AV3" i="51" s="1"/>
  <c r="AW3" i="51" s="1"/>
  <c r="AX3" i="51" s="1"/>
  <c r="AY3" i="51" s="1"/>
  <c r="AZ3" i="51" s="1"/>
  <c r="BA3" i="51" s="1"/>
  <c r="BB3" i="51" s="1"/>
  <c r="BC3" i="51" s="1"/>
  <c r="BD3" i="51" s="1"/>
  <c r="BE3" i="51" s="1"/>
  <c r="G2" i="51"/>
  <c r="F2" i="51"/>
  <c r="G1" i="51"/>
  <c r="G121" i="51" s="1"/>
  <c r="AB5" i="9" l="1"/>
  <c r="K27" i="9"/>
  <c r="K28" i="9"/>
  <c r="K26" i="9"/>
  <c r="T3" i="10"/>
  <c r="G122" i="51"/>
  <c r="C120" i="51"/>
  <c r="D157" i="51" s="1"/>
  <c r="H1" i="51"/>
  <c r="C154" i="51"/>
  <c r="AC5" i="9" l="1"/>
  <c r="K33" i="9"/>
  <c r="K31" i="9"/>
  <c r="K29" i="9"/>
  <c r="K30" i="9"/>
  <c r="K32" i="9"/>
  <c r="U3" i="10"/>
  <c r="D159" i="51"/>
  <c r="D158" i="51"/>
  <c r="I1" i="51"/>
  <c r="H121" i="51"/>
  <c r="D156" i="51"/>
  <c r="D161" i="51" s="1"/>
  <c r="D163" i="51" s="1"/>
  <c r="AD5" i="9" l="1"/>
  <c r="K34" i="9"/>
  <c r="V3" i="10"/>
  <c r="H2" i="51"/>
  <c r="H122" i="51"/>
  <c r="J1" i="51"/>
  <c r="I121" i="51"/>
  <c r="AE5" i="9" l="1"/>
  <c r="K35" i="9"/>
  <c r="W3" i="10"/>
  <c r="I2" i="51"/>
  <c r="I122" i="51"/>
  <c r="J121" i="51"/>
  <c r="K1" i="51"/>
  <c r="AF5" i="9" l="1"/>
  <c r="K37" i="9"/>
  <c r="K38" i="9"/>
  <c r="K36" i="9"/>
  <c r="X3" i="10"/>
  <c r="K121" i="51"/>
  <c r="L1" i="51"/>
  <c r="J2" i="51"/>
  <c r="J122" i="51"/>
  <c r="AG5" i="9" l="1"/>
  <c r="K46" i="9" s="1"/>
  <c r="K44" i="9"/>
  <c r="K41" i="9"/>
  <c r="K43" i="9"/>
  <c r="K42" i="9"/>
  <c r="K40" i="9"/>
  <c r="Y3" i="10"/>
  <c r="L121" i="51"/>
  <c r="M1" i="51"/>
  <c r="K2" i="51"/>
  <c r="K122" i="51"/>
  <c r="AH5" i="9" l="1"/>
  <c r="K48" i="9" s="1"/>
  <c r="K45" i="9"/>
  <c r="Z3" i="10"/>
  <c r="M121" i="51"/>
  <c r="N1" i="51"/>
  <c r="L2" i="51"/>
  <c r="L122" i="51"/>
  <c r="AI5" i="9" l="1"/>
  <c r="K47" i="9"/>
  <c r="AA3" i="10"/>
  <c r="N121" i="51"/>
  <c r="O1" i="51"/>
  <c r="M2" i="51"/>
  <c r="M122" i="51"/>
  <c r="K49" i="9" l="1"/>
  <c r="K50" i="9"/>
  <c r="AJ5" i="9"/>
  <c r="K51" i="9" s="1"/>
  <c r="AB3" i="10"/>
  <c r="O121" i="51"/>
  <c r="P1" i="51"/>
  <c r="N2" i="51"/>
  <c r="N122" i="51"/>
  <c r="AK5" i="9" l="1"/>
  <c r="K52" i="9"/>
  <c r="K53" i="9"/>
  <c r="K54" i="9"/>
  <c r="AC3" i="10"/>
  <c r="Q1" i="51"/>
  <c r="P121" i="51"/>
  <c r="O2" i="51"/>
  <c r="O122" i="51"/>
  <c r="AL5" i="9" l="1"/>
  <c r="K56" i="9"/>
  <c r="AD3" i="10"/>
  <c r="K55" i="9"/>
  <c r="P2" i="51"/>
  <c r="P122" i="51"/>
  <c r="R1" i="51"/>
  <c r="Q121" i="51"/>
  <c r="AM5" i="9" l="1"/>
  <c r="K57" i="9"/>
  <c r="AE3" i="10"/>
  <c r="R121" i="51"/>
  <c r="S1" i="51"/>
  <c r="Q2" i="51"/>
  <c r="Q122" i="51"/>
  <c r="AN5" i="9" l="1"/>
  <c r="K61" i="9"/>
  <c r="K58" i="9"/>
  <c r="K60" i="9"/>
  <c r="K59" i="9"/>
  <c r="AF3" i="10"/>
  <c r="S121" i="51"/>
  <c r="T1" i="51"/>
  <c r="R2" i="51"/>
  <c r="R122" i="51"/>
  <c r="AO5" i="9" l="1"/>
  <c r="K62" i="9"/>
  <c r="K63" i="9"/>
  <c r="K64" i="9"/>
  <c r="K65" i="9"/>
  <c r="AG3" i="10"/>
  <c r="T121" i="51"/>
  <c r="U1" i="51"/>
  <c r="S2" i="51"/>
  <c r="S122" i="51"/>
  <c r="AP5" i="9" l="1"/>
  <c r="K67" i="9"/>
  <c r="K66" i="9"/>
  <c r="AH3" i="10"/>
  <c r="U121" i="51"/>
  <c r="V1" i="51"/>
  <c r="T2" i="51"/>
  <c r="T122" i="51"/>
  <c r="AQ5" i="9" l="1"/>
  <c r="K69" i="9"/>
  <c r="K68" i="9"/>
  <c r="AI3" i="10"/>
  <c r="V121" i="51"/>
  <c r="W1" i="51"/>
  <c r="U2" i="51"/>
  <c r="U122" i="51"/>
  <c r="AR5" i="9" l="1"/>
  <c r="K70" i="9"/>
  <c r="K71" i="9"/>
  <c r="K72" i="9"/>
  <c r="AJ3" i="10"/>
  <c r="W121" i="51"/>
  <c r="X1" i="51"/>
  <c r="V2" i="51"/>
  <c r="V122" i="51"/>
  <c r="AS5" i="9" l="1"/>
  <c r="K74" i="9"/>
  <c r="K73" i="9"/>
  <c r="K77" i="9"/>
  <c r="K76" i="9"/>
  <c r="K78" i="9"/>
  <c r="K75" i="9"/>
  <c r="AK3" i="10"/>
  <c r="Y1" i="51"/>
  <c r="X121" i="51"/>
  <c r="W2" i="51"/>
  <c r="W122" i="51"/>
  <c r="AT5" i="9" l="1"/>
  <c r="K79" i="9"/>
  <c r="AL3" i="10"/>
  <c r="X2" i="51"/>
  <c r="X122" i="51"/>
  <c r="Z1" i="51"/>
  <c r="Y121" i="51"/>
  <c r="AU5" i="9" l="1"/>
  <c r="K80" i="9"/>
  <c r="K82" i="9"/>
  <c r="AM3" i="10"/>
  <c r="Y2" i="51"/>
  <c r="Y122" i="51"/>
  <c r="Z121" i="51"/>
  <c r="AA1" i="51"/>
  <c r="AV5" i="9" l="1"/>
  <c r="K83" i="9"/>
  <c r="K86" i="9"/>
  <c r="K84" i="9"/>
  <c r="K85" i="9"/>
  <c r="AN3" i="10"/>
  <c r="AA121" i="51"/>
  <c r="AB1" i="51"/>
  <c r="Z2" i="51"/>
  <c r="Z122" i="51"/>
  <c r="AW5" i="9" l="1"/>
  <c r="K87" i="9"/>
  <c r="K89" i="9"/>
  <c r="K88" i="9"/>
  <c r="AO3" i="10"/>
  <c r="AB121" i="51"/>
  <c r="AC1" i="51"/>
  <c r="AA2" i="51"/>
  <c r="AA122" i="51"/>
  <c r="AX5" i="9" l="1"/>
  <c r="K91" i="9"/>
  <c r="K93" i="9"/>
  <c r="K92" i="9"/>
  <c r="K90" i="9"/>
  <c r="AP3" i="10"/>
  <c r="AD1" i="51"/>
  <c r="AC121" i="51"/>
  <c r="AB2" i="51"/>
  <c r="AB122" i="51"/>
  <c r="AY5" i="9" l="1"/>
  <c r="K100" i="9" s="1"/>
  <c r="K94" i="9"/>
  <c r="K96" i="9"/>
  <c r="K95" i="9"/>
  <c r="AQ3" i="10"/>
  <c r="AC2" i="51"/>
  <c r="AC122" i="51"/>
  <c r="AD121" i="51"/>
  <c r="AE1" i="51"/>
  <c r="AZ5" i="9" l="1"/>
  <c r="K99" i="9"/>
  <c r="K98" i="9"/>
  <c r="K97" i="9"/>
  <c r="AR3" i="10"/>
  <c r="AE121" i="51"/>
  <c r="AF1" i="51"/>
  <c r="AD2" i="51"/>
  <c r="AD122" i="51"/>
  <c r="BA5" i="9" l="1"/>
  <c r="K101" i="9"/>
  <c r="AS3" i="10"/>
  <c r="AG1" i="51"/>
  <c r="AF121" i="51"/>
  <c r="AE2" i="51"/>
  <c r="AE122" i="51"/>
  <c r="BB5" i="9" l="1"/>
  <c r="K107" i="9" s="1"/>
  <c r="K104" i="9"/>
  <c r="K103" i="9"/>
  <c r="K102" i="9"/>
  <c r="K105" i="9"/>
  <c r="K106" i="9"/>
  <c r="AT3" i="10"/>
  <c r="AF2" i="51"/>
  <c r="AF122" i="51"/>
  <c r="AH1" i="51"/>
  <c r="AG121" i="51"/>
  <c r="BC5" i="9" l="1"/>
  <c r="K108" i="9"/>
  <c r="K81" i="9"/>
  <c r="K111" i="9"/>
  <c r="K109" i="9"/>
  <c r="K110" i="9"/>
  <c r="AU3" i="10"/>
  <c r="AG2" i="51"/>
  <c r="AG122" i="51"/>
  <c r="AH121" i="51"/>
  <c r="AI1" i="51"/>
  <c r="BD5" i="9" l="1"/>
  <c r="K112" i="9"/>
  <c r="AV3" i="10"/>
  <c r="AI121" i="51"/>
  <c r="AJ1" i="51"/>
  <c r="AH2" i="51"/>
  <c r="AH122" i="51"/>
  <c r="BE5" i="9" l="1"/>
  <c r="K114" i="9"/>
  <c r="K117" i="9"/>
  <c r="K115" i="9"/>
  <c r="K113" i="9"/>
  <c r="K116" i="9"/>
  <c r="AW3" i="10"/>
  <c r="AJ121" i="51"/>
  <c r="AK1" i="51"/>
  <c r="AI2" i="51"/>
  <c r="AI122" i="51"/>
  <c r="BF5" i="9" l="1"/>
  <c r="K121" i="9"/>
  <c r="K120" i="9"/>
  <c r="K119" i="9"/>
  <c r="K122" i="9"/>
  <c r="K118" i="9"/>
  <c r="AX3" i="10"/>
  <c r="AK121" i="51"/>
  <c r="AL1" i="51"/>
  <c r="AJ2" i="51"/>
  <c r="AJ122" i="51"/>
  <c r="BG5" i="9" l="1"/>
  <c r="K123" i="9"/>
  <c r="K125" i="9"/>
  <c r="K126" i="9"/>
  <c r="K127" i="9"/>
  <c r="K124" i="9"/>
  <c r="AY3" i="10"/>
  <c r="AL121" i="51"/>
  <c r="AM1" i="51"/>
  <c r="AK2" i="51"/>
  <c r="AK122" i="51"/>
  <c r="BH5" i="9" l="1"/>
  <c r="K128" i="9"/>
  <c r="K129" i="9"/>
  <c r="AZ3" i="10"/>
  <c r="AM121" i="51"/>
  <c r="AN1" i="51"/>
  <c r="AL2" i="51"/>
  <c r="AL122" i="51"/>
  <c r="BI5" i="9" l="1"/>
  <c r="K130" i="9"/>
  <c r="K131" i="9"/>
  <c r="K132" i="9"/>
  <c r="BA3" i="10"/>
  <c r="AO1" i="51"/>
  <c r="AN121" i="51"/>
  <c r="AM2" i="51"/>
  <c r="AM122" i="51"/>
  <c r="BJ5" i="9" l="1"/>
  <c r="K134" i="9"/>
  <c r="K135" i="9"/>
  <c r="K133" i="9"/>
  <c r="BB3" i="10"/>
  <c r="AN2" i="51"/>
  <c r="AN122" i="51"/>
  <c r="AP1" i="51"/>
  <c r="AO121" i="51"/>
  <c r="BK5" i="9" l="1"/>
  <c r="K137" i="9"/>
  <c r="K136" i="9"/>
  <c r="BC3" i="10"/>
  <c r="AO2" i="51"/>
  <c r="AO122" i="51"/>
  <c r="AP121" i="51"/>
  <c r="AQ1" i="51"/>
  <c r="BL5" i="9" l="1"/>
  <c r="K138" i="9"/>
  <c r="K139" i="9"/>
  <c r="BD3" i="10"/>
  <c r="AQ121" i="51"/>
  <c r="AR1" i="51"/>
  <c r="AP2" i="51"/>
  <c r="AP122" i="51"/>
  <c r="BM5" i="9" l="1"/>
  <c r="K141" i="9"/>
  <c r="K140" i="9"/>
  <c r="BE3" i="10"/>
  <c r="AR121" i="51"/>
  <c r="AS1" i="51"/>
  <c r="AQ2" i="51"/>
  <c r="AQ122" i="51"/>
  <c r="BN5" i="9" l="1"/>
  <c r="K144" i="9"/>
  <c r="K142" i="9"/>
  <c r="K143" i="9"/>
  <c r="K145" i="9"/>
  <c r="K146" i="9"/>
  <c r="BF3" i="10"/>
  <c r="AS121" i="51"/>
  <c r="AT1" i="51"/>
  <c r="AR2" i="51"/>
  <c r="AR122" i="51"/>
  <c r="BO5" i="9" l="1"/>
  <c r="K147" i="9"/>
  <c r="BG3" i="10"/>
  <c r="AT121" i="51"/>
  <c r="AU1" i="51"/>
  <c r="AS2" i="51"/>
  <c r="AS122" i="51"/>
  <c r="BP5" i="9" l="1"/>
  <c r="K149" i="9"/>
  <c r="K148" i="9"/>
  <c r="BH3" i="10"/>
  <c r="AU121" i="51"/>
  <c r="AV1" i="51"/>
  <c r="AT2" i="51"/>
  <c r="AT122" i="51"/>
  <c r="BQ5" i="9" l="1"/>
  <c r="BR5" i="9" s="1"/>
  <c r="BS5" i="9" s="1"/>
  <c r="BT5" i="9" s="1"/>
  <c r="BU5" i="9" s="1"/>
  <c r="BV5" i="9" s="1"/>
  <c r="BW5" i="9" s="1"/>
  <c r="BX5" i="9" s="1"/>
  <c r="K150" i="9"/>
  <c r="K151" i="9"/>
  <c r="BI3" i="10"/>
  <c r="AW1" i="51"/>
  <c r="AV121" i="51"/>
  <c r="AU2" i="51"/>
  <c r="AU122" i="51"/>
  <c r="AV2" i="51" l="1"/>
  <c r="AV122" i="51"/>
  <c r="AX1" i="51"/>
  <c r="AW121" i="51"/>
  <c r="AW2" i="51" l="1"/>
  <c r="AW122" i="51"/>
  <c r="AX121" i="51"/>
  <c r="AY1" i="51"/>
  <c r="AY121" i="51" l="1"/>
  <c r="AZ1" i="51"/>
  <c r="AX2" i="51"/>
  <c r="AX122" i="51"/>
  <c r="AZ121" i="51" l="1"/>
  <c r="BA1" i="51"/>
  <c r="AY2" i="51"/>
  <c r="AY122" i="51"/>
  <c r="BB1" i="51" l="1"/>
  <c r="BA121" i="51"/>
  <c r="AZ2" i="51"/>
  <c r="AZ122" i="51"/>
  <c r="BA2" i="51" l="1"/>
  <c r="BA122" i="51"/>
  <c r="BB121" i="51"/>
  <c r="BC1" i="51"/>
  <c r="BC121" i="51" l="1"/>
  <c r="BD1" i="51"/>
  <c r="BB2" i="51"/>
  <c r="BB122" i="51"/>
  <c r="BE1" i="51" l="1"/>
  <c r="BE121" i="51" s="1"/>
  <c r="BD121" i="51"/>
  <c r="BC2" i="51"/>
  <c r="BC122" i="51"/>
  <c r="BD2" i="51" l="1"/>
  <c r="BD122" i="51"/>
  <c r="BE2" i="51"/>
  <c r="BE122" i="51"/>
  <c r="C121" i="51"/>
  <c r="C122" i="51" s="1"/>
  <c r="H62" i="9" l="1"/>
  <c r="I62" i="9" s="1"/>
  <c r="H112" i="9"/>
  <c r="I112" i="9" s="1"/>
  <c r="H83" i="9" l="1"/>
  <c r="I83" i="9" s="1"/>
  <c r="I87" i="9"/>
  <c r="H147" i="9" l="1"/>
  <c r="H146" i="9"/>
  <c r="G148" i="9"/>
  <c r="AE39" i="9"/>
  <c r="X10" i="10" l="1"/>
  <c r="J7" i="41" s="1"/>
  <c r="J39" i="9" a="1"/>
  <c r="J39" i="9" s="1"/>
  <c r="K39" i="9" s="1"/>
  <c r="AJ3" i="9"/>
  <c r="AF3" i="9"/>
  <c r="AE3" i="9"/>
  <c r="AD3" i="9"/>
  <c r="P73" i="41"/>
  <c r="F49" i="41"/>
  <c r="E10" i="41"/>
  <c r="E9" i="41"/>
  <c r="E8" i="41"/>
  <c r="E7" i="41"/>
  <c r="E6" i="41"/>
  <c r="E5" i="41"/>
  <c r="E4" i="41"/>
  <c r="E3" i="41"/>
  <c r="D10" i="41"/>
  <c r="D9" i="41"/>
  <c r="D8" i="41"/>
  <c r="D7" i="41"/>
  <c r="D6" i="41"/>
  <c r="D5" i="41"/>
  <c r="D4" i="41"/>
  <c r="F23" i="41"/>
  <c r="O23" i="41" l="1"/>
  <c r="M23" i="41"/>
  <c r="K23" i="41"/>
  <c r="I23" i="41"/>
  <c r="F10" i="41"/>
  <c r="F9" i="41"/>
  <c r="AI3" i="9"/>
  <c r="AH3" i="9"/>
  <c r="I9" i="41" l="1"/>
  <c r="K9" i="41"/>
  <c r="M9" i="41"/>
  <c r="O9" i="41"/>
  <c r="M10" i="41"/>
  <c r="I10" i="41"/>
  <c r="O10" i="41"/>
  <c r="K10" i="41"/>
  <c r="H151" i="9"/>
  <c r="H150" i="9"/>
  <c r="H149" i="9"/>
  <c r="H148" i="9"/>
  <c r="H145" i="9"/>
  <c r="H144" i="9"/>
  <c r="H143" i="9"/>
  <c r="H142" i="9"/>
  <c r="H141" i="9"/>
  <c r="H140" i="9"/>
  <c r="H152" i="9"/>
  <c r="H139" i="9"/>
  <c r="H138" i="9"/>
  <c r="H137" i="9"/>
  <c r="H136" i="9"/>
  <c r="H135" i="9"/>
  <c r="H134" i="9"/>
  <c r="H133" i="9"/>
  <c r="H132" i="9"/>
  <c r="H131" i="9"/>
  <c r="H130" i="9"/>
  <c r="H129" i="9"/>
  <c r="H128" i="9"/>
  <c r="H127" i="9"/>
  <c r="H126" i="9"/>
  <c r="H124" i="9"/>
  <c r="H106" i="9"/>
  <c r="H120" i="9"/>
  <c r="H119" i="9"/>
  <c r="H118" i="9"/>
  <c r="H117" i="9"/>
  <c r="H116" i="9"/>
  <c r="H115" i="9"/>
  <c r="H114" i="9"/>
  <c r="H113" i="9"/>
  <c r="H111" i="9"/>
  <c r="H110" i="9"/>
  <c r="H105" i="9"/>
  <c r="H109" i="9"/>
  <c r="H104" i="9"/>
  <c r="H103" i="9"/>
  <c r="H108" i="9"/>
  <c r="H102" i="9"/>
  <c r="H101" i="9"/>
  <c r="H82" i="9"/>
  <c r="I85" i="9"/>
  <c r="H96" i="9"/>
  <c r="I96" i="9" s="1"/>
  <c r="H95" i="9"/>
  <c r="I95" i="9" s="1"/>
  <c r="H94" i="9"/>
  <c r="I94" i="9" s="1"/>
  <c r="H92" i="9"/>
  <c r="I92" i="9" s="1"/>
  <c r="H91" i="9"/>
  <c r="I91" i="9" s="1"/>
  <c r="H88" i="9"/>
  <c r="I88" i="9" s="1"/>
  <c r="H90" i="9"/>
  <c r="I90" i="9" s="1"/>
  <c r="I81" i="9"/>
  <c r="H79" i="9"/>
  <c r="I79" i="9" s="1"/>
  <c r="H72" i="9"/>
  <c r="H71" i="9"/>
  <c r="H70" i="9"/>
  <c r="H78" i="9"/>
  <c r="H77" i="9"/>
  <c r="H76" i="9"/>
  <c r="H75" i="9"/>
  <c r="H74" i="9"/>
  <c r="H73" i="9"/>
  <c r="H65" i="9"/>
  <c r="H64" i="9"/>
  <c r="H63" i="9"/>
  <c r="H60" i="9"/>
  <c r="H59" i="9"/>
  <c r="H58" i="9"/>
  <c r="H57" i="9"/>
  <c r="H54" i="9"/>
  <c r="H53" i="9"/>
  <c r="H56" i="9"/>
  <c r="H55" i="9"/>
  <c r="H52" i="9"/>
  <c r="H45" i="9"/>
  <c r="H44" i="9"/>
  <c r="H39" i="9"/>
  <c r="H38" i="9"/>
  <c r="H37" i="9"/>
  <c r="H36" i="9"/>
  <c r="H33" i="9"/>
  <c r="H35" i="9"/>
  <c r="H32" i="9"/>
  <c r="H28" i="9"/>
  <c r="H31" i="9"/>
  <c r="H30" i="9"/>
  <c r="H51" i="9"/>
  <c r="H25" i="9"/>
  <c r="H24" i="9"/>
  <c r="H23" i="9"/>
  <c r="H22" i="9"/>
  <c r="H21" i="9"/>
  <c r="I76" i="9" l="1"/>
  <c r="BI31" i="10" l="1"/>
  <c r="BH31" i="10"/>
  <c r="BG31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AN31" i="10"/>
  <c r="AM31" i="10"/>
  <c r="AL31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W31" i="10"/>
  <c r="V31" i="10"/>
  <c r="U31" i="10"/>
  <c r="T31" i="10"/>
  <c r="S31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H41" i="9"/>
  <c r="N28" i="41" l="1"/>
  <c r="O28" i="41" s="1"/>
  <c r="H41" i="41" s="1"/>
  <c r="J28" i="41"/>
  <c r="K28" i="41" s="1"/>
  <c r="F41" i="41" s="1"/>
  <c r="L28" i="41"/>
  <c r="M28" i="41" s="1"/>
  <c r="G41" i="41" s="1"/>
  <c r="I64" i="9"/>
  <c r="H43" i="9" l="1"/>
  <c r="I43" i="9" s="1"/>
  <c r="G73" i="41" l="1"/>
  <c r="H49" i="41" l="1"/>
  <c r="M73" i="41" s="1"/>
  <c r="F51" i="41"/>
  <c r="D22" i="10" l="1"/>
  <c r="BP3" i="9"/>
  <c r="AC3" i="9"/>
  <c r="D72" i="44" l="1"/>
  <c r="E72" i="44" s="1"/>
  <c r="D71" i="44"/>
  <c r="E71" i="44" s="1"/>
  <c r="D70" i="44"/>
  <c r="E70" i="44" s="1"/>
  <c r="S72" i="44"/>
  <c r="F72" i="44" s="1"/>
  <c r="R90" i="44"/>
  <c r="R91" i="44" s="1"/>
  <c r="Q90" i="44"/>
  <c r="Q91" i="44" s="1"/>
  <c r="P90" i="44"/>
  <c r="P91" i="44" s="1"/>
  <c r="O90" i="44"/>
  <c r="O91" i="44" s="1"/>
  <c r="N90" i="44"/>
  <c r="N91" i="44" s="1"/>
  <c r="M90" i="44"/>
  <c r="M91" i="44" s="1"/>
  <c r="L90" i="44"/>
  <c r="L91" i="44" s="1"/>
  <c r="K90" i="44"/>
  <c r="K91" i="44" s="1"/>
  <c r="J90" i="44"/>
  <c r="J91" i="44" s="1"/>
  <c r="I90" i="44"/>
  <c r="I91" i="44" s="1"/>
  <c r="H90" i="44"/>
  <c r="H91" i="44" s="1"/>
  <c r="G90" i="44"/>
  <c r="G91" i="44" s="1"/>
  <c r="S71" i="44"/>
  <c r="F71" i="44" s="1"/>
  <c r="S70" i="44"/>
  <c r="F70" i="44" s="1"/>
  <c r="D47" i="44"/>
  <c r="S90" i="44" l="1"/>
  <c r="S91" i="44" s="1"/>
  <c r="F91" i="44" s="1"/>
  <c r="F90" i="44" l="1"/>
  <c r="D26" i="47"/>
  <c r="D25" i="47"/>
  <c r="C25" i="47"/>
  <c r="E5" i="49" l="1"/>
  <c r="S5" i="49" s="1"/>
  <c r="F5" i="49" s="1"/>
  <c r="E11" i="49"/>
  <c r="S57" i="48"/>
  <c r="F57" i="48" s="1"/>
  <c r="R12" i="49"/>
  <c r="Q12" i="49"/>
  <c r="P12" i="49"/>
  <c r="O12" i="49"/>
  <c r="N12" i="49"/>
  <c r="M12" i="49"/>
  <c r="L12" i="49"/>
  <c r="K12" i="49"/>
  <c r="J12" i="49"/>
  <c r="I12" i="49"/>
  <c r="H12" i="49"/>
  <c r="G12" i="49"/>
  <c r="S11" i="49"/>
  <c r="F11" i="49" s="1"/>
  <c r="D11" i="49"/>
  <c r="C11" i="49"/>
  <c r="B11" i="49"/>
  <c r="S10" i="49"/>
  <c r="F10" i="49" s="1"/>
  <c r="D10" i="49"/>
  <c r="C10" i="49"/>
  <c r="B10" i="49"/>
  <c r="S9" i="49"/>
  <c r="F9" i="49" s="1"/>
  <c r="D9" i="49"/>
  <c r="C9" i="49"/>
  <c r="B9" i="49"/>
  <c r="R7" i="49"/>
  <c r="Q7" i="49"/>
  <c r="P7" i="49"/>
  <c r="O7" i="49"/>
  <c r="N7" i="49"/>
  <c r="M7" i="49"/>
  <c r="L7" i="49"/>
  <c r="K7" i="49"/>
  <c r="J7" i="49"/>
  <c r="J13" i="49" s="1"/>
  <c r="I7" i="49"/>
  <c r="H7" i="49"/>
  <c r="E4" i="49"/>
  <c r="E9" i="49" s="1"/>
  <c r="E13" i="48"/>
  <c r="G13" i="48" s="1"/>
  <c r="S13" i="48" s="1"/>
  <c r="F13" i="48" s="1"/>
  <c r="E12" i="48"/>
  <c r="E11" i="48"/>
  <c r="E10" i="48"/>
  <c r="E38" i="48" s="1"/>
  <c r="S34" i="44"/>
  <c r="F34" i="44" s="1"/>
  <c r="D34" i="44"/>
  <c r="E34" i="44"/>
  <c r="C34" i="44"/>
  <c r="B34" i="44"/>
  <c r="E5" i="44"/>
  <c r="G5" i="44" s="1"/>
  <c r="S5" i="44" s="1"/>
  <c r="F5" i="44" s="1"/>
  <c r="B36" i="44"/>
  <c r="E9" i="48"/>
  <c r="G9" i="48" s="1"/>
  <c r="S9" i="48" s="1"/>
  <c r="F9" i="48" s="1"/>
  <c r="E8" i="48"/>
  <c r="G8" i="48" s="1"/>
  <c r="S8" i="48" s="1"/>
  <c r="F8" i="48" s="1"/>
  <c r="E6" i="48"/>
  <c r="E34" i="48" s="1"/>
  <c r="E7" i="48"/>
  <c r="G7" i="48" s="1"/>
  <c r="S7" i="48" s="1"/>
  <c r="F7" i="48" s="1"/>
  <c r="E5" i="48"/>
  <c r="G5" i="48" s="1"/>
  <c r="S5" i="48" s="1"/>
  <c r="F5" i="48" s="1"/>
  <c r="E4" i="48"/>
  <c r="R58" i="48"/>
  <c r="Q58" i="48"/>
  <c r="P58" i="48"/>
  <c r="O58" i="48"/>
  <c r="N58" i="48"/>
  <c r="M58" i="48"/>
  <c r="L58" i="48"/>
  <c r="K58" i="48"/>
  <c r="J58" i="48"/>
  <c r="I58" i="48"/>
  <c r="H58" i="48"/>
  <c r="G58" i="48"/>
  <c r="S56" i="48"/>
  <c r="F56" i="48"/>
  <c r="D56" i="48"/>
  <c r="C56" i="48"/>
  <c r="B56" i="48"/>
  <c r="S55" i="48"/>
  <c r="F55" i="48" s="1"/>
  <c r="D55" i="48"/>
  <c r="C55" i="48"/>
  <c r="B55" i="48"/>
  <c r="S54" i="48"/>
  <c r="F54" i="48" s="1"/>
  <c r="D54" i="48"/>
  <c r="C54" i="48"/>
  <c r="B54" i="48"/>
  <c r="S53" i="48"/>
  <c r="F53" i="48" s="1"/>
  <c r="E53" i="48"/>
  <c r="D53" i="48"/>
  <c r="C53" i="48"/>
  <c r="B53" i="48"/>
  <c r="S52" i="48"/>
  <c r="F52" i="48" s="1"/>
  <c r="D52" i="48"/>
  <c r="C52" i="48"/>
  <c r="B52" i="48"/>
  <c r="S51" i="48"/>
  <c r="F51" i="48" s="1"/>
  <c r="D51" i="48"/>
  <c r="C51" i="48"/>
  <c r="B51" i="48"/>
  <c r="S50" i="48"/>
  <c r="F50" i="48" s="1"/>
  <c r="D50" i="48"/>
  <c r="C50" i="48"/>
  <c r="B50" i="48"/>
  <c r="S49" i="48"/>
  <c r="F49" i="48"/>
  <c r="E49" i="48"/>
  <c r="D49" i="48"/>
  <c r="C49" i="48"/>
  <c r="B49" i="48"/>
  <c r="S48" i="48"/>
  <c r="F48" i="48" s="1"/>
  <c r="D48" i="48"/>
  <c r="C48" i="48"/>
  <c r="B48" i="48"/>
  <c r="S47" i="48"/>
  <c r="F47" i="48" s="1"/>
  <c r="D47" i="48"/>
  <c r="C47" i="48"/>
  <c r="B47" i="48"/>
  <c r="S46" i="48"/>
  <c r="F46" i="48" s="1"/>
  <c r="D46" i="48"/>
  <c r="C46" i="48"/>
  <c r="B46" i="48"/>
  <c r="S45" i="48"/>
  <c r="F45" i="48" s="1"/>
  <c r="E45" i="48"/>
  <c r="D45" i="48"/>
  <c r="C45" i="48"/>
  <c r="B45" i="48"/>
  <c r="S44" i="48"/>
  <c r="F44" i="48" s="1"/>
  <c r="D44" i="48"/>
  <c r="C44" i="48"/>
  <c r="B44" i="48"/>
  <c r="S43" i="48"/>
  <c r="F43" i="48" s="1"/>
  <c r="D43" i="48"/>
  <c r="C43" i="48"/>
  <c r="B43" i="48"/>
  <c r="S42" i="48"/>
  <c r="F42" i="48" s="1"/>
  <c r="D42" i="48"/>
  <c r="C42" i="48"/>
  <c r="B42" i="48"/>
  <c r="S41" i="48"/>
  <c r="F41" i="48"/>
  <c r="E41" i="48"/>
  <c r="D41" i="48"/>
  <c r="C41" i="48"/>
  <c r="B41" i="48"/>
  <c r="S40" i="48"/>
  <c r="F40" i="48" s="1"/>
  <c r="D40" i="48"/>
  <c r="C40" i="48"/>
  <c r="B40" i="48"/>
  <c r="S39" i="48"/>
  <c r="F39" i="48" s="1"/>
  <c r="D39" i="48"/>
  <c r="C39" i="48"/>
  <c r="B39" i="48"/>
  <c r="S38" i="48"/>
  <c r="F38" i="48" s="1"/>
  <c r="D38" i="48"/>
  <c r="C38" i="48"/>
  <c r="B38" i="48"/>
  <c r="S37" i="48"/>
  <c r="F37" i="48" s="1"/>
  <c r="D37" i="48"/>
  <c r="C37" i="48"/>
  <c r="B37" i="48"/>
  <c r="S36" i="48"/>
  <c r="F36" i="48"/>
  <c r="D36" i="48"/>
  <c r="C36" i="48"/>
  <c r="B36" i="48"/>
  <c r="S35" i="48"/>
  <c r="F35" i="48" s="1"/>
  <c r="D35" i="48"/>
  <c r="C35" i="48"/>
  <c r="B35" i="48"/>
  <c r="S34" i="48"/>
  <c r="F34" i="48" s="1"/>
  <c r="D34" i="48"/>
  <c r="C34" i="48"/>
  <c r="B34" i="48"/>
  <c r="S33" i="48"/>
  <c r="F33" i="48" s="1"/>
  <c r="E33" i="48"/>
  <c r="D33" i="48"/>
  <c r="C33" i="48"/>
  <c r="B33" i="48"/>
  <c r="S32" i="48"/>
  <c r="F32" i="48" s="1"/>
  <c r="D32" i="48"/>
  <c r="C32" i="48"/>
  <c r="B32" i="48"/>
  <c r="R30" i="48"/>
  <c r="Q30" i="48"/>
  <c r="Q59" i="48" s="1"/>
  <c r="P30" i="48"/>
  <c r="O30" i="48"/>
  <c r="N30" i="48"/>
  <c r="M30" i="48"/>
  <c r="L30" i="48"/>
  <c r="K30" i="48"/>
  <c r="J30" i="48"/>
  <c r="I30" i="48"/>
  <c r="I59" i="48" s="1"/>
  <c r="H30" i="48"/>
  <c r="G29" i="48"/>
  <c r="S29" i="48" s="1"/>
  <c r="F29" i="48" s="1"/>
  <c r="E56" i="48"/>
  <c r="G27" i="48"/>
  <c r="S27" i="48" s="1"/>
  <c r="F27" i="48" s="1"/>
  <c r="E55" i="48"/>
  <c r="E54" i="48"/>
  <c r="G25" i="48"/>
  <c r="S25" i="48" s="1"/>
  <c r="F25" i="48" s="1"/>
  <c r="G24" i="48"/>
  <c r="S24" i="48" s="1"/>
  <c r="F24" i="48" s="1"/>
  <c r="G23" i="48"/>
  <c r="S23" i="48" s="1"/>
  <c r="F23" i="48" s="1"/>
  <c r="E51" i="48"/>
  <c r="E50" i="48"/>
  <c r="G21" i="48"/>
  <c r="S21" i="48" s="1"/>
  <c r="F21" i="48" s="1"/>
  <c r="G20" i="48"/>
  <c r="S20" i="48" s="1"/>
  <c r="F20" i="48" s="1"/>
  <c r="G19" i="48"/>
  <c r="S19" i="48" s="1"/>
  <c r="F19" i="48" s="1"/>
  <c r="E47" i="48"/>
  <c r="E46" i="48"/>
  <c r="G17" i="48"/>
  <c r="S17" i="48" s="1"/>
  <c r="F17" i="48" s="1"/>
  <c r="G16" i="48"/>
  <c r="G15" i="48"/>
  <c r="S15" i="48" s="1"/>
  <c r="F15" i="48" s="1"/>
  <c r="E43" i="48"/>
  <c r="E42" i="48"/>
  <c r="G12" i="48"/>
  <c r="S12" i="48" s="1"/>
  <c r="F12" i="48" s="1"/>
  <c r="G11" i="48"/>
  <c r="S11" i="48" s="1"/>
  <c r="F11" i="48" s="1"/>
  <c r="E39" i="48"/>
  <c r="E32" i="48"/>
  <c r="B35" i="44"/>
  <c r="B37" i="44"/>
  <c r="B38" i="44"/>
  <c r="H31" i="44"/>
  <c r="I31" i="44"/>
  <c r="J31" i="44"/>
  <c r="K31" i="44"/>
  <c r="L31" i="44"/>
  <c r="M31" i="44"/>
  <c r="N31" i="44"/>
  <c r="O31" i="44"/>
  <c r="P31" i="44"/>
  <c r="Q31" i="44"/>
  <c r="R31" i="44"/>
  <c r="B59" i="44"/>
  <c r="C59" i="44"/>
  <c r="D59" i="44"/>
  <c r="E30" i="44"/>
  <c r="E59" i="44" s="1"/>
  <c r="D55" i="44"/>
  <c r="D56" i="44"/>
  <c r="D57" i="44"/>
  <c r="D58" i="44"/>
  <c r="C55" i="44"/>
  <c r="C56" i="44"/>
  <c r="C57" i="44"/>
  <c r="C58" i="44"/>
  <c r="B55" i="44"/>
  <c r="B56" i="44"/>
  <c r="B57" i="44"/>
  <c r="B58" i="44"/>
  <c r="E6" i="44"/>
  <c r="G6" i="44" s="1"/>
  <c r="E7" i="44"/>
  <c r="E8" i="44"/>
  <c r="G8" i="44" s="1"/>
  <c r="E9" i="44"/>
  <c r="E10" i="44"/>
  <c r="E39" i="44" s="1"/>
  <c r="E11" i="44"/>
  <c r="E40" i="44" s="1"/>
  <c r="E12" i="44"/>
  <c r="E41" i="44" s="1"/>
  <c r="E13" i="44"/>
  <c r="G13" i="44" s="1"/>
  <c r="E14" i="44"/>
  <c r="E43" i="44" s="1"/>
  <c r="E15" i="44"/>
  <c r="E16" i="44"/>
  <c r="E45" i="44" s="1"/>
  <c r="E17" i="44"/>
  <c r="G17" i="44" s="1"/>
  <c r="E18" i="44"/>
  <c r="E47" i="44" s="1"/>
  <c r="E19" i="44"/>
  <c r="E48" i="44" s="1"/>
  <c r="E20" i="44"/>
  <c r="E49" i="44" s="1"/>
  <c r="E21" i="44"/>
  <c r="G21" i="44" s="1"/>
  <c r="E22" i="44"/>
  <c r="G22" i="44" s="1"/>
  <c r="E23" i="44"/>
  <c r="G23" i="44" s="1"/>
  <c r="E24" i="44"/>
  <c r="E53" i="44" s="1"/>
  <c r="E25" i="44"/>
  <c r="G25" i="44" s="1"/>
  <c r="E26" i="44"/>
  <c r="E55" i="44" s="1"/>
  <c r="E27" i="44"/>
  <c r="E56" i="44" s="1"/>
  <c r="E28" i="44"/>
  <c r="E57" i="44" s="1"/>
  <c r="E29" i="44"/>
  <c r="E58" i="44" s="1"/>
  <c r="E4" i="44"/>
  <c r="G4" i="44" s="1"/>
  <c r="S59" i="44"/>
  <c r="F59" i="44" s="1"/>
  <c r="S35" i="44"/>
  <c r="F35" i="44" s="1"/>
  <c r="S36" i="44"/>
  <c r="F36" i="44" s="1"/>
  <c r="S37" i="44"/>
  <c r="F37" i="44" s="1"/>
  <c r="S38" i="44"/>
  <c r="F38" i="44" s="1"/>
  <c r="S39" i="44"/>
  <c r="F39" i="44" s="1"/>
  <c r="S40" i="44"/>
  <c r="F40" i="44" s="1"/>
  <c r="S41" i="44"/>
  <c r="F41" i="44" s="1"/>
  <c r="S42" i="44"/>
  <c r="F42" i="44" s="1"/>
  <c r="S43" i="44"/>
  <c r="F43" i="44" s="1"/>
  <c r="S44" i="44"/>
  <c r="F44" i="44" s="1"/>
  <c r="S45" i="44"/>
  <c r="F45" i="44" s="1"/>
  <c r="S46" i="44"/>
  <c r="F46" i="44" s="1"/>
  <c r="S47" i="44"/>
  <c r="F47" i="44" s="1"/>
  <c r="S48" i="44"/>
  <c r="F48" i="44" s="1"/>
  <c r="S49" i="44"/>
  <c r="F49" i="44" s="1"/>
  <c r="S50" i="44"/>
  <c r="F50" i="44" s="1"/>
  <c r="S51" i="44"/>
  <c r="F51" i="44" s="1"/>
  <c r="S52" i="44"/>
  <c r="F52" i="44" s="1"/>
  <c r="S53" i="44"/>
  <c r="F53" i="44" s="1"/>
  <c r="S54" i="44"/>
  <c r="F54" i="44" s="1"/>
  <c r="S55" i="44"/>
  <c r="F55" i="44" s="1"/>
  <c r="S56" i="44"/>
  <c r="F56" i="44" s="1"/>
  <c r="S57" i="44"/>
  <c r="F57" i="44" s="1"/>
  <c r="S58" i="44"/>
  <c r="F58" i="44" s="1"/>
  <c r="S33" i="44"/>
  <c r="F33" i="44" s="1"/>
  <c r="D35" i="44"/>
  <c r="D36" i="44"/>
  <c r="D37" i="44"/>
  <c r="D38" i="44"/>
  <c r="D39" i="44"/>
  <c r="D40" i="44"/>
  <c r="D41" i="44"/>
  <c r="D42" i="44"/>
  <c r="D43" i="44"/>
  <c r="D44" i="44"/>
  <c r="D45" i="44"/>
  <c r="D46" i="44"/>
  <c r="D48" i="44"/>
  <c r="D49" i="44"/>
  <c r="D50" i="44"/>
  <c r="D51" i="44"/>
  <c r="D52" i="44"/>
  <c r="D53" i="44"/>
  <c r="D54" i="44"/>
  <c r="D33" i="44"/>
  <c r="B54" i="44"/>
  <c r="C54" i="44"/>
  <c r="C35" i="44"/>
  <c r="C36" i="44"/>
  <c r="C37" i="44"/>
  <c r="C38" i="44"/>
  <c r="B39" i="44"/>
  <c r="C39" i="44"/>
  <c r="B40" i="44"/>
  <c r="B70" i="44" s="1"/>
  <c r="C40" i="44"/>
  <c r="C70" i="44" s="1"/>
  <c r="B41" i="44"/>
  <c r="C41" i="44"/>
  <c r="B42" i="44"/>
  <c r="C42" i="44"/>
  <c r="B43" i="44"/>
  <c r="C43" i="44"/>
  <c r="B44" i="44"/>
  <c r="C44" i="44"/>
  <c r="B45" i="44"/>
  <c r="C45" i="44"/>
  <c r="B46" i="44"/>
  <c r="C46" i="44"/>
  <c r="B47" i="44"/>
  <c r="C47" i="44"/>
  <c r="B48" i="44"/>
  <c r="B71" i="44" s="1"/>
  <c r="C48" i="44"/>
  <c r="C71" i="44" s="1"/>
  <c r="B49" i="44"/>
  <c r="C49" i="44"/>
  <c r="B50" i="44"/>
  <c r="C50" i="44"/>
  <c r="B51" i="44"/>
  <c r="C51" i="44"/>
  <c r="B52" i="44"/>
  <c r="C52" i="44"/>
  <c r="B53" i="44"/>
  <c r="C53" i="44"/>
  <c r="C33" i="44"/>
  <c r="B33" i="44"/>
  <c r="P24" i="47"/>
  <c r="P23" i="47"/>
  <c r="P22" i="47"/>
  <c r="P21" i="47"/>
  <c r="P20" i="47"/>
  <c r="P19" i="47"/>
  <c r="P18" i="47"/>
  <c r="P16" i="47"/>
  <c r="P15" i="47"/>
  <c r="P14" i="47"/>
  <c r="P11" i="47"/>
  <c r="P10" i="47"/>
  <c r="C8" i="47"/>
  <c r="P7" i="47"/>
  <c r="P6" i="47"/>
  <c r="J25" i="47"/>
  <c r="I25" i="47"/>
  <c r="P5" i="47"/>
  <c r="N25" i="47"/>
  <c r="M25" i="47"/>
  <c r="L25" i="47"/>
  <c r="K25" i="47"/>
  <c r="F25" i="47"/>
  <c r="E25" i="47"/>
  <c r="P2" i="47"/>
  <c r="C20" i="47" s="1"/>
  <c r="Q45" i="46"/>
  <c r="P45" i="46"/>
  <c r="O45" i="46"/>
  <c r="N45" i="46"/>
  <c r="M45" i="46"/>
  <c r="L45" i="46"/>
  <c r="K45" i="46"/>
  <c r="J45" i="46"/>
  <c r="I45" i="46"/>
  <c r="H45" i="46"/>
  <c r="G45" i="46"/>
  <c r="F45" i="46"/>
  <c r="R43" i="46"/>
  <c r="Q38" i="46"/>
  <c r="M38" i="46"/>
  <c r="L38" i="46"/>
  <c r="K38" i="46"/>
  <c r="J38" i="46"/>
  <c r="I38" i="46"/>
  <c r="H38" i="46"/>
  <c r="G38" i="46"/>
  <c r="F38" i="46"/>
  <c r="R37" i="46"/>
  <c r="E37" i="46"/>
  <c r="R36" i="46"/>
  <c r="E36" i="46"/>
  <c r="R35" i="46"/>
  <c r="E35" i="46"/>
  <c r="R34" i="46"/>
  <c r="E34" i="46"/>
  <c r="R33" i="46"/>
  <c r="E33" i="46"/>
  <c r="R32" i="46"/>
  <c r="E32" i="46"/>
  <c r="R31" i="46"/>
  <c r="E31" i="46"/>
  <c r="R30" i="46"/>
  <c r="E30" i="46"/>
  <c r="R29" i="46"/>
  <c r="E29" i="46"/>
  <c r="R28" i="46"/>
  <c r="E28" i="46"/>
  <c r="R27" i="46"/>
  <c r="E27" i="46"/>
  <c r="R26" i="46"/>
  <c r="E26" i="46"/>
  <c r="R25" i="46"/>
  <c r="E25" i="46"/>
  <c r="R24" i="46"/>
  <c r="E24" i="46"/>
  <c r="R23" i="46"/>
  <c r="E23" i="46"/>
  <c r="R22" i="46"/>
  <c r="E22" i="46"/>
  <c r="R21" i="46"/>
  <c r="E21" i="46"/>
  <c r="R20" i="46"/>
  <c r="E20" i="46"/>
  <c r="R19" i="46"/>
  <c r="E19" i="46"/>
  <c r="R18" i="46"/>
  <c r="E18" i="46"/>
  <c r="R17" i="46"/>
  <c r="E17" i="46"/>
  <c r="R16" i="46"/>
  <c r="E16" i="46"/>
  <c r="O38" i="46"/>
  <c r="R15" i="46"/>
  <c r="R14" i="46"/>
  <c r="E14" i="46"/>
  <c r="R13" i="46"/>
  <c r="E13" i="46"/>
  <c r="R12" i="46"/>
  <c r="E12" i="46"/>
  <c r="R11" i="46"/>
  <c r="E11" i="46"/>
  <c r="R10" i="46"/>
  <c r="E10" i="46"/>
  <c r="R9" i="46"/>
  <c r="E9" i="46"/>
  <c r="R8" i="46"/>
  <c r="E8" i="46"/>
  <c r="R7" i="46"/>
  <c r="E7" i="46"/>
  <c r="R6" i="46"/>
  <c r="E6" i="46"/>
  <c r="R5" i="46"/>
  <c r="E5" i="46"/>
  <c r="R4" i="46"/>
  <c r="E4" i="46"/>
  <c r="P38" i="46"/>
  <c r="E3" i="46"/>
  <c r="R60" i="44"/>
  <c r="Q60" i="44"/>
  <c r="P60" i="44"/>
  <c r="O60" i="44"/>
  <c r="N60" i="44"/>
  <c r="M60" i="44"/>
  <c r="L60" i="44"/>
  <c r="K60" i="44"/>
  <c r="J60" i="44"/>
  <c r="I60" i="44"/>
  <c r="H60" i="44"/>
  <c r="G60" i="44"/>
  <c r="Z100" i="35"/>
  <c r="Z104" i="35" s="1"/>
  <c r="F85" i="41"/>
  <c r="J84" i="41"/>
  <c r="K84" i="41" s="1"/>
  <c r="J83" i="41"/>
  <c r="K83" i="41" s="1"/>
  <c r="L83" i="41" s="1"/>
  <c r="M83" i="41" s="1"/>
  <c r="N83" i="41" s="1"/>
  <c r="O83" i="41" s="1"/>
  <c r="P83" i="41" s="1"/>
  <c r="Q83" i="41" s="1"/>
  <c r="R83" i="41" s="1"/>
  <c r="F77" i="41"/>
  <c r="G76" i="41"/>
  <c r="H73" i="41"/>
  <c r="I73" i="41" s="1"/>
  <c r="J73" i="41" s="1"/>
  <c r="K73" i="41" s="1"/>
  <c r="L73" i="41" s="1"/>
  <c r="N73" i="41" s="1"/>
  <c r="O73" i="41" s="1"/>
  <c r="Q73" i="41" s="1"/>
  <c r="R73" i="41" s="1"/>
  <c r="F22" i="41"/>
  <c r="F21" i="41"/>
  <c r="F19" i="41"/>
  <c r="F20" i="41"/>
  <c r="F18" i="41"/>
  <c r="F16" i="41"/>
  <c r="F14" i="41"/>
  <c r="F13" i="41"/>
  <c r="F12" i="41"/>
  <c r="F11" i="41"/>
  <c r="M12" i="41" l="1"/>
  <c r="O12" i="41"/>
  <c r="I12" i="41"/>
  <c r="K12" i="41"/>
  <c r="M22" i="41"/>
  <c r="K22" i="41"/>
  <c r="O22" i="41"/>
  <c r="I22" i="41"/>
  <c r="O14" i="41"/>
  <c r="I14" i="41"/>
  <c r="K14" i="41"/>
  <c r="M14" i="41"/>
  <c r="I18" i="41"/>
  <c r="O18" i="41"/>
  <c r="K18" i="41"/>
  <c r="M18" i="41"/>
  <c r="I13" i="41"/>
  <c r="K13" i="41"/>
  <c r="M13" i="41"/>
  <c r="O13" i="41"/>
  <c r="I16" i="41"/>
  <c r="E37" i="41" s="1"/>
  <c r="K16" i="41"/>
  <c r="F37" i="41" s="1"/>
  <c r="O16" i="41"/>
  <c r="H37" i="41" s="1"/>
  <c r="M16" i="41"/>
  <c r="G37" i="41" s="1"/>
  <c r="M20" i="41"/>
  <c r="G39" i="41" s="1"/>
  <c r="I20" i="41"/>
  <c r="E39" i="41" s="1"/>
  <c r="O20" i="41"/>
  <c r="H39" i="41" s="1"/>
  <c r="K20" i="41"/>
  <c r="F39" i="41" s="1"/>
  <c r="I19" i="41"/>
  <c r="M19" i="41"/>
  <c r="K19" i="41"/>
  <c r="O19" i="41"/>
  <c r="I11" i="41"/>
  <c r="K11" i="41"/>
  <c r="M11" i="41"/>
  <c r="O11" i="41"/>
  <c r="I21" i="41"/>
  <c r="K21" i="41"/>
  <c r="F40" i="41" s="1"/>
  <c r="M21" i="41"/>
  <c r="G40" i="41" s="1"/>
  <c r="O21" i="41"/>
  <c r="Z107" i="35"/>
  <c r="Z108" i="35"/>
  <c r="Z103" i="35"/>
  <c r="R13" i="49"/>
  <c r="C21" i="47"/>
  <c r="C12" i="47"/>
  <c r="K13" i="49"/>
  <c r="H13" i="49"/>
  <c r="P13" i="49"/>
  <c r="I13" i="49"/>
  <c r="Q13" i="49"/>
  <c r="L59" i="48"/>
  <c r="E37" i="48"/>
  <c r="O59" i="48"/>
  <c r="H59" i="48"/>
  <c r="P59" i="48"/>
  <c r="M59" i="48"/>
  <c r="S16" i="48"/>
  <c r="F16" i="48" s="1"/>
  <c r="N59" i="48"/>
  <c r="E35" i="48"/>
  <c r="J59" i="48"/>
  <c r="R59" i="48"/>
  <c r="K59" i="48"/>
  <c r="N13" i="49"/>
  <c r="O13" i="49"/>
  <c r="M13" i="49"/>
  <c r="L13" i="49"/>
  <c r="S12" i="49"/>
  <c r="F12" i="49" s="1"/>
  <c r="S4" i="49"/>
  <c r="S6" i="49"/>
  <c r="F6" i="49" s="1"/>
  <c r="E10" i="49"/>
  <c r="S58" i="48"/>
  <c r="F58" i="48" s="1"/>
  <c r="E36" i="48"/>
  <c r="G18" i="48"/>
  <c r="S18" i="48" s="1"/>
  <c r="F18" i="48" s="1"/>
  <c r="E44" i="48"/>
  <c r="E48" i="48"/>
  <c r="E52" i="48"/>
  <c r="G4" i="48"/>
  <c r="G28" i="48"/>
  <c r="S28" i="48" s="1"/>
  <c r="F28" i="48" s="1"/>
  <c r="G6" i="48"/>
  <c r="S6" i="48" s="1"/>
  <c r="F6" i="48" s="1"/>
  <c r="G10" i="48"/>
  <c r="S10" i="48" s="1"/>
  <c r="F10" i="48" s="1"/>
  <c r="G14" i="48"/>
  <c r="S14" i="48" s="1"/>
  <c r="F14" i="48" s="1"/>
  <c r="G26" i="48"/>
  <c r="S26" i="48" s="1"/>
  <c r="F26" i="48" s="1"/>
  <c r="E40" i="48"/>
  <c r="G22" i="48"/>
  <c r="S22" i="48" s="1"/>
  <c r="F22" i="48" s="1"/>
  <c r="G16" i="44"/>
  <c r="S16" i="44" s="1"/>
  <c r="F16" i="44" s="1"/>
  <c r="G20" i="44"/>
  <c r="S20" i="44" s="1"/>
  <c r="F20" i="44" s="1"/>
  <c r="G12" i="44"/>
  <c r="S12" i="44" s="1"/>
  <c r="F12" i="44" s="1"/>
  <c r="G29" i="44"/>
  <c r="S29" i="44" s="1"/>
  <c r="F29" i="44" s="1"/>
  <c r="G28" i="44"/>
  <c r="S28" i="44" s="1"/>
  <c r="F28" i="44" s="1"/>
  <c r="G24" i="44"/>
  <c r="S24" i="44" s="1"/>
  <c r="F24" i="44" s="1"/>
  <c r="G19" i="44"/>
  <c r="S19" i="44" s="1"/>
  <c r="F19" i="44" s="1"/>
  <c r="G14" i="44"/>
  <c r="S14" i="44" s="1"/>
  <c r="F14" i="44" s="1"/>
  <c r="G30" i="44"/>
  <c r="S30" i="44" s="1"/>
  <c r="F30" i="44" s="1"/>
  <c r="G27" i="44"/>
  <c r="G26" i="44"/>
  <c r="S26" i="44" s="1"/>
  <c r="F26" i="44" s="1"/>
  <c r="G18" i="44"/>
  <c r="S18" i="44" s="1"/>
  <c r="F18" i="44" s="1"/>
  <c r="G10" i="44"/>
  <c r="S10" i="44" s="1"/>
  <c r="F10" i="44" s="1"/>
  <c r="S8" i="44"/>
  <c r="F8" i="44" s="1"/>
  <c r="G9" i="44"/>
  <c r="S9" i="44" s="1"/>
  <c r="F9" i="44" s="1"/>
  <c r="G11" i="44"/>
  <c r="S11" i="44" s="1"/>
  <c r="F11" i="44" s="1"/>
  <c r="S22" i="44"/>
  <c r="F22" i="44" s="1"/>
  <c r="G15" i="44"/>
  <c r="S15" i="44" s="1"/>
  <c r="F15" i="44" s="1"/>
  <c r="G7" i="44"/>
  <c r="S7" i="44" s="1"/>
  <c r="F7" i="44" s="1"/>
  <c r="S13" i="44"/>
  <c r="F13" i="44" s="1"/>
  <c r="E42" i="44"/>
  <c r="E50" i="44"/>
  <c r="E52" i="44"/>
  <c r="E37" i="44"/>
  <c r="E35" i="44"/>
  <c r="E38" i="44"/>
  <c r="E46" i="44"/>
  <c r="E33" i="44"/>
  <c r="E36" i="44"/>
  <c r="S27" i="44"/>
  <c r="F27" i="44" s="1"/>
  <c r="E54" i="44"/>
  <c r="E44" i="44"/>
  <c r="E51" i="44"/>
  <c r="C6" i="47"/>
  <c r="C10" i="47"/>
  <c r="C14" i="47"/>
  <c r="C18" i="47"/>
  <c r="C5" i="47"/>
  <c r="C9" i="47"/>
  <c r="C13" i="47"/>
  <c r="P17" i="47"/>
  <c r="C4" i="47"/>
  <c r="I61" i="44"/>
  <c r="N61" i="44"/>
  <c r="O61" i="44"/>
  <c r="H61" i="44"/>
  <c r="P61" i="44"/>
  <c r="L26" i="47"/>
  <c r="I26" i="47"/>
  <c r="J26" i="47"/>
  <c r="K26" i="47"/>
  <c r="F26" i="47"/>
  <c r="N26" i="47"/>
  <c r="E26" i="47"/>
  <c r="M26" i="47"/>
  <c r="P13" i="47"/>
  <c r="G25" i="47"/>
  <c r="H25" i="47"/>
  <c r="P8" i="47"/>
  <c r="C17" i="47"/>
  <c r="C3" i="47"/>
  <c r="C7" i="47"/>
  <c r="C11" i="47"/>
  <c r="C15" i="47"/>
  <c r="C19" i="47"/>
  <c r="C23" i="47"/>
  <c r="P9" i="47"/>
  <c r="O25" i="47"/>
  <c r="P12" i="47"/>
  <c r="P3" i="47"/>
  <c r="C22" i="47"/>
  <c r="P4" i="47"/>
  <c r="C16" i="47"/>
  <c r="R45" i="46"/>
  <c r="S6" i="44"/>
  <c r="F6" i="44" s="1"/>
  <c r="S21" i="44"/>
  <c r="F21" i="44" s="1"/>
  <c r="Q61" i="44"/>
  <c r="S4" i="44"/>
  <c r="S23" i="44"/>
  <c r="F23" i="44" s="1"/>
  <c r="M61" i="44"/>
  <c r="J61" i="44"/>
  <c r="R61" i="44"/>
  <c r="S25" i="44"/>
  <c r="F25" i="44" s="1"/>
  <c r="K61" i="44"/>
  <c r="L61" i="44"/>
  <c r="R3" i="46"/>
  <c r="R38" i="46" s="1"/>
  <c r="E15" i="46"/>
  <c r="E38" i="46" s="1"/>
  <c r="N38" i="46"/>
  <c r="L84" i="41"/>
  <c r="M84" i="41" s="1"/>
  <c r="N84" i="41" s="1"/>
  <c r="O84" i="41" s="1"/>
  <c r="P84" i="41" s="1"/>
  <c r="Q84" i="41" s="1"/>
  <c r="R84" i="41" s="1"/>
  <c r="F83" i="41"/>
  <c r="U104" i="35"/>
  <c r="U108" i="35"/>
  <c r="U112" i="35"/>
  <c r="F73" i="41"/>
  <c r="H76" i="41"/>
  <c r="I76" i="41" s="1"/>
  <c r="J76" i="41" s="1"/>
  <c r="K76" i="41" s="1"/>
  <c r="L76" i="41" s="1"/>
  <c r="G75" i="41"/>
  <c r="F38" i="41" l="1"/>
  <c r="H40" i="41"/>
  <c r="G38" i="41"/>
  <c r="E38" i="41"/>
  <c r="E40" i="41"/>
  <c r="H38" i="41"/>
  <c r="F84" i="41"/>
  <c r="Z111" i="35"/>
  <c r="Z112" i="35"/>
  <c r="T20" i="41"/>
  <c r="L3" i="41"/>
  <c r="T16" i="41"/>
  <c r="S5" i="41"/>
  <c r="R10" i="41"/>
  <c r="S10" i="41"/>
  <c r="S7" i="49"/>
  <c r="S13" i="49" s="1"/>
  <c r="F13" i="49" s="1"/>
  <c r="G7" i="49"/>
  <c r="G13" i="49" s="1"/>
  <c r="F4" i="49"/>
  <c r="F7" i="49" s="1"/>
  <c r="G30" i="48"/>
  <c r="G59" i="48" s="1"/>
  <c r="S4" i="48"/>
  <c r="G31" i="44"/>
  <c r="G61" i="44" s="1"/>
  <c r="F4" i="44"/>
  <c r="S17" i="44"/>
  <c r="F17" i="44" s="1"/>
  <c r="T19" i="41"/>
  <c r="U7" i="41"/>
  <c r="S6" i="41"/>
  <c r="S8" i="41"/>
  <c r="S15" i="41"/>
  <c r="S23" i="41"/>
  <c r="U4" i="41"/>
  <c r="R4" i="41"/>
  <c r="R9" i="41"/>
  <c r="U9" i="41"/>
  <c r="U23" i="41"/>
  <c r="T4" i="41"/>
  <c r="U15" i="41"/>
  <c r="R6" i="41"/>
  <c r="S7" i="41"/>
  <c r="S16" i="41"/>
  <c r="S20" i="41"/>
  <c r="S19" i="41"/>
  <c r="J3" i="41"/>
  <c r="U5" i="41"/>
  <c r="T9" i="41"/>
  <c r="U10" i="41"/>
  <c r="U8" i="41"/>
  <c r="T8" i="41"/>
  <c r="T15" i="41"/>
  <c r="T23" i="41"/>
  <c r="R5" i="41"/>
  <c r="T7" i="41"/>
  <c r="U6" i="41"/>
  <c r="R8" i="41"/>
  <c r="U16" i="41"/>
  <c r="U20" i="41"/>
  <c r="U19" i="41"/>
  <c r="N3" i="41"/>
  <c r="S4" i="41"/>
  <c r="T6" i="41"/>
  <c r="R7" i="41"/>
  <c r="R16" i="41"/>
  <c r="R20" i="41"/>
  <c r="R19" i="41"/>
  <c r="H3" i="41"/>
  <c r="T5" i="41"/>
  <c r="S9" i="41"/>
  <c r="T10" i="41"/>
  <c r="O26" i="47"/>
  <c r="H26" i="47"/>
  <c r="P25" i="47"/>
  <c r="P26" i="47" s="1"/>
  <c r="G26" i="47"/>
  <c r="H75" i="41"/>
  <c r="I75" i="41" s="1"/>
  <c r="J75" i="41" s="1"/>
  <c r="K75" i="41" s="1"/>
  <c r="L75" i="41" s="1"/>
  <c r="F5" i="41"/>
  <c r="F4" i="41"/>
  <c r="F6" i="41"/>
  <c r="F3" i="41"/>
  <c r="F8" i="41"/>
  <c r="G49" i="41"/>
  <c r="O6" i="41" l="1"/>
  <c r="I6" i="41"/>
  <c r="M6" i="41"/>
  <c r="K6" i="41"/>
  <c r="S3" i="41"/>
  <c r="J29" i="41"/>
  <c r="M5" i="41"/>
  <c r="I5" i="41"/>
  <c r="K5" i="41"/>
  <c r="O5" i="41"/>
  <c r="I8" i="41"/>
  <c r="M8" i="41"/>
  <c r="O8" i="41"/>
  <c r="K8" i="41"/>
  <c r="T3" i="41"/>
  <c r="L29" i="41"/>
  <c r="M4" i="41"/>
  <c r="I4" i="41"/>
  <c r="K4" i="41"/>
  <c r="O4" i="41"/>
  <c r="U3" i="41"/>
  <c r="N29" i="41"/>
  <c r="R3" i="41"/>
  <c r="Z115" i="35"/>
  <c r="Z116" i="35"/>
  <c r="S30" i="48"/>
  <c r="S59" i="48" s="1"/>
  <c r="F59" i="48" s="1"/>
  <c r="F4" i="48"/>
  <c r="F30" i="48" s="1"/>
  <c r="S31" i="44"/>
  <c r="F31" i="44"/>
  <c r="Z120" i="35" l="1"/>
  <c r="Z119" i="35"/>
  <c r="Z124" i="35" l="1"/>
  <c r="Z123" i="35"/>
  <c r="Z127" i="35" l="1"/>
  <c r="Z128" i="35"/>
  <c r="Z132" i="35" l="1"/>
  <c r="Z131" i="35"/>
  <c r="Z135" i="35" l="1"/>
  <c r="Z136" i="35"/>
  <c r="I65" i="9"/>
  <c r="Z139" i="35" l="1"/>
  <c r="Z141" i="35"/>
  <c r="Z144" i="35" s="1"/>
  <c r="P3" i="9"/>
  <c r="O3" i="9"/>
  <c r="H7" i="9" l="1"/>
  <c r="S3" i="9"/>
  <c r="E50" i="41" l="1"/>
  <c r="E15" i="41"/>
  <c r="F7" i="41"/>
  <c r="I71" i="35"/>
  <c r="R143" i="35"/>
  <c r="R142" i="35"/>
  <c r="R141" i="35"/>
  <c r="BS86" i="35"/>
  <c r="BQ86" i="35"/>
  <c r="I7" i="41" l="1"/>
  <c r="K7" i="41"/>
  <c r="M7" i="41"/>
  <c r="O7" i="41"/>
  <c r="X92" i="35"/>
  <c r="X95" i="35" s="1"/>
  <c r="F15" i="41"/>
  <c r="I15" i="41" l="1"/>
  <c r="E36" i="41" s="1"/>
  <c r="K15" i="41"/>
  <c r="F36" i="41" s="1"/>
  <c r="M15" i="41"/>
  <c r="G36" i="41" s="1"/>
  <c r="O15" i="41"/>
  <c r="H36" i="41" s="1"/>
  <c r="X100" i="35"/>
  <c r="X103" i="35" s="1"/>
  <c r="X96" i="35"/>
  <c r="X99" i="35" s="1"/>
  <c r="G52" i="41"/>
  <c r="H52" i="41" s="1"/>
  <c r="M76" i="41" s="1"/>
  <c r="N76" i="41" l="1"/>
  <c r="O76" i="41" s="1"/>
  <c r="P76" i="41" s="1"/>
  <c r="Q76" i="41" s="1"/>
  <c r="R76" i="41" s="1"/>
  <c r="X104" i="35"/>
  <c r="X107" i="35" s="1"/>
  <c r="I52" i="41"/>
  <c r="X116" i="35"/>
  <c r="F76" i="41" l="1"/>
  <c r="X108" i="35"/>
  <c r="X112" i="35" s="1"/>
  <c r="X128" i="35"/>
  <c r="X120" i="35"/>
  <c r="X119" i="35"/>
  <c r="X111" i="35" l="1"/>
  <c r="X132" i="35"/>
  <c r="X131" i="35"/>
  <c r="X115" i="35"/>
  <c r="X124" i="35"/>
  <c r="X123" i="35"/>
  <c r="X127" i="35" l="1"/>
  <c r="X135" i="35"/>
  <c r="X136" i="35"/>
  <c r="X139" i="35" l="1"/>
  <c r="X141" i="35"/>
  <c r="X144" i="35" s="1"/>
  <c r="I53" i="9" l="1"/>
  <c r="I54" i="9"/>
  <c r="D10" i="10" l="1"/>
  <c r="D12" i="10"/>
  <c r="D9" i="10"/>
  <c r="D11" i="10"/>
  <c r="D13" i="10"/>
  <c r="D23" i="10"/>
  <c r="D26" i="10"/>
  <c r="D6" i="10"/>
  <c r="D18" i="10"/>
  <c r="D7" i="10"/>
  <c r="D20" i="10"/>
  <c r="I3" i="41" l="1"/>
  <c r="E35" i="41" s="1"/>
  <c r="K3" i="41"/>
  <c r="F35" i="41" s="1"/>
  <c r="F42" i="41" s="1"/>
  <c r="M3" i="41"/>
  <c r="G35" i="41" s="1"/>
  <c r="G42" i="41" s="1"/>
  <c r="O3" i="41"/>
  <c r="H35" i="41" s="1"/>
  <c r="H42" i="41" s="1"/>
  <c r="E27" i="40"/>
  <c r="F27" i="40"/>
  <c r="G27" i="40"/>
  <c r="H27" i="40"/>
  <c r="D27" i="40"/>
  <c r="O25" i="40"/>
  <c r="O26" i="40"/>
  <c r="I24" i="40"/>
  <c r="I25" i="40"/>
  <c r="I26" i="40"/>
  <c r="I39" i="41" l="1"/>
  <c r="I40" i="41"/>
  <c r="C26" i="40"/>
  <c r="C25" i="40"/>
  <c r="AF27" i="40" l="1"/>
  <c r="AE27" i="40"/>
  <c r="AD27" i="40"/>
  <c r="AC27" i="40"/>
  <c r="AB27" i="40"/>
  <c r="Z27" i="40"/>
  <c r="Y27" i="40"/>
  <c r="X27" i="40"/>
  <c r="W27" i="40"/>
  <c r="V27" i="40"/>
  <c r="T27" i="40"/>
  <c r="S27" i="40"/>
  <c r="R27" i="40"/>
  <c r="Q27" i="40"/>
  <c r="P27" i="40"/>
  <c r="N27" i="40"/>
  <c r="M27" i="40"/>
  <c r="L27" i="40"/>
  <c r="K27" i="40"/>
  <c r="J27" i="40"/>
  <c r="O24" i="40"/>
  <c r="C24" i="40" s="1"/>
  <c r="U23" i="40"/>
  <c r="O23" i="40"/>
  <c r="I23" i="40"/>
  <c r="U22" i="40"/>
  <c r="O22" i="40"/>
  <c r="I22" i="40"/>
  <c r="U21" i="40"/>
  <c r="O21" i="40"/>
  <c r="I21" i="40"/>
  <c r="AG20" i="40"/>
  <c r="AA20" i="40"/>
  <c r="U20" i="40"/>
  <c r="O20" i="40"/>
  <c r="I20" i="40"/>
  <c r="AG19" i="40"/>
  <c r="AA19" i="40"/>
  <c r="U19" i="40"/>
  <c r="O19" i="40"/>
  <c r="I19" i="40"/>
  <c r="AG18" i="40"/>
  <c r="AA18" i="40"/>
  <c r="U18" i="40"/>
  <c r="O18" i="40"/>
  <c r="I18" i="40"/>
  <c r="AG17" i="40"/>
  <c r="AA17" i="40"/>
  <c r="U17" i="40"/>
  <c r="O17" i="40"/>
  <c r="I17" i="40"/>
  <c r="AG16" i="40"/>
  <c r="AA16" i="40"/>
  <c r="U16" i="40"/>
  <c r="O16" i="40"/>
  <c r="I16" i="40"/>
  <c r="AG15" i="40"/>
  <c r="AA15" i="40"/>
  <c r="U15" i="40"/>
  <c r="O15" i="40"/>
  <c r="I15" i="40"/>
  <c r="AG14" i="40"/>
  <c r="AA14" i="40"/>
  <c r="U14" i="40"/>
  <c r="O14" i="40"/>
  <c r="I14" i="40"/>
  <c r="O13" i="40"/>
  <c r="C13" i="40" s="1"/>
  <c r="AG12" i="40"/>
  <c r="AA12" i="40"/>
  <c r="U12" i="40"/>
  <c r="O12" i="40"/>
  <c r="I12" i="40"/>
  <c r="AG11" i="40"/>
  <c r="AA11" i="40"/>
  <c r="U11" i="40"/>
  <c r="O11" i="40"/>
  <c r="I11" i="40"/>
  <c r="AG10" i="40"/>
  <c r="AA10" i="40"/>
  <c r="U10" i="40"/>
  <c r="O10" i="40"/>
  <c r="I10" i="40"/>
  <c r="AG9" i="40"/>
  <c r="AA9" i="40"/>
  <c r="U9" i="40"/>
  <c r="O9" i="40"/>
  <c r="I9" i="40"/>
  <c r="AG8" i="40"/>
  <c r="AA8" i="40"/>
  <c r="U8" i="40"/>
  <c r="O8" i="40"/>
  <c r="I8" i="40"/>
  <c r="AG7" i="40"/>
  <c r="AA7" i="40"/>
  <c r="U7" i="40"/>
  <c r="O7" i="40"/>
  <c r="I7" i="40"/>
  <c r="AG6" i="40"/>
  <c r="AA6" i="40"/>
  <c r="U6" i="40"/>
  <c r="O6" i="40"/>
  <c r="I6" i="40"/>
  <c r="AG5" i="40"/>
  <c r="AA5" i="40"/>
  <c r="U5" i="40"/>
  <c r="O5" i="40"/>
  <c r="I5" i="40"/>
  <c r="AG4" i="40"/>
  <c r="AA4" i="40"/>
  <c r="U4" i="40"/>
  <c r="O4" i="40"/>
  <c r="I4" i="40"/>
  <c r="AG3" i="40"/>
  <c r="AA3" i="40"/>
  <c r="U3" i="40"/>
  <c r="O3" i="40"/>
  <c r="I3" i="40"/>
  <c r="E2" i="40"/>
  <c r="F2" i="40" s="1"/>
  <c r="G2" i="40" s="1"/>
  <c r="H2" i="40" s="1"/>
  <c r="J2" i="40" s="1"/>
  <c r="K2" i="40" s="1"/>
  <c r="L2" i="40" s="1"/>
  <c r="M2" i="40" s="1"/>
  <c r="N2" i="40" s="1"/>
  <c r="P2" i="40" s="1"/>
  <c r="Q2" i="40" s="1"/>
  <c r="R2" i="40" s="1"/>
  <c r="S2" i="40" s="1"/>
  <c r="T2" i="40" s="1"/>
  <c r="V2" i="40" s="1"/>
  <c r="W2" i="40" s="1"/>
  <c r="X2" i="40" s="1"/>
  <c r="Y2" i="40" s="1"/>
  <c r="Z2" i="40" s="1"/>
  <c r="AB2" i="40" s="1"/>
  <c r="AC2" i="40" s="1"/>
  <c r="AD2" i="40" s="1"/>
  <c r="AE2" i="40" s="1"/>
  <c r="AF2" i="40" s="1"/>
  <c r="C22" i="40" l="1"/>
  <c r="C21" i="40"/>
  <c r="C23" i="40"/>
  <c r="I27" i="40"/>
  <c r="C5" i="40"/>
  <c r="C8" i="40"/>
  <c r="C20" i="40"/>
  <c r="C16" i="40"/>
  <c r="C14" i="40"/>
  <c r="C19" i="40"/>
  <c r="C7" i="40"/>
  <c r="AG27" i="40"/>
  <c r="C9" i="40"/>
  <c r="C17" i="40"/>
  <c r="C6" i="40"/>
  <c r="C11" i="40"/>
  <c r="C15" i="40"/>
  <c r="C18" i="40"/>
  <c r="U27" i="40"/>
  <c r="C10" i="40"/>
  <c r="O27" i="40"/>
  <c r="C4" i="40"/>
  <c r="C12" i="40"/>
  <c r="C3" i="40"/>
  <c r="AA27" i="40"/>
  <c r="C27" i="40" l="1"/>
  <c r="Y2" i="9" l="1"/>
  <c r="Y3" i="9"/>
  <c r="Y4" i="9" l="1"/>
  <c r="U226" i="36" l="1"/>
  <c r="U225" i="36"/>
  <c r="U224" i="36"/>
  <c r="U223" i="36"/>
  <c r="U222" i="36"/>
  <c r="U221" i="36"/>
  <c r="U230" i="36" s="1"/>
  <c r="AP217" i="36"/>
  <c r="AK217" i="36"/>
  <c r="AG217" i="36"/>
  <c r="AC217" i="36"/>
  <c r="Y217" i="36"/>
  <c r="U217" i="36"/>
  <c r="AE214" i="36"/>
  <c r="AC214" i="36"/>
  <c r="X214" i="36"/>
  <c r="W214" i="36"/>
  <c r="V214" i="36"/>
  <c r="U214" i="36"/>
  <c r="AE213" i="36"/>
  <c r="AC213" i="36"/>
  <c r="AC215" i="36" s="1"/>
  <c r="X213" i="36"/>
  <c r="W213" i="36"/>
  <c r="V213" i="36"/>
  <c r="U213" i="36"/>
  <c r="T213" i="36"/>
  <c r="AF212" i="36"/>
  <c r="AG212" i="36" s="1"/>
  <c r="Y212" i="36"/>
  <c r="Y214" i="36" s="1"/>
  <c r="FB208" i="36"/>
  <c r="FA208" i="36"/>
  <c r="EZ208" i="36"/>
  <c r="EY208" i="36"/>
  <c r="EX208" i="36"/>
  <c r="EW208" i="36"/>
  <c r="EV208" i="36"/>
  <c r="EU208" i="36"/>
  <c r="ES208" i="36"/>
  <c r="ER208" i="36"/>
  <c r="EQ208" i="36"/>
  <c r="EP208" i="36"/>
  <c r="EO208" i="36"/>
  <c r="EN208" i="36"/>
  <c r="EM208" i="36"/>
  <c r="EL208" i="36"/>
  <c r="EK208" i="36"/>
  <c r="EJ208" i="36"/>
  <c r="EI208" i="36"/>
  <c r="EH208" i="36"/>
  <c r="EG208" i="36"/>
  <c r="EF208" i="36"/>
  <c r="EE208" i="36"/>
  <c r="ED208" i="36"/>
  <c r="EC208" i="36"/>
  <c r="EB208" i="36"/>
  <c r="EA208" i="36"/>
  <c r="DZ208" i="36"/>
  <c r="DY208" i="36"/>
  <c r="DX208" i="36"/>
  <c r="DW208" i="36"/>
  <c r="DV208" i="36"/>
  <c r="DU208" i="36"/>
  <c r="DT208" i="36"/>
  <c r="DS208" i="36"/>
  <c r="DR208" i="36"/>
  <c r="DQ208" i="36"/>
  <c r="DP208" i="36"/>
  <c r="DO208" i="36"/>
  <c r="DN208" i="36"/>
  <c r="DM208" i="36"/>
  <c r="DL208" i="36"/>
  <c r="DK208" i="36"/>
  <c r="DJ208" i="36"/>
  <c r="DI208" i="36"/>
  <c r="DH208" i="36"/>
  <c r="DG208" i="36"/>
  <c r="DF208" i="36"/>
  <c r="DE208" i="36"/>
  <c r="DD208" i="36"/>
  <c r="DC208" i="36"/>
  <c r="DB208" i="36"/>
  <c r="DA208" i="36"/>
  <c r="CZ208" i="36"/>
  <c r="CY208" i="36"/>
  <c r="CX208" i="36"/>
  <c r="CW208" i="36"/>
  <c r="CV208" i="36"/>
  <c r="CU208" i="36"/>
  <c r="CT208" i="36"/>
  <c r="CS208" i="36"/>
  <c r="CR208" i="36"/>
  <c r="CQ208" i="36"/>
  <c r="CP208" i="36"/>
  <c r="CO208" i="36"/>
  <c r="CN208" i="36"/>
  <c r="CM208" i="36"/>
  <c r="CL208" i="36"/>
  <c r="CK208" i="36"/>
  <c r="CJ208" i="36"/>
  <c r="CI208" i="36"/>
  <c r="CH208" i="36"/>
  <c r="CG208" i="36"/>
  <c r="CF208" i="36"/>
  <c r="CE208" i="36"/>
  <c r="CD208" i="36"/>
  <c r="CC208" i="36"/>
  <c r="CB208" i="36"/>
  <c r="CA208" i="36"/>
  <c r="BZ208" i="36"/>
  <c r="BY208" i="36"/>
  <c r="BX208" i="36"/>
  <c r="BW208" i="36"/>
  <c r="BV208" i="36"/>
  <c r="BU208" i="36"/>
  <c r="BT208" i="36"/>
  <c r="BS208" i="36"/>
  <c r="BR208" i="36"/>
  <c r="BQ208" i="36"/>
  <c r="BP208" i="36"/>
  <c r="BO208" i="36"/>
  <c r="BN208" i="36"/>
  <c r="BM208" i="36"/>
  <c r="BL208" i="36"/>
  <c r="BK208" i="36"/>
  <c r="BJ208" i="36"/>
  <c r="BI208" i="36"/>
  <c r="BH208" i="36"/>
  <c r="BG208" i="36"/>
  <c r="BF208" i="36"/>
  <c r="BE208" i="36"/>
  <c r="BD208" i="36"/>
  <c r="BC208" i="36"/>
  <c r="BB208" i="36"/>
  <c r="BA208" i="36"/>
  <c r="AZ208" i="36"/>
  <c r="AY208" i="36"/>
  <c r="AX208" i="36"/>
  <c r="AW208" i="36"/>
  <c r="AV208" i="36"/>
  <c r="AU208" i="36"/>
  <c r="AT208" i="36"/>
  <c r="AS208" i="36"/>
  <c r="AR208" i="36"/>
  <c r="AQ208" i="36"/>
  <c r="AP208" i="36"/>
  <c r="AO208" i="36"/>
  <c r="AN208" i="36"/>
  <c r="AM208" i="36"/>
  <c r="AL208" i="36"/>
  <c r="AK208" i="36"/>
  <c r="AJ208" i="36"/>
  <c r="AI208" i="36"/>
  <c r="AH208" i="36"/>
  <c r="AG208" i="36"/>
  <c r="AF208" i="36"/>
  <c r="AE208" i="36"/>
  <c r="AD208" i="36"/>
  <c r="AC208" i="36"/>
  <c r="AB208" i="36"/>
  <c r="AA208" i="36"/>
  <c r="Z208" i="36"/>
  <c r="Y208" i="36"/>
  <c r="X208" i="36"/>
  <c r="W208" i="36"/>
  <c r="V208" i="36"/>
  <c r="U208" i="36"/>
  <c r="FB207" i="36"/>
  <c r="FA207" i="36"/>
  <c r="EZ207" i="36"/>
  <c r="EY207" i="36"/>
  <c r="EX207" i="36"/>
  <c r="EW207" i="36"/>
  <c r="EW209" i="36" s="1"/>
  <c r="EV207" i="36"/>
  <c r="EU207" i="36"/>
  <c r="ET207" i="36"/>
  <c r="ET209" i="36" s="1"/>
  <c r="ES207" i="36"/>
  <c r="ER207" i="36"/>
  <c r="EQ207" i="36"/>
  <c r="EP207" i="36"/>
  <c r="EO207" i="36"/>
  <c r="EN207" i="36"/>
  <c r="EM207" i="36"/>
  <c r="EL207" i="36"/>
  <c r="EK207" i="36"/>
  <c r="EJ207" i="36"/>
  <c r="EI207" i="36"/>
  <c r="EH207" i="36"/>
  <c r="EG207" i="36"/>
  <c r="EF207" i="36"/>
  <c r="EE207" i="36"/>
  <c r="ED207" i="36"/>
  <c r="EC207" i="36"/>
  <c r="EB207" i="36"/>
  <c r="EA207" i="36"/>
  <c r="DZ207" i="36"/>
  <c r="DY207" i="36"/>
  <c r="DX207" i="36"/>
  <c r="DW207" i="36"/>
  <c r="DV207" i="36"/>
  <c r="DU207" i="36"/>
  <c r="DT207" i="36"/>
  <c r="DS207" i="36"/>
  <c r="DR207" i="36"/>
  <c r="DQ207" i="36"/>
  <c r="DP207" i="36"/>
  <c r="DO207" i="36"/>
  <c r="DN207" i="36"/>
  <c r="DM207" i="36"/>
  <c r="DL207" i="36"/>
  <c r="DK207" i="36"/>
  <c r="DJ207" i="36"/>
  <c r="DI207" i="36"/>
  <c r="DH207" i="36"/>
  <c r="DG207" i="36"/>
  <c r="DF207" i="36"/>
  <c r="DE207" i="36"/>
  <c r="DD207" i="36"/>
  <c r="DC207" i="36"/>
  <c r="DB207" i="36"/>
  <c r="DA207" i="36"/>
  <c r="CZ207" i="36"/>
  <c r="CY207" i="36"/>
  <c r="CX207" i="36"/>
  <c r="CW207" i="36"/>
  <c r="CV207" i="36"/>
  <c r="CU207" i="36"/>
  <c r="CT207" i="36"/>
  <c r="CS207" i="36"/>
  <c r="CR207" i="36"/>
  <c r="CQ207" i="36"/>
  <c r="CP207" i="36"/>
  <c r="CO207" i="36"/>
  <c r="CN207" i="36"/>
  <c r="CM207" i="36"/>
  <c r="CL207" i="36"/>
  <c r="CK207" i="36"/>
  <c r="CJ207" i="36"/>
  <c r="CI207" i="36"/>
  <c r="CH207" i="36"/>
  <c r="CG207" i="36"/>
  <c r="CF207" i="36"/>
  <c r="CE207" i="36"/>
  <c r="CD207" i="36"/>
  <c r="CC207" i="36"/>
  <c r="CB207" i="36"/>
  <c r="CA207" i="36"/>
  <c r="BZ207" i="36"/>
  <c r="BY207" i="36"/>
  <c r="BX207" i="36"/>
  <c r="BW207" i="36"/>
  <c r="BV207" i="36"/>
  <c r="BU207" i="36"/>
  <c r="BT207" i="36"/>
  <c r="BS207" i="36"/>
  <c r="BR207" i="36"/>
  <c r="BQ207" i="36"/>
  <c r="BP207" i="36"/>
  <c r="BO207" i="36"/>
  <c r="BN207" i="36"/>
  <c r="BM207" i="36"/>
  <c r="BL207" i="36"/>
  <c r="BK207" i="36"/>
  <c r="BJ207" i="36"/>
  <c r="BI207" i="36"/>
  <c r="BH207" i="36"/>
  <c r="BG207" i="36"/>
  <c r="BF207" i="36"/>
  <c r="BE207" i="36"/>
  <c r="BD207" i="36"/>
  <c r="BC207" i="36"/>
  <c r="BB207" i="36"/>
  <c r="BA207" i="36"/>
  <c r="AZ207" i="36"/>
  <c r="AY207" i="36"/>
  <c r="AX207" i="36"/>
  <c r="AW207" i="36"/>
  <c r="AV207" i="36"/>
  <c r="AU207" i="36"/>
  <c r="AT207" i="36"/>
  <c r="AS207" i="36"/>
  <c r="AR207" i="36"/>
  <c r="AQ207" i="36"/>
  <c r="AP207" i="36"/>
  <c r="AO207" i="36"/>
  <c r="AN207" i="36"/>
  <c r="AM207" i="36"/>
  <c r="AL207" i="36"/>
  <c r="AK207" i="36"/>
  <c r="AJ207" i="36"/>
  <c r="AI207" i="36"/>
  <c r="AH207" i="36"/>
  <c r="AG207" i="36"/>
  <c r="AF207" i="36"/>
  <c r="AE207" i="36"/>
  <c r="AD207" i="36"/>
  <c r="AC207" i="36"/>
  <c r="AB207" i="36"/>
  <c r="AB212" i="36" s="1"/>
  <c r="AA207" i="36"/>
  <c r="Z207" i="36"/>
  <c r="Y207" i="36"/>
  <c r="X207" i="36"/>
  <c r="W207" i="36"/>
  <c r="V207" i="36"/>
  <c r="U207" i="36"/>
  <c r="S207" i="36"/>
  <c r="H206" i="36"/>
  <c r="I206" i="36" s="1"/>
  <c r="H205" i="36"/>
  <c r="I205" i="36" s="1"/>
  <c r="H204" i="36"/>
  <c r="I204" i="36" s="1"/>
  <c r="H203" i="36"/>
  <c r="I203" i="36" s="1"/>
  <c r="H202" i="36"/>
  <c r="I202" i="36" s="1"/>
  <c r="H201" i="36"/>
  <c r="I201" i="36" s="1"/>
  <c r="I200" i="36"/>
  <c r="E200" i="36"/>
  <c r="H199" i="36"/>
  <c r="I199" i="36" s="1"/>
  <c r="H198" i="36"/>
  <c r="I198" i="36" s="1"/>
  <c r="H197" i="36"/>
  <c r="I197" i="36" s="1"/>
  <c r="H196" i="36"/>
  <c r="I196" i="36" s="1"/>
  <c r="H195" i="36"/>
  <c r="I195" i="36" s="1"/>
  <c r="H194" i="36"/>
  <c r="I194" i="36" s="1"/>
  <c r="H193" i="36"/>
  <c r="I193" i="36" s="1"/>
  <c r="H192" i="36"/>
  <c r="I192" i="36" s="1"/>
  <c r="H191" i="36"/>
  <c r="I191" i="36" s="1"/>
  <c r="H190" i="36"/>
  <c r="I190" i="36" s="1"/>
  <c r="H189" i="36"/>
  <c r="I189" i="36" s="1"/>
  <c r="H188" i="36"/>
  <c r="I188" i="36" s="1"/>
  <c r="I187" i="36"/>
  <c r="E187" i="36"/>
  <c r="H186" i="36"/>
  <c r="I186" i="36" s="1"/>
  <c r="H185" i="36"/>
  <c r="I185" i="36" s="1"/>
  <c r="H184" i="36"/>
  <c r="I184" i="36" s="1"/>
  <c r="H183" i="36"/>
  <c r="I183" i="36" s="1"/>
  <c r="H182" i="36"/>
  <c r="I182" i="36" s="1"/>
  <c r="H181" i="36"/>
  <c r="I181" i="36" s="1"/>
  <c r="H180" i="36"/>
  <c r="I180" i="36" s="1"/>
  <c r="I179" i="36"/>
  <c r="H178" i="36"/>
  <c r="I178" i="36" s="1"/>
  <c r="H177" i="36"/>
  <c r="I177" i="36" s="1"/>
  <c r="H176" i="36"/>
  <c r="I176" i="36" s="1"/>
  <c r="H175" i="36"/>
  <c r="I175" i="36" s="1"/>
  <c r="I174" i="36"/>
  <c r="E174" i="36"/>
  <c r="H173" i="36"/>
  <c r="I173" i="36" s="1"/>
  <c r="H172" i="36"/>
  <c r="I172" i="36" s="1"/>
  <c r="H171" i="36"/>
  <c r="I171" i="36" s="1"/>
  <c r="H170" i="36"/>
  <c r="I170" i="36" s="1"/>
  <c r="H169" i="36"/>
  <c r="I169" i="36" s="1"/>
  <c r="H168" i="36"/>
  <c r="I168" i="36" s="1"/>
  <c r="H167" i="36"/>
  <c r="I167" i="36" s="1"/>
  <c r="H166" i="36"/>
  <c r="I166" i="36" s="1"/>
  <c r="H165" i="36"/>
  <c r="I165" i="36" s="1"/>
  <c r="H164" i="36"/>
  <c r="I164" i="36" s="1"/>
  <c r="H163" i="36"/>
  <c r="I163" i="36" s="1"/>
  <c r="H162" i="36"/>
  <c r="I162" i="36" s="1"/>
  <c r="H161" i="36"/>
  <c r="I161" i="36" s="1"/>
  <c r="I160" i="36"/>
  <c r="E160" i="36"/>
  <c r="B160" i="36"/>
  <c r="B174" i="36" s="1"/>
  <c r="B187" i="36" s="1"/>
  <c r="B200" i="36" s="1"/>
  <c r="H159" i="36"/>
  <c r="I159" i="36" s="1"/>
  <c r="H158" i="36"/>
  <c r="I158" i="36" s="1"/>
  <c r="H157" i="36"/>
  <c r="I157" i="36" s="1"/>
  <c r="H156" i="36"/>
  <c r="I156" i="36" s="1"/>
  <c r="H155" i="36"/>
  <c r="I155" i="36" s="1"/>
  <c r="H154" i="36"/>
  <c r="I154" i="36" s="1"/>
  <c r="H153" i="36"/>
  <c r="I153" i="36" s="1"/>
  <c r="H152" i="36"/>
  <c r="I152" i="36" s="1"/>
  <c r="H151" i="36"/>
  <c r="I151" i="36" s="1"/>
  <c r="H150" i="36"/>
  <c r="I150" i="36" s="1"/>
  <c r="H149" i="36"/>
  <c r="I149" i="36" s="1"/>
  <c r="I148" i="36"/>
  <c r="E148" i="36"/>
  <c r="H147" i="36"/>
  <c r="I147" i="36" s="1"/>
  <c r="H146" i="36"/>
  <c r="I146" i="36" s="1"/>
  <c r="H145" i="36"/>
  <c r="I145" i="36" s="1"/>
  <c r="H144" i="36"/>
  <c r="I144" i="36" s="1"/>
  <c r="H143" i="36"/>
  <c r="I143" i="36" s="1"/>
  <c r="H142" i="36"/>
  <c r="I142" i="36" s="1"/>
  <c r="H141" i="36"/>
  <c r="I141" i="36" s="1"/>
  <c r="H140" i="36"/>
  <c r="I140" i="36" s="1"/>
  <c r="H139" i="36"/>
  <c r="I139" i="36" s="1"/>
  <c r="B139" i="36"/>
  <c r="B150" i="36" s="1"/>
  <c r="B162" i="36" s="1"/>
  <c r="B176" i="36" s="1"/>
  <c r="B189" i="36" s="1"/>
  <c r="B202" i="36" s="1"/>
  <c r="H138" i="36"/>
  <c r="I138" i="36" s="1"/>
  <c r="B138" i="36"/>
  <c r="B149" i="36" s="1"/>
  <c r="B161" i="36" s="1"/>
  <c r="B175" i="36" s="1"/>
  <c r="B188" i="36" s="1"/>
  <c r="B201" i="36" s="1"/>
  <c r="I137" i="36"/>
  <c r="E137" i="36"/>
  <c r="H136" i="36"/>
  <c r="I136" i="36" s="1"/>
  <c r="H135" i="36"/>
  <c r="I135" i="36" s="1"/>
  <c r="H134" i="36"/>
  <c r="I134" i="36" s="1"/>
  <c r="H133" i="36"/>
  <c r="I133" i="36" s="1"/>
  <c r="H132" i="36"/>
  <c r="I132" i="36" s="1"/>
  <c r="H131" i="36"/>
  <c r="I131" i="36" s="1"/>
  <c r="H130" i="36"/>
  <c r="I130" i="36" s="1"/>
  <c r="H129" i="36"/>
  <c r="I129" i="36" s="1"/>
  <c r="B129" i="36"/>
  <c r="B142" i="36" s="1"/>
  <c r="B153" i="36" s="1"/>
  <c r="B165" i="36" s="1"/>
  <c r="B179" i="36" s="1"/>
  <c r="B192" i="36" s="1"/>
  <c r="B205" i="36" s="1"/>
  <c r="H128" i="36"/>
  <c r="I128" i="36" s="1"/>
  <c r="B128" i="36"/>
  <c r="B141" i="36" s="1"/>
  <c r="B152" i="36" s="1"/>
  <c r="B164" i="36" s="1"/>
  <c r="B178" i="36" s="1"/>
  <c r="B191" i="36" s="1"/>
  <c r="B204" i="36" s="1"/>
  <c r="H127" i="36"/>
  <c r="I127" i="36" s="1"/>
  <c r="B127" i="36"/>
  <c r="B140" i="36" s="1"/>
  <c r="B151" i="36" s="1"/>
  <c r="B163" i="36" s="1"/>
  <c r="B177" i="36" s="1"/>
  <c r="B190" i="36" s="1"/>
  <c r="B203" i="36" s="1"/>
  <c r="H126" i="36"/>
  <c r="I126" i="36" s="1"/>
  <c r="H125" i="36"/>
  <c r="I125" i="36" s="1"/>
  <c r="I124" i="36"/>
  <c r="E124" i="36"/>
  <c r="H123" i="36"/>
  <c r="I123" i="36" s="1"/>
  <c r="H122" i="36"/>
  <c r="I122" i="36" s="1"/>
  <c r="H121" i="36"/>
  <c r="I121" i="36" s="1"/>
  <c r="H120" i="36"/>
  <c r="I120" i="36" s="1"/>
  <c r="H119" i="36"/>
  <c r="I119" i="36" s="1"/>
  <c r="H118" i="36"/>
  <c r="I118" i="36" s="1"/>
  <c r="H117" i="36"/>
  <c r="I117" i="36" s="1"/>
  <c r="H116" i="36"/>
  <c r="I116" i="36" s="1"/>
  <c r="H115" i="36"/>
  <c r="I115" i="36" s="1"/>
  <c r="H114" i="36"/>
  <c r="I114" i="36" s="1"/>
  <c r="H113" i="36"/>
  <c r="I113" i="36" s="1"/>
  <c r="H112" i="36"/>
  <c r="I112" i="36" s="1"/>
  <c r="H111" i="36"/>
  <c r="I111" i="36" s="1"/>
  <c r="H110" i="36"/>
  <c r="I110" i="36" s="1"/>
  <c r="H109" i="36"/>
  <c r="I109" i="36" s="1"/>
  <c r="H108" i="36"/>
  <c r="I108" i="36" s="1"/>
  <c r="H107" i="36"/>
  <c r="I107" i="36" s="1"/>
  <c r="H106" i="36"/>
  <c r="I106" i="36" s="1"/>
  <c r="H105" i="36"/>
  <c r="I105" i="36" s="1"/>
  <c r="H104" i="36"/>
  <c r="I104" i="36" s="1"/>
  <c r="H103" i="36"/>
  <c r="I103" i="36" s="1"/>
  <c r="H102" i="36"/>
  <c r="I102" i="36" s="1"/>
  <c r="H101" i="36"/>
  <c r="I101" i="36" s="1"/>
  <c r="H100" i="36"/>
  <c r="I100" i="36" s="1"/>
  <c r="H99" i="36"/>
  <c r="I99" i="36" s="1"/>
  <c r="H98" i="36"/>
  <c r="I98" i="36" s="1"/>
  <c r="H97" i="36"/>
  <c r="I97" i="36" s="1"/>
  <c r="H96" i="36"/>
  <c r="I96" i="36" s="1"/>
  <c r="H95" i="36"/>
  <c r="I95" i="36" s="1"/>
  <c r="H94" i="36"/>
  <c r="I94" i="36" s="1"/>
  <c r="H93" i="36"/>
  <c r="I93" i="36" s="1"/>
  <c r="H92" i="36"/>
  <c r="I92" i="36" s="1"/>
  <c r="H91" i="36"/>
  <c r="I91" i="36" s="1"/>
  <c r="H90" i="36"/>
  <c r="I90" i="36" s="1"/>
  <c r="H89" i="36"/>
  <c r="I89" i="36" s="1"/>
  <c r="H88" i="36"/>
  <c r="I88" i="36" s="1"/>
  <c r="H87" i="36"/>
  <c r="I87" i="36" s="1"/>
  <c r="H86" i="36"/>
  <c r="I86" i="36" s="1"/>
  <c r="H85" i="36"/>
  <c r="I85" i="36" s="1"/>
  <c r="H84" i="36"/>
  <c r="I84" i="36" s="1"/>
  <c r="H83" i="36"/>
  <c r="I83" i="36" s="1"/>
  <c r="H82" i="36"/>
  <c r="I82" i="36" s="1"/>
  <c r="H81" i="36"/>
  <c r="I81" i="36" s="1"/>
  <c r="H80" i="36"/>
  <c r="I80" i="36" s="1"/>
  <c r="H79" i="36"/>
  <c r="I79" i="36" s="1"/>
  <c r="H78" i="36"/>
  <c r="I78" i="36" s="1"/>
  <c r="H77" i="36"/>
  <c r="I77" i="36" s="1"/>
  <c r="H76" i="36"/>
  <c r="I76" i="36" s="1"/>
  <c r="H75" i="36"/>
  <c r="I75" i="36" s="1"/>
  <c r="H74" i="36"/>
  <c r="I74" i="36" s="1"/>
  <c r="H73" i="36"/>
  <c r="I73" i="36" s="1"/>
  <c r="E73" i="36"/>
  <c r="E74" i="36" s="1"/>
  <c r="E75" i="36" s="1"/>
  <c r="H72" i="36"/>
  <c r="I72" i="36" s="1"/>
  <c r="H71" i="36"/>
  <c r="I71" i="36" s="1"/>
  <c r="H70" i="36"/>
  <c r="I70" i="36" s="1"/>
  <c r="H69" i="36"/>
  <c r="I69" i="36" s="1"/>
  <c r="H68" i="36"/>
  <c r="I68" i="36" s="1"/>
  <c r="H67" i="36"/>
  <c r="I67" i="36" s="1"/>
  <c r="H66" i="36"/>
  <c r="I66" i="36" s="1"/>
  <c r="H65" i="36"/>
  <c r="I65" i="36" s="1"/>
  <c r="H64" i="36"/>
  <c r="I64" i="36" s="1"/>
  <c r="H63" i="36"/>
  <c r="I63" i="36" s="1"/>
  <c r="H62" i="36"/>
  <c r="I62" i="36" s="1"/>
  <c r="H61" i="36"/>
  <c r="I61" i="36" s="1"/>
  <c r="H60" i="36"/>
  <c r="I60" i="36" s="1"/>
  <c r="H59" i="36"/>
  <c r="I59" i="36" s="1"/>
  <c r="H58" i="36"/>
  <c r="I58" i="36" s="1"/>
  <c r="H57" i="36"/>
  <c r="I57" i="36" s="1"/>
  <c r="E57" i="36"/>
  <c r="H56" i="36"/>
  <c r="I56" i="36" s="1"/>
  <c r="H55" i="36"/>
  <c r="I55" i="36" s="1"/>
  <c r="E55" i="36"/>
  <c r="H54" i="36"/>
  <c r="I54" i="36" s="1"/>
  <c r="H53" i="36"/>
  <c r="I53" i="36" s="1"/>
  <c r="E53" i="36"/>
  <c r="H52" i="36"/>
  <c r="I52" i="36" s="1"/>
  <c r="E52" i="36"/>
  <c r="K1" i="36"/>
  <c r="L1" i="36" s="1"/>
  <c r="M1" i="36" s="1"/>
  <c r="N1" i="36" s="1"/>
  <c r="O1" i="36" s="1"/>
  <c r="P1" i="36" s="1"/>
  <c r="Q1" i="36" s="1"/>
  <c r="R1" i="36" s="1"/>
  <c r="S1" i="36" s="1"/>
  <c r="T1" i="36" s="1"/>
  <c r="U1" i="36" s="1"/>
  <c r="V1" i="36" s="1"/>
  <c r="W1" i="36" s="1"/>
  <c r="X1" i="36" s="1"/>
  <c r="Y1" i="36" s="1"/>
  <c r="Z1" i="36" s="1"/>
  <c r="AA1" i="36" s="1"/>
  <c r="AB1" i="36" s="1"/>
  <c r="AC1" i="36" s="1"/>
  <c r="AD1" i="36" s="1"/>
  <c r="AE1" i="36" s="1"/>
  <c r="AF1" i="36" s="1"/>
  <c r="AG1" i="36" s="1"/>
  <c r="AH1" i="36" s="1"/>
  <c r="AI1" i="36" s="1"/>
  <c r="AJ1" i="36" s="1"/>
  <c r="AK1" i="36" s="1"/>
  <c r="AL1" i="36" s="1"/>
  <c r="AM1" i="36" s="1"/>
  <c r="AN1" i="36" s="1"/>
  <c r="AO1" i="36" s="1"/>
  <c r="AP1" i="36" s="1"/>
  <c r="AQ1" i="36" s="1"/>
  <c r="AR1" i="36" s="1"/>
  <c r="AS1" i="36" s="1"/>
  <c r="AT1" i="36" s="1"/>
  <c r="AU1" i="36" s="1"/>
  <c r="AV1" i="36" s="1"/>
  <c r="AW1" i="36" s="1"/>
  <c r="AX1" i="36" s="1"/>
  <c r="AY1" i="36" s="1"/>
  <c r="AZ1" i="36" s="1"/>
  <c r="BA1" i="36" s="1"/>
  <c r="BB1" i="36" s="1"/>
  <c r="BC1" i="36" s="1"/>
  <c r="BD1" i="36" s="1"/>
  <c r="BE1" i="36" s="1"/>
  <c r="BF1" i="36" s="1"/>
  <c r="BG1" i="36" s="1"/>
  <c r="BH1" i="36" s="1"/>
  <c r="BI1" i="36" s="1"/>
  <c r="BJ1" i="36" s="1"/>
  <c r="BK1" i="36" s="1"/>
  <c r="BL1" i="36" s="1"/>
  <c r="BM1" i="36" s="1"/>
  <c r="BN1" i="36" s="1"/>
  <c r="BO1" i="36" s="1"/>
  <c r="BP1" i="36" s="1"/>
  <c r="BQ1" i="36" s="1"/>
  <c r="BR1" i="36" s="1"/>
  <c r="BS1" i="36" s="1"/>
  <c r="BT1" i="36" s="1"/>
  <c r="BU1" i="36" s="1"/>
  <c r="BV1" i="36" s="1"/>
  <c r="BW1" i="36" s="1"/>
  <c r="BX1" i="36" s="1"/>
  <c r="BY1" i="36" s="1"/>
  <c r="BZ1" i="36" s="1"/>
  <c r="CA1" i="36" s="1"/>
  <c r="CB1" i="36" s="1"/>
  <c r="CC1" i="36" s="1"/>
  <c r="CD1" i="36" s="1"/>
  <c r="CE1" i="36" s="1"/>
  <c r="CF1" i="36" s="1"/>
  <c r="CG1" i="36" s="1"/>
  <c r="CH1" i="36" s="1"/>
  <c r="CI1" i="36" s="1"/>
  <c r="CJ1" i="36" s="1"/>
  <c r="CK1" i="36" s="1"/>
  <c r="CL1" i="36" s="1"/>
  <c r="CM1" i="36" s="1"/>
  <c r="CN1" i="36" s="1"/>
  <c r="CO1" i="36" s="1"/>
  <c r="CP1" i="36" s="1"/>
  <c r="CQ1" i="36" s="1"/>
  <c r="CR1" i="36" s="1"/>
  <c r="CS1" i="36" s="1"/>
  <c r="CT1" i="36" s="1"/>
  <c r="CU1" i="36" s="1"/>
  <c r="CV1" i="36" s="1"/>
  <c r="CW1" i="36" s="1"/>
  <c r="CX1" i="36" s="1"/>
  <c r="CY1" i="36" s="1"/>
  <c r="CZ1" i="36" s="1"/>
  <c r="DA1" i="36" s="1"/>
  <c r="DB1" i="36" s="1"/>
  <c r="DC1" i="36" s="1"/>
  <c r="DD1" i="36" s="1"/>
  <c r="DE1" i="36" s="1"/>
  <c r="DF1" i="36" s="1"/>
  <c r="DG1" i="36" s="1"/>
  <c r="DH1" i="36" s="1"/>
  <c r="DI1" i="36" s="1"/>
  <c r="DJ1" i="36" s="1"/>
  <c r="DK1" i="36" s="1"/>
  <c r="DL1" i="36" s="1"/>
  <c r="DM1" i="36" s="1"/>
  <c r="DN1" i="36" s="1"/>
  <c r="DO1" i="36" s="1"/>
  <c r="DP1" i="36" s="1"/>
  <c r="DQ1" i="36" s="1"/>
  <c r="DR1" i="36" s="1"/>
  <c r="DS1" i="36" s="1"/>
  <c r="DT1" i="36" s="1"/>
  <c r="DU1" i="36" s="1"/>
  <c r="DV1" i="36" s="1"/>
  <c r="DW1" i="36" s="1"/>
  <c r="DX1" i="36" s="1"/>
  <c r="DY1" i="36" s="1"/>
  <c r="DZ1" i="36" s="1"/>
  <c r="EA1" i="36" s="1"/>
  <c r="EB1" i="36" s="1"/>
  <c r="EC1" i="36" s="1"/>
  <c r="ED1" i="36" s="1"/>
  <c r="EE1" i="36" s="1"/>
  <c r="EF1" i="36" s="1"/>
  <c r="EG1" i="36" s="1"/>
  <c r="EH1" i="36" s="1"/>
  <c r="EI1" i="36" s="1"/>
  <c r="EJ1" i="36" s="1"/>
  <c r="EK1" i="36" s="1"/>
  <c r="EL1" i="36" s="1"/>
  <c r="EM1" i="36" s="1"/>
  <c r="EN1" i="36" s="1"/>
  <c r="EO1" i="36" s="1"/>
  <c r="EP1" i="36" s="1"/>
  <c r="EQ1" i="36" s="1"/>
  <c r="ER1" i="36" s="1"/>
  <c r="ES1" i="36" s="1"/>
  <c r="ET1" i="36" s="1"/>
  <c r="EU1" i="36" s="1"/>
  <c r="EV1" i="36" s="1"/>
  <c r="EW1" i="36" s="1"/>
  <c r="EX1" i="36" s="1"/>
  <c r="EY1" i="36" s="1"/>
  <c r="EZ1" i="36" s="1"/>
  <c r="FA1" i="36" s="1"/>
  <c r="FB1" i="36" s="1"/>
  <c r="G51" i="41" l="1"/>
  <c r="H51" i="41" s="1"/>
  <c r="M75" i="41" s="1"/>
  <c r="W92" i="35"/>
  <c r="X209" i="36"/>
  <c r="AF209" i="36"/>
  <c r="AN209" i="36"/>
  <c r="AV209" i="36"/>
  <c r="BD209" i="36"/>
  <c r="BL209" i="36"/>
  <c r="BT209" i="36"/>
  <c r="CB209" i="36"/>
  <c r="CJ209" i="36"/>
  <c r="CR209" i="36"/>
  <c r="CZ209" i="36"/>
  <c r="DH209" i="36"/>
  <c r="DP209" i="36"/>
  <c r="DX209" i="36"/>
  <c r="EF209" i="36"/>
  <c r="EN209" i="36"/>
  <c r="EV209" i="36"/>
  <c r="AJ209" i="36"/>
  <c r="U209" i="36"/>
  <c r="AC209" i="36"/>
  <c r="AK209" i="36"/>
  <c r="AS209" i="36"/>
  <c r="BA209" i="36"/>
  <c r="BI209" i="36"/>
  <c r="BQ209" i="36"/>
  <c r="BY209" i="36"/>
  <c r="CG209" i="36"/>
  <c r="FA209" i="36"/>
  <c r="Y209" i="36"/>
  <c r="AG209" i="36"/>
  <c r="AO209" i="36"/>
  <c r="AW209" i="36"/>
  <c r="BE209" i="36"/>
  <c r="BM209" i="36"/>
  <c r="BU209" i="36"/>
  <c r="CC209" i="36"/>
  <c r="CK209" i="36"/>
  <c r="CS209" i="36"/>
  <c r="DA209" i="36"/>
  <c r="DI209" i="36"/>
  <c r="DQ209" i="36"/>
  <c r="DY209" i="36"/>
  <c r="EG209" i="36"/>
  <c r="EO209" i="36"/>
  <c r="EX209" i="36"/>
  <c r="AF214" i="36"/>
  <c r="Z209" i="36"/>
  <c r="AH209" i="36"/>
  <c r="AP209" i="36"/>
  <c r="AX209" i="36"/>
  <c r="BF209" i="36"/>
  <c r="BN209" i="36"/>
  <c r="BV209" i="36"/>
  <c r="CD209" i="36"/>
  <c r="CL209" i="36"/>
  <c r="CT209" i="36"/>
  <c r="DB209" i="36"/>
  <c r="DJ209" i="36"/>
  <c r="DR209" i="36"/>
  <c r="DZ209" i="36"/>
  <c r="EH209" i="36"/>
  <c r="EP209" i="36"/>
  <c r="AR209" i="36"/>
  <c r="AZ209" i="36"/>
  <c r="BH209" i="36"/>
  <c r="BP209" i="36"/>
  <c r="BX209" i="36"/>
  <c r="CF209" i="36"/>
  <c r="CN209" i="36"/>
  <c r="CV209" i="36"/>
  <c r="DD209" i="36"/>
  <c r="DL209" i="36"/>
  <c r="DT209" i="36"/>
  <c r="EB209" i="36"/>
  <c r="EJ209" i="36"/>
  <c r="CO209" i="36"/>
  <c r="CW209" i="36"/>
  <c r="DE209" i="36"/>
  <c r="DM209" i="36"/>
  <c r="DU209" i="36"/>
  <c r="EC209" i="36"/>
  <c r="EK209" i="36"/>
  <c r="ES209" i="36"/>
  <c r="FB209" i="36"/>
  <c r="AF213" i="36"/>
  <c r="AA209" i="36"/>
  <c r="AI209" i="36"/>
  <c r="AQ209" i="36"/>
  <c r="AY209" i="36"/>
  <c r="BG209" i="36"/>
  <c r="BO209" i="36"/>
  <c r="BW209" i="36"/>
  <c r="CE209" i="36"/>
  <c r="CM209" i="36"/>
  <c r="CU209" i="36"/>
  <c r="DC209" i="36"/>
  <c r="DK209" i="36"/>
  <c r="DS209" i="36"/>
  <c r="EA209" i="36"/>
  <c r="ER209" i="36"/>
  <c r="EZ209" i="36"/>
  <c r="EI209" i="36"/>
  <c r="EQ209" i="36"/>
  <c r="EY209" i="36"/>
  <c r="H208" i="36"/>
  <c r="T215" i="36"/>
  <c r="V209" i="36"/>
  <c r="AL209" i="36"/>
  <c r="AT209" i="36"/>
  <c r="BB209" i="36"/>
  <c r="BJ209" i="36"/>
  <c r="BR209" i="36"/>
  <c r="BZ209" i="36"/>
  <c r="CH209" i="36"/>
  <c r="CP209" i="36"/>
  <c r="CX209" i="36"/>
  <c r="DF209" i="36"/>
  <c r="DN209" i="36"/>
  <c r="DV209" i="36"/>
  <c r="ED209" i="36"/>
  <c r="EL209" i="36"/>
  <c r="W209" i="36"/>
  <c r="AE209" i="36"/>
  <c r="AM209" i="36"/>
  <c r="AU209" i="36"/>
  <c r="BC209" i="36"/>
  <c r="BK209" i="36"/>
  <c r="BS209" i="36"/>
  <c r="CA209" i="36"/>
  <c r="CI209" i="36"/>
  <c r="CQ209" i="36"/>
  <c r="CY209" i="36"/>
  <c r="DG209" i="36"/>
  <c r="DO209" i="36"/>
  <c r="DW209" i="36"/>
  <c r="EE209" i="36"/>
  <c r="EM209" i="36"/>
  <c r="EU209" i="36"/>
  <c r="AD209" i="36"/>
  <c r="AD212" i="36"/>
  <c r="AG214" i="36"/>
  <c r="AG213" i="36"/>
  <c r="AH212" i="36"/>
  <c r="H207" i="36"/>
  <c r="AB214" i="36"/>
  <c r="AB213" i="36"/>
  <c r="AB209" i="36"/>
  <c r="Z212" i="36"/>
  <c r="Y213" i="36"/>
  <c r="Y215" i="36" s="1"/>
  <c r="N75" i="41" l="1"/>
  <c r="O75" i="41" s="1"/>
  <c r="P75" i="41" s="1"/>
  <c r="Q75" i="41" s="1"/>
  <c r="R75" i="41" s="1"/>
  <c r="W95" i="35"/>
  <c r="W96" i="35"/>
  <c r="W104" i="35"/>
  <c r="H209" i="36"/>
  <c r="AH213" i="36"/>
  <c r="AG215" i="36" s="1"/>
  <c r="AI212" i="36"/>
  <c r="AH214" i="36"/>
  <c r="Z213" i="36"/>
  <c r="AA212" i="36"/>
  <c r="Z214" i="36"/>
  <c r="AD214" i="36"/>
  <c r="AD213" i="36"/>
  <c r="F75" i="41" l="1"/>
  <c r="W108" i="35"/>
  <c r="W107" i="35"/>
  <c r="I51" i="41"/>
  <c r="W128" i="35" s="1"/>
  <c r="W116" i="35"/>
  <c r="W100" i="35"/>
  <c r="W103" i="35" s="1"/>
  <c r="W99" i="35"/>
  <c r="AA213" i="36"/>
  <c r="AA214" i="36"/>
  <c r="AI213" i="36"/>
  <c r="AJ212" i="36"/>
  <c r="AI214" i="36"/>
  <c r="W120" i="35" l="1"/>
  <c r="W119" i="35"/>
  <c r="W131" i="35"/>
  <c r="W132" i="35"/>
  <c r="W111" i="35"/>
  <c r="W112" i="35"/>
  <c r="W115" i="35" s="1"/>
  <c r="AK212" i="36"/>
  <c r="AJ214" i="36"/>
  <c r="AJ213" i="36"/>
  <c r="W136" i="35" l="1"/>
  <c r="W135" i="35"/>
  <c r="W123" i="35"/>
  <c r="W124" i="35"/>
  <c r="W127" i="35" s="1"/>
  <c r="AL212" i="36"/>
  <c r="AK214" i="36"/>
  <c r="AK213" i="36"/>
  <c r="AK215" i="36" s="1"/>
  <c r="W139" i="35" l="1"/>
  <c r="W141" i="35"/>
  <c r="W144" i="35" s="1"/>
  <c r="AL214" i="36"/>
  <c r="AL213" i="36"/>
  <c r="AM212" i="36"/>
  <c r="AM214" i="36" l="1"/>
  <c r="AM213" i="36"/>
  <c r="AN212" i="36"/>
  <c r="AN214" i="36" l="1"/>
  <c r="AN213" i="36"/>
  <c r="AO212" i="36"/>
  <c r="AO214" i="36" l="1"/>
  <c r="AO213" i="36"/>
  <c r="AP212" i="36"/>
  <c r="AP213" i="36" l="1"/>
  <c r="AP215" i="36" s="1"/>
  <c r="AQ212" i="36"/>
  <c r="AP214" i="36"/>
  <c r="AQ213" i="36" l="1"/>
  <c r="AR212" i="36"/>
  <c r="AQ214" i="36"/>
  <c r="AS212" i="36" l="1"/>
  <c r="AR214" i="36"/>
  <c r="AR213" i="36"/>
  <c r="BI32" i="10"/>
  <c r="I128" i="9"/>
  <c r="H28" i="41" l="1"/>
  <c r="D16" i="10"/>
  <c r="D30" i="10"/>
  <c r="D15" i="10"/>
  <c r="D8" i="10"/>
  <c r="D21" i="10"/>
  <c r="D17" i="10"/>
  <c r="AT212" i="36"/>
  <c r="AS214" i="36"/>
  <c r="AS213" i="36"/>
  <c r="I28" i="41" l="1"/>
  <c r="E41" i="41" s="1"/>
  <c r="E42" i="41" s="1"/>
  <c r="I42" i="41" s="1"/>
  <c r="H29" i="41"/>
  <c r="H59" i="41"/>
  <c r="G59" i="41"/>
  <c r="I36" i="41"/>
  <c r="F59" i="41"/>
  <c r="S29" i="41"/>
  <c r="G50" i="41" s="1"/>
  <c r="J74" i="41" s="1"/>
  <c r="T29" i="41"/>
  <c r="H50" i="41" s="1"/>
  <c r="M74" i="41" s="1"/>
  <c r="U29" i="41"/>
  <c r="I50" i="41" s="1"/>
  <c r="P74" i="41" s="1"/>
  <c r="AT214" i="36"/>
  <c r="AT213" i="36"/>
  <c r="AT215" i="36" s="1"/>
  <c r="AU212" i="36"/>
  <c r="I44" i="9"/>
  <c r="J24" i="35"/>
  <c r="J22" i="35"/>
  <c r="J11" i="35"/>
  <c r="J10" i="35"/>
  <c r="J21" i="35"/>
  <c r="J20" i="35"/>
  <c r="J14" i="35"/>
  <c r="J13" i="35"/>
  <c r="J9" i="35"/>
  <c r="J8" i="35"/>
  <c r="J7" i="35"/>
  <c r="J15" i="35"/>
  <c r="J12" i="35"/>
  <c r="P79" i="41" l="1"/>
  <c r="Q74" i="41"/>
  <c r="K74" i="41"/>
  <c r="J79" i="41"/>
  <c r="M79" i="41"/>
  <c r="N74" i="41"/>
  <c r="V116" i="35"/>
  <c r="V120" i="35" s="1"/>
  <c r="V104" i="35"/>
  <c r="V108" i="35" s="1"/>
  <c r="V128" i="35"/>
  <c r="AU214" i="36"/>
  <c r="AU213" i="36"/>
  <c r="AV212" i="36"/>
  <c r="J6" i="35"/>
  <c r="J23" i="35"/>
  <c r="K79" i="41" l="1"/>
  <c r="L74" i="41"/>
  <c r="L79" i="41" s="1"/>
  <c r="O74" i="41"/>
  <c r="O79" i="41" s="1"/>
  <c r="N79" i="41"/>
  <c r="Q79" i="41"/>
  <c r="R74" i="41"/>
  <c r="R79" i="41" s="1"/>
  <c r="V119" i="35"/>
  <c r="V107" i="35"/>
  <c r="V123" i="35"/>
  <c r="V124" i="35"/>
  <c r="V132" i="35"/>
  <c r="V131" i="35"/>
  <c r="V111" i="35"/>
  <c r="V112" i="35"/>
  <c r="AV214" i="36"/>
  <c r="AV213" i="36"/>
  <c r="AW212" i="36"/>
  <c r="V127" i="35" l="1"/>
  <c r="V135" i="35"/>
  <c r="V136" i="35"/>
  <c r="V115" i="35"/>
  <c r="AW214" i="36"/>
  <c r="AW213" i="36"/>
  <c r="AX212" i="36"/>
  <c r="J16" i="35"/>
  <c r="V139" i="35" l="1"/>
  <c r="AX213" i="36"/>
  <c r="AY212" i="36"/>
  <c r="AX214" i="36"/>
  <c r="J18" i="35"/>
  <c r="AY213" i="36" l="1"/>
  <c r="AY215" i="36" s="1"/>
  <c r="AZ212" i="36"/>
  <c r="AY214" i="36"/>
  <c r="BN19" i="35"/>
  <c r="BM19" i="35"/>
  <c r="BL19" i="35"/>
  <c r="BK19" i="35"/>
  <c r="BJ19" i="35"/>
  <c r="BI19" i="35"/>
  <c r="BH19" i="35"/>
  <c r="BG19" i="35"/>
  <c r="BF19" i="35"/>
  <c r="BE19" i="35"/>
  <c r="BD19" i="35"/>
  <c r="BC19" i="35"/>
  <c r="BB19" i="35"/>
  <c r="BA19" i="35"/>
  <c r="AZ19" i="35"/>
  <c r="AY19" i="35"/>
  <c r="AX19" i="35"/>
  <c r="AW19" i="35"/>
  <c r="AV19" i="35"/>
  <c r="AU19" i="35"/>
  <c r="AT19" i="35"/>
  <c r="AS19" i="35"/>
  <c r="AR19" i="35"/>
  <c r="AQ19" i="35"/>
  <c r="AP19" i="35"/>
  <c r="AO19" i="35"/>
  <c r="AN19" i="35"/>
  <c r="AM19" i="35"/>
  <c r="AL19" i="35"/>
  <c r="AK19" i="35"/>
  <c r="AJ19" i="35"/>
  <c r="AI19" i="35"/>
  <c r="AH19" i="35"/>
  <c r="AG19" i="35"/>
  <c r="P19" i="35"/>
  <c r="AB115" i="35" l="1"/>
  <c r="BA212" i="36"/>
  <c r="AZ214" i="36"/>
  <c r="AZ213" i="36"/>
  <c r="N4" i="35"/>
  <c r="BB212" i="36" l="1"/>
  <c r="BA214" i="36"/>
  <c r="BA213" i="36"/>
  <c r="AW4" i="35"/>
  <c r="AX4" i="35"/>
  <c r="AY4" i="35"/>
  <c r="AZ4" i="35"/>
  <c r="BA4" i="35"/>
  <c r="BB4" i="35"/>
  <c r="BC4" i="35"/>
  <c r="BD4" i="35"/>
  <c r="BE4" i="35"/>
  <c r="BF4" i="35"/>
  <c r="BG4" i="35"/>
  <c r="BH4" i="35"/>
  <c r="BI4" i="35"/>
  <c r="BJ4" i="35"/>
  <c r="BK4" i="35"/>
  <c r="BL4" i="35"/>
  <c r="BM4" i="35"/>
  <c r="BN4" i="35"/>
  <c r="BO4" i="35"/>
  <c r="K4" i="35"/>
  <c r="L4" i="35"/>
  <c r="M4" i="35"/>
  <c r="O4" i="35"/>
  <c r="P4" i="35"/>
  <c r="Q4" i="35"/>
  <c r="R4" i="35"/>
  <c r="S4" i="35"/>
  <c r="T4" i="35"/>
  <c r="U4" i="35"/>
  <c r="V4" i="35"/>
  <c r="W4" i="35"/>
  <c r="X4" i="35"/>
  <c r="Y4" i="35"/>
  <c r="Z4" i="35"/>
  <c r="AA4" i="35"/>
  <c r="AB4" i="35"/>
  <c r="AC4" i="35"/>
  <c r="AD4" i="35"/>
  <c r="AE4" i="35"/>
  <c r="AF4" i="35"/>
  <c r="AG4" i="35"/>
  <c r="AH4" i="35"/>
  <c r="AI4" i="35"/>
  <c r="AJ4" i="35"/>
  <c r="AK4" i="35"/>
  <c r="AL4" i="35"/>
  <c r="AM4" i="35"/>
  <c r="AN4" i="35"/>
  <c r="AO4" i="35"/>
  <c r="AP4" i="35"/>
  <c r="AQ4" i="35"/>
  <c r="AR4" i="35"/>
  <c r="AS4" i="35"/>
  <c r="AT4" i="35"/>
  <c r="AU4" i="35"/>
  <c r="AV4" i="35"/>
  <c r="I4" i="35" l="1"/>
  <c r="BB214" i="36"/>
  <c r="BB213" i="36"/>
  <c r="BC212" i="36"/>
  <c r="BC214" i="36" l="1"/>
  <c r="BC213" i="36"/>
  <c r="BC215" i="36" s="1"/>
  <c r="BD212" i="36"/>
  <c r="H32" i="10"/>
  <c r="BD214" i="36" l="1"/>
  <c r="BD213" i="36"/>
  <c r="BE212" i="36"/>
  <c r="K17" i="35"/>
  <c r="K42" i="35" s="1"/>
  <c r="L17" i="35"/>
  <c r="L42" i="35" s="1"/>
  <c r="M17" i="35"/>
  <c r="M42" i="35" s="1"/>
  <c r="N17" i="35"/>
  <c r="N42" i="35" s="1"/>
  <c r="O17" i="35"/>
  <c r="O42" i="35" s="1"/>
  <c r="P66" i="35" s="1"/>
  <c r="P17" i="35"/>
  <c r="Q17" i="35"/>
  <c r="Q42" i="35" s="1"/>
  <c r="R66" i="35" s="1"/>
  <c r="R17" i="35"/>
  <c r="R42" i="35" s="1"/>
  <c r="S66" i="35" s="1"/>
  <c r="S17" i="35"/>
  <c r="S42" i="35" s="1"/>
  <c r="T66" i="35" s="1"/>
  <c r="T17" i="35"/>
  <c r="T42" i="35" s="1"/>
  <c r="U66" i="35" s="1"/>
  <c r="U17" i="35"/>
  <c r="U42" i="35" s="1"/>
  <c r="V66" i="35" s="1"/>
  <c r="V17" i="35"/>
  <c r="V42" i="35" s="1"/>
  <c r="W66" i="35" s="1"/>
  <c r="W17" i="35"/>
  <c r="W42" i="35" s="1"/>
  <c r="X66" i="35" s="1"/>
  <c r="X17" i="35"/>
  <c r="X42" i="35" s="1"/>
  <c r="Y66" i="35" s="1"/>
  <c r="Y17" i="35"/>
  <c r="Y42" i="35" s="1"/>
  <c r="Z66" i="35" s="1"/>
  <c r="Z17" i="35"/>
  <c r="Z42" i="35" s="1"/>
  <c r="AA66" i="35" s="1"/>
  <c r="AA17" i="35"/>
  <c r="AA42" i="35" s="1"/>
  <c r="AB66" i="35" s="1"/>
  <c r="AB17" i="35"/>
  <c r="AB42" i="35" s="1"/>
  <c r="AC66" i="35" s="1"/>
  <c r="AC17" i="35"/>
  <c r="AC42" i="35" s="1"/>
  <c r="AD66" i="35" s="1"/>
  <c r="AD17" i="35"/>
  <c r="AD42" i="35" s="1"/>
  <c r="AE66" i="35" s="1"/>
  <c r="AE17" i="35"/>
  <c r="AE42" i="35" s="1"/>
  <c r="AF66" i="35" s="1"/>
  <c r="AF17" i="35"/>
  <c r="AF42" i="35" s="1"/>
  <c r="AG66" i="35" s="1"/>
  <c r="AG17" i="35"/>
  <c r="AG42" i="35" s="1"/>
  <c r="AH66" i="35" s="1"/>
  <c r="AH17" i="35"/>
  <c r="AH42" i="35" s="1"/>
  <c r="AI66" i="35" s="1"/>
  <c r="AI17" i="35"/>
  <c r="AI42" i="35" s="1"/>
  <c r="AJ66" i="35" s="1"/>
  <c r="AJ17" i="35"/>
  <c r="AJ42" i="35" s="1"/>
  <c r="AK66" i="35" s="1"/>
  <c r="AK17" i="35"/>
  <c r="AK42" i="35" s="1"/>
  <c r="AL66" i="35" s="1"/>
  <c r="AL17" i="35"/>
  <c r="AL42" i="35" s="1"/>
  <c r="AM66" i="35" s="1"/>
  <c r="AM17" i="35"/>
  <c r="AM42" i="35" s="1"/>
  <c r="AN66" i="35" s="1"/>
  <c r="AN17" i="35"/>
  <c r="AN42" i="35" s="1"/>
  <c r="AO66" i="35" s="1"/>
  <c r="AO17" i="35"/>
  <c r="AO42" i="35" s="1"/>
  <c r="AP66" i="35" s="1"/>
  <c r="AP17" i="35"/>
  <c r="AP42" i="35" s="1"/>
  <c r="AQ66" i="35" s="1"/>
  <c r="AQ17" i="35"/>
  <c r="AQ42" i="35" s="1"/>
  <c r="AR66" i="35" s="1"/>
  <c r="AR17" i="35"/>
  <c r="AR42" i="35" s="1"/>
  <c r="AS66" i="35" s="1"/>
  <c r="AS17" i="35"/>
  <c r="AS42" i="35" s="1"/>
  <c r="AT66" i="35" s="1"/>
  <c r="AT17" i="35"/>
  <c r="AT42" i="35" s="1"/>
  <c r="AU66" i="35" s="1"/>
  <c r="AU17" i="35"/>
  <c r="AU42" i="35" s="1"/>
  <c r="AV66" i="35" s="1"/>
  <c r="AV17" i="35"/>
  <c r="AV42" i="35" s="1"/>
  <c r="AW66" i="35" s="1"/>
  <c r="AW17" i="35"/>
  <c r="AW42" i="35" s="1"/>
  <c r="AX66" i="35" s="1"/>
  <c r="AX17" i="35"/>
  <c r="AX42" i="35" s="1"/>
  <c r="AY66" i="35" s="1"/>
  <c r="AY17" i="35"/>
  <c r="AY42" i="35" s="1"/>
  <c r="AZ66" i="35" s="1"/>
  <c r="AZ17" i="35"/>
  <c r="AZ42" i="35" s="1"/>
  <c r="BA66" i="35" s="1"/>
  <c r="BA17" i="35"/>
  <c r="BA42" i="35" s="1"/>
  <c r="BB66" i="35" s="1"/>
  <c r="BB17" i="35"/>
  <c r="BB42" i="35" s="1"/>
  <c r="BC66" i="35" s="1"/>
  <c r="BC17" i="35"/>
  <c r="BC42" i="35" s="1"/>
  <c r="BD66" i="35" s="1"/>
  <c r="BD17" i="35"/>
  <c r="BD42" i="35" s="1"/>
  <c r="BE66" i="35" s="1"/>
  <c r="BE17" i="35"/>
  <c r="BE42" i="35" s="1"/>
  <c r="BF66" i="35" s="1"/>
  <c r="BF17" i="35"/>
  <c r="BF42" i="35" s="1"/>
  <c r="BG66" i="35" s="1"/>
  <c r="BG17" i="35"/>
  <c r="BG42" i="35" s="1"/>
  <c r="BH66" i="35" s="1"/>
  <c r="BH17" i="35"/>
  <c r="BH42" i="35" s="1"/>
  <c r="BI66" i="35" s="1"/>
  <c r="BI17" i="35"/>
  <c r="BI42" i="35" s="1"/>
  <c r="BJ66" i="35" s="1"/>
  <c r="BJ17" i="35"/>
  <c r="BJ42" i="35" s="1"/>
  <c r="BK66" i="35" s="1"/>
  <c r="BK17" i="35"/>
  <c r="BK42" i="35" s="1"/>
  <c r="BL66" i="35" s="1"/>
  <c r="BL17" i="35"/>
  <c r="BL42" i="35" s="1"/>
  <c r="BM66" i="35" s="1"/>
  <c r="BM17" i="35"/>
  <c r="BM42" i="35" s="1"/>
  <c r="BN66" i="35" s="1"/>
  <c r="BN17" i="35"/>
  <c r="BN42" i="35" s="1"/>
  <c r="BO66" i="35" s="1"/>
  <c r="BO17" i="35"/>
  <c r="BO42" i="35" s="1"/>
  <c r="BE214" i="36" l="1"/>
  <c r="BE213" i="36"/>
  <c r="BF212" i="36"/>
  <c r="P42" i="35"/>
  <c r="Q66" i="35" s="1"/>
  <c r="I17" i="35"/>
  <c r="I51" i="9"/>
  <c r="I66" i="35" l="1"/>
  <c r="I42" i="35"/>
  <c r="BF213" i="36"/>
  <c r="BG212" i="36"/>
  <c r="BF214" i="36"/>
  <c r="BG213" i="36" l="1"/>
  <c r="BG215" i="36" s="1"/>
  <c r="BH212" i="36"/>
  <c r="BG214" i="36"/>
  <c r="BI212" i="36" l="1"/>
  <c r="BH214" i="36"/>
  <c r="BH213" i="36"/>
  <c r="G221" i="36"/>
  <c r="G230" i="36" s="1"/>
  <c r="H215" i="36"/>
  <c r="BJ212" i="36" l="1"/>
  <c r="BI214" i="36"/>
  <c r="BI213" i="36"/>
  <c r="BJ214" i="36" l="1"/>
  <c r="BJ213" i="36"/>
  <c r="BK212" i="36"/>
  <c r="BK214" i="36" l="1"/>
  <c r="BK213" i="36"/>
  <c r="BK215" i="36" s="1"/>
  <c r="G222" i="36" s="1"/>
  <c r="BL212" i="36"/>
  <c r="BL214" i="36" l="1"/>
  <c r="BL213" i="36"/>
  <c r="BM212" i="36"/>
  <c r="BM214" i="36" l="1"/>
  <c r="BM213" i="36"/>
  <c r="BN212" i="36"/>
  <c r="BN213" i="36" l="1"/>
  <c r="BO212" i="36"/>
  <c r="BN214" i="36"/>
  <c r="BO213" i="36" l="1"/>
  <c r="BP212" i="36"/>
  <c r="BO214" i="36"/>
  <c r="BQ212" i="36" l="1"/>
  <c r="BP214" i="36"/>
  <c r="BP213" i="36"/>
  <c r="BP215" i="36" s="1"/>
  <c r="G223" i="36" s="1"/>
  <c r="L19" i="35"/>
  <c r="M19" i="35"/>
  <c r="N19" i="35"/>
  <c r="O19" i="35"/>
  <c r="Q19" i="35"/>
  <c r="R19" i="35"/>
  <c r="S19" i="35"/>
  <c r="T19" i="35"/>
  <c r="U19" i="35"/>
  <c r="U44" i="35" s="1"/>
  <c r="AV68" i="35" s="1"/>
  <c r="V19" i="35"/>
  <c r="W19" i="35"/>
  <c r="X19" i="35"/>
  <c r="Y19" i="35"/>
  <c r="Z19" i="35"/>
  <c r="AA19" i="35"/>
  <c r="AB19" i="35"/>
  <c r="AD19" i="35"/>
  <c r="AE19" i="35"/>
  <c r="AF19" i="35"/>
  <c r="BO19" i="35"/>
  <c r="BO44" i="35" s="1"/>
  <c r="AB95" i="35" l="1"/>
  <c r="AB99" i="35"/>
  <c r="BR212" i="36"/>
  <c r="BQ214" i="36"/>
  <c r="BQ213" i="36"/>
  <c r="AC19" i="35"/>
  <c r="I19" i="35" s="1"/>
  <c r="AB144" i="35" l="1"/>
  <c r="BR214" i="36"/>
  <c r="BR213" i="36"/>
  <c r="BS212" i="36"/>
  <c r="BS214" i="36" l="1"/>
  <c r="BS213" i="36"/>
  <c r="BT212" i="36"/>
  <c r="BT214" i="36" l="1"/>
  <c r="BT213" i="36"/>
  <c r="BT215" i="36" s="1"/>
  <c r="G224" i="36" s="1"/>
  <c r="BU212" i="36"/>
  <c r="BU214" i="36" l="1"/>
  <c r="BU213" i="36"/>
  <c r="BV212" i="36"/>
  <c r="BV213" i="36" l="1"/>
  <c r="BW212" i="36"/>
  <c r="BV214" i="36"/>
  <c r="BW213" i="36" l="1"/>
  <c r="BX212" i="36"/>
  <c r="BW214" i="36"/>
  <c r="BY212" i="36" l="1"/>
  <c r="BX214" i="36"/>
  <c r="BX213" i="36"/>
  <c r="BX215" i="36" s="1"/>
  <c r="G225" i="36" s="1"/>
  <c r="BZ212" i="36" l="1"/>
  <c r="BY214" i="36"/>
  <c r="BY213" i="36"/>
  <c r="BZ214" i="36" l="1"/>
  <c r="BZ213" i="36"/>
  <c r="CA212" i="36"/>
  <c r="CA214" i="36" l="1"/>
  <c r="CA213" i="36"/>
  <c r="CB212" i="36"/>
  <c r="CB214" i="36" l="1"/>
  <c r="CB213" i="36"/>
  <c r="CC212" i="36"/>
  <c r="H34" i="9"/>
  <c r="H6" i="9"/>
  <c r="H27" i="9"/>
  <c r="H26" i="9"/>
  <c r="H19" i="9"/>
  <c r="H15" i="9"/>
  <c r="H9" i="9"/>
  <c r="H14" i="9"/>
  <c r="H8" i="9"/>
  <c r="H11" i="9"/>
  <c r="H42" i="9"/>
  <c r="H40" i="9"/>
  <c r="H13" i="9"/>
  <c r="H16" i="9"/>
  <c r="H12" i="9"/>
  <c r="H10" i="9"/>
  <c r="K16" i="35"/>
  <c r="K41" i="35" s="1"/>
  <c r="L16" i="35"/>
  <c r="L41" i="35" s="1"/>
  <c r="M16" i="35"/>
  <c r="M41" i="35" s="1"/>
  <c r="N16" i="35"/>
  <c r="N41" i="35" s="1"/>
  <c r="O16" i="35"/>
  <c r="O41" i="35" s="1"/>
  <c r="P65" i="35" s="1"/>
  <c r="P16" i="35"/>
  <c r="Q16" i="35"/>
  <c r="Q41" i="35" s="1"/>
  <c r="R65" i="35" s="1"/>
  <c r="R16" i="35"/>
  <c r="R41" i="35" s="1"/>
  <c r="S65" i="35" s="1"/>
  <c r="S16" i="35"/>
  <c r="S41" i="35" s="1"/>
  <c r="T65" i="35" s="1"/>
  <c r="T16" i="35"/>
  <c r="T41" i="35" s="1"/>
  <c r="U65" i="35" s="1"/>
  <c r="U16" i="35"/>
  <c r="U41" i="35" s="1"/>
  <c r="V65" i="35" s="1"/>
  <c r="V16" i="35"/>
  <c r="V41" i="35" s="1"/>
  <c r="W65" i="35" s="1"/>
  <c r="W16" i="35"/>
  <c r="W41" i="35" s="1"/>
  <c r="X16" i="35"/>
  <c r="X41" i="35" s="1"/>
  <c r="Y65" i="35" s="1"/>
  <c r="Y16" i="35"/>
  <c r="Y41" i="35" s="1"/>
  <c r="Z65" i="35" s="1"/>
  <c r="Z16" i="35"/>
  <c r="Z41" i="35" s="1"/>
  <c r="AA65" i="35" s="1"/>
  <c r="AA16" i="35"/>
  <c r="AA41" i="35" s="1"/>
  <c r="AB65" i="35" s="1"/>
  <c r="AB16" i="35"/>
  <c r="AB41" i="35" s="1"/>
  <c r="AC65" i="35" s="1"/>
  <c r="AC16" i="35"/>
  <c r="AC41" i="35" s="1"/>
  <c r="AD65" i="35" s="1"/>
  <c r="AD16" i="35"/>
  <c r="AD41" i="35" s="1"/>
  <c r="AE65" i="35" s="1"/>
  <c r="AE16" i="35"/>
  <c r="AE41" i="35" s="1"/>
  <c r="AF65" i="35" s="1"/>
  <c r="AF16" i="35"/>
  <c r="AF41" i="35" s="1"/>
  <c r="AG65" i="35" s="1"/>
  <c r="AG16" i="35"/>
  <c r="AG41" i="35" s="1"/>
  <c r="AH65" i="35" s="1"/>
  <c r="AH16" i="35"/>
  <c r="AH41" i="35" s="1"/>
  <c r="AI65" i="35" s="1"/>
  <c r="AI16" i="35"/>
  <c r="AI41" i="35" s="1"/>
  <c r="AJ65" i="35" s="1"/>
  <c r="AJ16" i="35"/>
  <c r="AJ41" i="35" s="1"/>
  <c r="AK65" i="35" s="1"/>
  <c r="AK16" i="35"/>
  <c r="AK41" i="35" s="1"/>
  <c r="AL65" i="35" s="1"/>
  <c r="AL16" i="35"/>
  <c r="AL41" i="35" s="1"/>
  <c r="AM65" i="35" s="1"/>
  <c r="AM16" i="35"/>
  <c r="AM41" i="35" s="1"/>
  <c r="AN65" i="35" s="1"/>
  <c r="AN16" i="35"/>
  <c r="AN41" i="35" s="1"/>
  <c r="AO65" i="35" s="1"/>
  <c r="AO16" i="35"/>
  <c r="AO41" i="35" s="1"/>
  <c r="AP65" i="35" s="1"/>
  <c r="AP16" i="35"/>
  <c r="AP41" i="35" s="1"/>
  <c r="AQ65" i="35" s="1"/>
  <c r="AQ16" i="35"/>
  <c r="AQ41" i="35" s="1"/>
  <c r="AR65" i="35" s="1"/>
  <c r="AR16" i="35"/>
  <c r="AR41" i="35" s="1"/>
  <c r="AS65" i="35" s="1"/>
  <c r="AS16" i="35"/>
  <c r="AS41" i="35" s="1"/>
  <c r="AT65" i="35" s="1"/>
  <c r="AT16" i="35"/>
  <c r="AT41" i="35" s="1"/>
  <c r="AU65" i="35" s="1"/>
  <c r="AU16" i="35"/>
  <c r="AU41" i="35" s="1"/>
  <c r="AV65" i="35" s="1"/>
  <c r="AV16" i="35"/>
  <c r="AV41" i="35" s="1"/>
  <c r="AW65" i="35" s="1"/>
  <c r="AW16" i="35"/>
  <c r="AW41" i="35" s="1"/>
  <c r="AX65" i="35" s="1"/>
  <c r="AX16" i="35"/>
  <c r="AX41" i="35" s="1"/>
  <c r="AY65" i="35" s="1"/>
  <c r="AY16" i="35"/>
  <c r="AY41" i="35" s="1"/>
  <c r="AZ65" i="35" s="1"/>
  <c r="AZ16" i="35"/>
  <c r="AZ41" i="35" s="1"/>
  <c r="BA65" i="35" s="1"/>
  <c r="BA16" i="35"/>
  <c r="BA41" i="35" s="1"/>
  <c r="BB65" i="35" s="1"/>
  <c r="BB16" i="35"/>
  <c r="BB41" i="35" s="1"/>
  <c r="BC65" i="35" s="1"/>
  <c r="BC16" i="35"/>
  <c r="BC41" i="35" s="1"/>
  <c r="BD65" i="35" s="1"/>
  <c r="BD16" i="35"/>
  <c r="BD41" i="35" s="1"/>
  <c r="BE65" i="35" s="1"/>
  <c r="BE16" i="35"/>
  <c r="BE41" i="35" s="1"/>
  <c r="BF65" i="35" s="1"/>
  <c r="BF16" i="35"/>
  <c r="BF41" i="35" s="1"/>
  <c r="BG65" i="35" s="1"/>
  <c r="BG16" i="35"/>
  <c r="BG41" i="35" s="1"/>
  <c r="BH65" i="35" s="1"/>
  <c r="BH16" i="35"/>
  <c r="BH41" i="35" s="1"/>
  <c r="BI65" i="35" s="1"/>
  <c r="BI16" i="35"/>
  <c r="BI41" i="35" s="1"/>
  <c r="BJ65" i="35" s="1"/>
  <c r="BJ16" i="35"/>
  <c r="BJ41" i="35" s="1"/>
  <c r="BK65" i="35" s="1"/>
  <c r="BK16" i="35"/>
  <c r="BK41" i="35" s="1"/>
  <c r="BL65" i="35" s="1"/>
  <c r="BL16" i="35"/>
  <c r="BL41" i="35" s="1"/>
  <c r="BM65" i="35" s="1"/>
  <c r="BM16" i="35"/>
  <c r="BM41" i="35" s="1"/>
  <c r="BN65" i="35" s="1"/>
  <c r="BN16" i="35"/>
  <c r="BN41" i="35" s="1"/>
  <c r="BO65" i="35" s="1"/>
  <c r="BO16" i="35"/>
  <c r="BO41" i="35" s="1"/>
  <c r="L24" i="35"/>
  <c r="L49" i="35" s="1"/>
  <c r="Y73" i="35" s="1"/>
  <c r="M24" i="35"/>
  <c r="M49" i="35" s="1"/>
  <c r="Z73" i="35" s="1"/>
  <c r="N24" i="35"/>
  <c r="N49" i="35" s="1"/>
  <c r="AA73" i="35" s="1"/>
  <c r="O24" i="35"/>
  <c r="O49" i="35" s="1"/>
  <c r="AB73" i="35" s="1"/>
  <c r="P24" i="35"/>
  <c r="Q24" i="35"/>
  <c r="Q49" i="35" s="1"/>
  <c r="AD73" i="35" s="1"/>
  <c r="R24" i="35"/>
  <c r="R49" i="35" s="1"/>
  <c r="AE73" i="35" s="1"/>
  <c r="S24" i="35"/>
  <c r="S49" i="35" s="1"/>
  <c r="AF73" i="35" s="1"/>
  <c r="T24" i="35"/>
  <c r="T49" i="35" s="1"/>
  <c r="AG73" i="35" s="1"/>
  <c r="U24" i="35"/>
  <c r="U49" i="35" s="1"/>
  <c r="AH73" i="35" s="1"/>
  <c r="V24" i="35"/>
  <c r="V49" i="35" s="1"/>
  <c r="AI73" i="35" s="1"/>
  <c r="W24" i="35"/>
  <c r="W49" i="35" s="1"/>
  <c r="AJ73" i="35" s="1"/>
  <c r="X24" i="35"/>
  <c r="X49" i="35" s="1"/>
  <c r="AK73" i="35" s="1"/>
  <c r="Y24" i="35"/>
  <c r="Y49" i="35" s="1"/>
  <c r="AL73" i="35" s="1"/>
  <c r="Z24" i="35"/>
  <c r="Z49" i="35" s="1"/>
  <c r="AM73" i="35" s="1"/>
  <c r="AA24" i="35"/>
  <c r="AA49" i="35" s="1"/>
  <c r="AN73" i="35" s="1"/>
  <c r="AB24" i="35"/>
  <c r="AB49" i="35" s="1"/>
  <c r="AO73" i="35" s="1"/>
  <c r="AD24" i="35"/>
  <c r="AD49" i="35" s="1"/>
  <c r="AQ73" i="35" s="1"/>
  <c r="AE24" i="35"/>
  <c r="AE49" i="35" s="1"/>
  <c r="AR73" i="35" s="1"/>
  <c r="AF24" i="35"/>
  <c r="AF49" i="35" s="1"/>
  <c r="AS73" i="35" s="1"/>
  <c r="AG24" i="35"/>
  <c r="AG49" i="35" s="1"/>
  <c r="AT73" i="35" s="1"/>
  <c r="AH24" i="35"/>
  <c r="AH49" i="35" s="1"/>
  <c r="AU73" i="35" s="1"/>
  <c r="AI24" i="35"/>
  <c r="AI49" i="35" s="1"/>
  <c r="AV73" i="35" s="1"/>
  <c r="AJ24" i="35"/>
  <c r="AJ49" i="35" s="1"/>
  <c r="AW73" i="35" s="1"/>
  <c r="AK24" i="35"/>
  <c r="AK49" i="35" s="1"/>
  <c r="AX73" i="35" s="1"/>
  <c r="AL24" i="35"/>
  <c r="AL49" i="35" s="1"/>
  <c r="AY73" i="35" s="1"/>
  <c r="AM24" i="35"/>
  <c r="AM49" i="35" s="1"/>
  <c r="AZ73" i="35" s="1"/>
  <c r="AN24" i="35"/>
  <c r="AN49" i="35" s="1"/>
  <c r="BA73" i="35" s="1"/>
  <c r="AO24" i="35"/>
  <c r="AO49" i="35" s="1"/>
  <c r="BB73" i="35" s="1"/>
  <c r="AP24" i="35"/>
  <c r="AP49" i="35" s="1"/>
  <c r="BC73" i="35" s="1"/>
  <c r="AQ24" i="35"/>
  <c r="AQ49" i="35" s="1"/>
  <c r="BD73" i="35" s="1"/>
  <c r="AR24" i="35"/>
  <c r="AR49" i="35" s="1"/>
  <c r="BE73" i="35" s="1"/>
  <c r="AS24" i="35"/>
  <c r="AS49" i="35" s="1"/>
  <c r="BF73" i="35" s="1"/>
  <c r="AT24" i="35"/>
  <c r="AT49" i="35" s="1"/>
  <c r="BG73" i="35" s="1"/>
  <c r="AU24" i="35"/>
  <c r="AU49" i="35" s="1"/>
  <c r="BH73" i="35" s="1"/>
  <c r="AV24" i="35"/>
  <c r="AV49" i="35" s="1"/>
  <c r="BI73" i="35" s="1"/>
  <c r="AW24" i="35"/>
  <c r="AW49" i="35" s="1"/>
  <c r="BJ73" i="35" s="1"/>
  <c r="AX24" i="35"/>
  <c r="AX49" i="35" s="1"/>
  <c r="BK73" i="35" s="1"/>
  <c r="AY24" i="35"/>
  <c r="AY49" i="35" s="1"/>
  <c r="BL73" i="35" s="1"/>
  <c r="AZ24" i="35"/>
  <c r="AZ49" i="35" s="1"/>
  <c r="BM73" i="35" s="1"/>
  <c r="BA24" i="35"/>
  <c r="BA49" i="35" s="1"/>
  <c r="BN73" i="35" s="1"/>
  <c r="BB24" i="35"/>
  <c r="BB49" i="35" s="1"/>
  <c r="BO73" i="35" s="1"/>
  <c r="BC24" i="35"/>
  <c r="BC49" i="35" s="1"/>
  <c r="BD24" i="35"/>
  <c r="BD49" i="35" s="1"/>
  <c r="BE24" i="35"/>
  <c r="BE49" i="35" s="1"/>
  <c r="BF24" i="35"/>
  <c r="BF49" i="35" s="1"/>
  <c r="BG24" i="35"/>
  <c r="BG49" i="35" s="1"/>
  <c r="BH24" i="35"/>
  <c r="BH49" i="35" s="1"/>
  <c r="BI24" i="35"/>
  <c r="BI49" i="35" s="1"/>
  <c r="BJ24" i="35"/>
  <c r="BJ49" i="35" s="1"/>
  <c r="BK24" i="35"/>
  <c r="BK49" i="35" s="1"/>
  <c r="BL24" i="35"/>
  <c r="BL49" i="35" s="1"/>
  <c r="BM24" i="35"/>
  <c r="BM49" i="35" s="1"/>
  <c r="BN24" i="35"/>
  <c r="BN49" i="35" s="1"/>
  <c r="BO24" i="35"/>
  <c r="BO49" i="35" s="1"/>
  <c r="K23" i="35"/>
  <c r="K48" i="35" s="1"/>
  <c r="L23" i="35"/>
  <c r="L48" i="35" s="1"/>
  <c r="M23" i="35"/>
  <c r="M48" i="35" s="1"/>
  <c r="N23" i="35"/>
  <c r="N48" i="35" s="1"/>
  <c r="O23" i="35"/>
  <c r="O48" i="35" s="1"/>
  <c r="P23" i="35"/>
  <c r="Q23" i="35"/>
  <c r="Q48" i="35" s="1"/>
  <c r="R72" i="35" s="1"/>
  <c r="R23" i="35"/>
  <c r="R48" i="35" s="1"/>
  <c r="S72" i="35" s="1"/>
  <c r="S23" i="35"/>
  <c r="S48" i="35" s="1"/>
  <c r="T72" i="35" s="1"/>
  <c r="T23" i="35"/>
  <c r="T48" i="35" s="1"/>
  <c r="U72" i="35" s="1"/>
  <c r="U23" i="35"/>
  <c r="U48" i="35" s="1"/>
  <c r="V72" i="35" s="1"/>
  <c r="V23" i="35"/>
  <c r="V48" i="35" s="1"/>
  <c r="W72" i="35" s="1"/>
  <c r="W23" i="35"/>
  <c r="W48" i="35" s="1"/>
  <c r="X72" i="35" s="1"/>
  <c r="X23" i="35"/>
  <c r="X48" i="35" s="1"/>
  <c r="Y72" i="35" s="1"/>
  <c r="Y23" i="35"/>
  <c r="Y48" i="35" s="1"/>
  <c r="Z72" i="35" s="1"/>
  <c r="Z23" i="35"/>
  <c r="Z48" i="35" s="1"/>
  <c r="AA72" i="35" s="1"/>
  <c r="AA23" i="35"/>
  <c r="AA48" i="35" s="1"/>
  <c r="AB72" i="35" s="1"/>
  <c r="AB23" i="35"/>
  <c r="AB48" i="35" s="1"/>
  <c r="AC72" i="35" s="1"/>
  <c r="AC23" i="35"/>
  <c r="AC48" i="35" s="1"/>
  <c r="AD72" i="35" s="1"/>
  <c r="AD23" i="35"/>
  <c r="AD48" i="35" s="1"/>
  <c r="AE72" i="35" s="1"/>
  <c r="AE23" i="35"/>
  <c r="AE48" i="35" s="1"/>
  <c r="AF72" i="35" s="1"/>
  <c r="AF23" i="35"/>
  <c r="AF48" i="35" s="1"/>
  <c r="AG72" i="35" s="1"/>
  <c r="AG23" i="35"/>
  <c r="AG48" i="35" s="1"/>
  <c r="AH72" i="35" s="1"/>
  <c r="AH23" i="35"/>
  <c r="AH48" i="35" s="1"/>
  <c r="AI72" i="35" s="1"/>
  <c r="AI23" i="35"/>
  <c r="AI48" i="35" s="1"/>
  <c r="AJ72" i="35" s="1"/>
  <c r="AJ23" i="35"/>
  <c r="AJ48" i="35" s="1"/>
  <c r="AK72" i="35" s="1"/>
  <c r="AK23" i="35"/>
  <c r="AK48" i="35" s="1"/>
  <c r="AL72" i="35" s="1"/>
  <c r="AL23" i="35"/>
  <c r="AL48" i="35" s="1"/>
  <c r="AM72" i="35" s="1"/>
  <c r="AM23" i="35"/>
  <c r="AM48" i="35" s="1"/>
  <c r="AN72" i="35" s="1"/>
  <c r="AN23" i="35"/>
  <c r="AN48" i="35" s="1"/>
  <c r="AO72" i="35" s="1"/>
  <c r="AO23" i="35"/>
  <c r="AO48" i="35" s="1"/>
  <c r="AP72" i="35" s="1"/>
  <c r="AP23" i="35"/>
  <c r="AP48" i="35" s="1"/>
  <c r="AQ72" i="35" s="1"/>
  <c r="AQ23" i="35"/>
  <c r="AQ48" i="35" s="1"/>
  <c r="AR72" i="35" s="1"/>
  <c r="AR23" i="35"/>
  <c r="AR48" i="35" s="1"/>
  <c r="AS72" i="35" s="1"/>
  <c r="AS23" i="35"/>
  <c r="AS48" i="35" s="1"/>
  <c r="AT72" i="35" s="1"/>
  <c r="AT23" i="35"/>
  <c r="AT48" i="35" s="1"/>
  <c r="AU72" i="35" s="1"/>
  <c r="AU23" i="35"/>
  <c r="AU48" i="35" s="1"/>
  <c r="AV72" i="35" s="1"/>
  <c r="AV23" i="35"/>
  <c r="AV48" i="35" s="1"/>
  <c r="AW72" i="35" s="1"/>
  <c r="AW23" i="35"/>
  <c r="AW48" i="35" s="1"/>
  <c r="AX72" i="35" s="1"/>
  <c r="AX23" i="35"/>
  <c r="AX48" i="35" s="1"/>
  <c r="AY72" i="35" s="1"/>
  <c r="AY23" i="35"/>
  <c r="AY48" i="35" s="1"/>
  <c r="AZ72" i="35" s="1"/>
  <c r="AZ23" i="35"/>
  <c r="AZ48" i="35" s="1"/>
  <c r="BA72" i="35" s="1"/>
  <c r="BA23" i="35"/>
  <c r="BA48" i="35" s="1"/>
  <c r="BB72" i="35" s="1"/>
  <c r="BB23" i="35"/>
  <c r="BB48" i="35" s="1"/>
  <c r="BC72" i="35" s="1"/>
  <c r="BC23" i="35"/>
  <c r="BC48" i="35" s="1"/>
  <c r="BD72" i="35" s="1"/>
  <c r="BD23" i="35"/>
  <c r="BD48" i="35" s="1"/>
  <c r="BE72" i="35" s="1"/>
  <c r="BE23" i="35"/>
  <c r="BE48" i="35" s="1"/>
  <c r="BF72" i="35" s="1"/>
  <c r="BF23" i="35"/>
  <c r="BF48" i="35" s="1"/>
  <c r="BG72" i="35" s="1"/>
  <c r="BG23" i="35"/>
  <c r="BG48" i="35" s="1"/>
  <c r="BH72" i="35" s="1"/>
  <c r="BH23" i="35"/>
  <c r="BH48" i="35" s="1"/>
  <c r="BI72" i="35" s="1"/>
  <c r="BI23" i="35"/>
  <c r="BI48" i="35" s="1"/>
  <c r="BJ72" i="35" s="1"/>
  <c r="BJ23" i="35"/>
  <c r="BJ48" i="35" s="1"/>
  <c r="BK72" i="35" s="1"/>
  <c r="BK23" i="35"/>
  <c r="BK48" i="35" s="1"/>
  <c r="BL72" i="35" s="1"/>
  <c r="BL23" i="35"/>
  <c r="BL48" i="35" s="1"/>
  <c r="BM72" i="35" s="1"/>
  <c r="BM23" i="35"/>
  <c r="BM48" i="35" s="1"/>
  <c r="BN72" i="35" s="1"/>
  <c r="BN23" i="35"/>
  <c r="BN48" i="35" s="1"/>
  <c r="BO72" i="35" s="1"/>
  <c r="BO23" i="35"/>
  <c r="BO48" i="35" s="1"/>
  <c r="K22" i="35"/>
  <c r="K47" i="35" s="1"/>
  <c r="L22" i="35"/>
  <c r="L47" i="35" s="1"/>
  <c r="M22" i="35"/>
  <c r="M47" i="35" s="1"/>
  <c r="N22" i="35"/>
  <c r="N47" i="35" s="1"/>
  <c r="O22" i="35"/>
  <c r="O47" i="35" s="1"/>
  <c r="P22" i="35"/>
  <c r="Q22" i="35"/>
  <c r="Q47" i="35" s="1"/>
  <c r="R22" i="35"/>
  <c r="S22" i="35"/>
  <c r="S47" i="35" s="1"/>
  <c r="T22" i="35"/>
  <c r="T47" i="35" s="1"/>
  <c r="U22" i="35"/>
  <c r="U47" i="35" s="1"/>
  <c r="V22" i="35"/>
  <c r="V47" i="35" s="1"/>
  <c r="W22" i="35"/>
  <c r="W47" i="35" s="1"/>
  <c r="X22" i="35"/>
  <c r="X47" i="35" s="1"/>
  <c r="Y22" i="35"/>
  <c r="Y47" i="35" s="1"/>
  <c r="Z22" i="35"/>
  <c r="Z47" i="35" s="1"/>
  <c r="AA22" i="35"/>
  <c r="AA47" i="35" s="1"/>
  <c r="AB22" i="35"/>
  <c r="AB47" i="35" s="1"/>
  <c r="AC22" i="35"/>
  <c r="AC47" i="35" s="1"/>
  <c r="AD22" i="35"/>
  <c r="AD47" i="35" s="1"/>
  <c r="AE22" i="35"/>
  <c r="AE47" i="35" s="1"/>
  <c r="AF22" i="35"/>
  <c r="AF47" i="35" s="1"/>
  <c r="AG22" i="35"/>
  <c r="AG47" i="35" s="1"/>
  <c r="AH22" i="35"/>
  <c r="AH47" i="35" s="1"/>
  <c r="AI22" i="35"/>
  <c r="AI47" i="35" s="1"/>
  <c r="AJ22" i="35"/>
  <c r="AJ47" i="35" s="1"/>
  <c r="AK22" i="35"/>
  <c r="AK47" i="35" s="1"/>
  <c r="AL22" i="35"/>
  <c r="AL47" i="35" s="1"/>
  <c r="AM22" i="35"/>
  <c r="AM47" i="35" s="1"/>
  <c r="AN22" i="35"/>
  <c r="AN47" i="35" s="1"/>
  <c r="AO22" i="35"/>
  <c r="AO47" i="35" s="1"/>
  <c r="AP22" i="35"/>
  <c r="AP47" i="35" s="1"/>
  <c r="AQ22" i="35"/>
  <c r="AQ47" i="35" s="1"/>
  <c r="AR22" i="35"/>
  <c r="AR47" i="35" s="1"/>
  <c r="AS22" i="35"/>
  <c r="AS47" i="35" s="1"/>
  <c r="AT22" i="35"/>
  <c r="AT47" i="35" s="1"/>
  <c r="AU22" i="35"/>
  <c r="AU47" i="35" s="1"/>
  <c r="AV22" i="35"/>
  <c r="AV47" i="35" s="1"/>
  <c r="AW22" i="35"/>
  <c r="AW47" i="35" s="1"/>
  <c r="AX22" i="35"/>
  <c r="AX47" i="35" s="1"/>
  <c r="AY22" i="35"/>
  <c r="AY47" i="35" s="1"/>
  <c r="AZ22" i="35"/>
  <c r="AZ47" i="35" s="1"/>
  <c r="BA22" i="35"/>
  <c r="BA47" i="35" s="1"/>
  <c r="BB22" i="35"/>
  <c r="BB47" i="35" s="1"/>
  <c r="BC22" i="35"/>
  <c r="BC47" i="35" s="1"/>
  <c r="BD22" i="35"/>
  <c r="BD47" i="35" s="1"/>
  <c r="BE22" i="35"/>
  <c r="BE47" i="35" s="1"/>
  <c r="BF22" i="35"/>
  <c r="BF47" i="35" s="1"/>
  <c r="BG22" i="35"/>
  <c r="BG47" i="35" s="1"/>
  <c r="BH22" i="35"/>
  <c r="BH47" i="35" s="1"/>
  <c r="BI22" i="35"/>
  <c r="BI47" i="35" s="1"/>
  <c r="BJ22" i="35"/>
  <c r="BJ47" i="35" s="1"/>
  <c r="BK22" i="35"/>
  <c r="BK47" i="35" s="1"/>
  <c r="BL22" i="35"/>
  <c r="BL47" i="35" s="1"/>
  <c r="BM22" i="35"/>
  <c r="BM47" i="35" s="1"/>
  <c r="BN22" i="35"/>
  <c r="BN47" i="35" s="1"/>
  <c r="BO22" i="35"/>
  <c r="BO47" i="35" s="1"/>
  <c r="L20" i="35"/>
  <c r="L45" i="35" s="1"/>
  <c r="Y69" i="35" s="1"/>
  <c r="M20" i="35"/>
  <c r="M45" i="35" s="1"/>
  <c r="Z69" i="35" s="1"/>
  <c r="N20" i="35"/>
  <c r="N45" i="35" s="1"/>
  <c r="AA69" i="35" s="1"/>
  <c r="O20" i="35"/>
  <c r="O45" i="35" s="1"/>
  <c r="AB69" i="35" s="1"/>
  <c r="Q20" i="35"/>
  <c r="Q45" i="35" s="1"/>
  <c r="AD69" i="35" s="1"/>
  <c r="R20" i="35"/>
  <c r="R45" i="35" s="1"/>
  <c r="AE69" i="35" s="1"/>
  <c r="S20" i="35"/>
  <c r="S45" i="35" s="1"/>
  <c r="AF69" i="35" s="1"/>
  <c r="T20" i="35"/>
  <c r="T45" i="35" s="1"/>
  <c r="AG69" i="35" s="1"/>
  <c r="U20" i="35"/>
  <c r="U45" i="35" s="1"/>
  <c r="AH69" i="35" s="1"/>
  <c r="V20" i="35"/>
  <c r="V45" i="35" s="1"/>
  <c r="AI69" i="35" s="1"/>
  <c r="W20" i="35"/>
  <c r="W45" i="35" s="1"/>
  <c r="AJ69" i="35" s="1"/>
  <c r="X20" i="35"/>
  <c r="X45" i="35" s="1"/>
  <c r="AK69" i="35" s="1"/>
  <c r="Y20" i="35"/>
  <c r="Y45" i="35" s="1"/>
  <c r="AL69" i="35" s="1"/>
  <c r="Z20" i="35"/>
  <c r="Z45" i="35" s="1"/>
  <c r="AM69" i="35" s="1"/>
  <c r="AA20" i="35"/>
  <c r="AA45" i="35" s="1"/>
  <c r="AN69" i="35" s="1"/>
  <c r="AD20" i="35"/>
  <c r="AD45" i="35" s="1"/>
  <c r="AQ69" i="35" s="1"/>
  <c r="AE20" i="35"/>
  <c r="AE45" i="35" s="1"/>
  <c r="AR69" i="35" s="1"/>
  <c r="AF20" i="35"/>
  <c r="AF45" i="35" s="1"/>
  <c r="AS69" i="35" s="1"/>
  <c r="AG20" i="35"/>
  <c r="AG45" i="35" s="1"/>
  <c r="AT69" i="35" s="1"/>
  <c r="AH20" i="35"/>
  <c r="AH45" i="35" s="1"/>
  <c r="AU69" i="35" s="1"/>
  <c r="AI20" i="35"/>
  <c r="AI45" i="35" s="1"/>
  <c r="AV69" i="35" s="1"/>
  <c r="AJ20" i="35"/>
  <c r="AJ45" i="35" s="1"/>
  <c r="AW69" i="35" s="1"/>
  <c r="AK20" i="35"/>
  <c r="AK45" i="35" s="1"/>
  <c r="AX69" i="35" s="1"/>
  <c r="AL20" i="35"/>
  <c r="AL45" i="35" s="1"/>
  <c r="AY69" i="35" s="1"/>
  <c r="AM20" i="35"/>
  <c r="AM45" i="35" s="1"/>
  <c r="AZ69" i="35" s="1"/>
  <c r="AN20" i="35"/>
  <c r="AN45" i="35" s="1"/>
  <c r="BA69" i="35" s="1"/>
  <c r="AQ20" i="35"/>
  <c r="AQ45" i="35" s="1"/>
  <c r="BD69" i="35" s="1"/>
  <c r="AR20" i="35"/>
  <c r="AR45" i="35" s="1"/>
  <c r="BE69" i="35" s="1"/>
  <c r="AS20" i="35"/>
  <c r="AS45" i="35" s="1"/>
  <c r="BF69" i="35" s="1"/>
  <c r="AT20" i="35"/>
  <c r="AT45" i="35" s="1"/>
  <c r="BG69" i="35" s="1"/>
  <c r="AU20" i="35"/>
  <c r="AU45" i="35" s="1"/>
  <c r="BH69" i="35" s="1"/>
  <c r="AV20" i="35"/>
  <c r="AV45" i="35" s="1"/>
  <c r="BI69" i="35" s="1"/>
  <c r="AW20" i="35"/>
  <c r="AW45" i="35" s="1"/>
  <c r="BJ69" i="35" s="1"/>
  <c r="AX20" i="35"/>
  <c r="AX45" i="35" s="1"/>
  <c r="BK69" i="35" s="1"/>
  <c r="AY20" i="35"/>
  <c r="AY45" i="35" s="1"/>
  <c r="BL69" i="35" s="1"/>
  <c r="AZ20" i="35"/>
  <c r="AZ45" i="35" s="1"/>
  <c r="BM69" i="35" s="1"/>
  <c r="BA20" i="35"/>
  <c r="BA45" i="35" s="1"/>
  <c r="BN69" i="35" s="1"/>
  <c r="BB20" i="35"/>
  <c r="BB45" i="35" s="1"/>
  <c r="BO69" i="35" s="1"/>
  <c r="BD20" i="35"/>
  <c r="BD45" i="35" s="1"/>
  <c r="BE20" i="35"/>
  <c r="BE45" i="35" s="1"/>
  <c r="BF20" i="35"/>
  <c r="BF45" i="35" s="1"/>
  <c r="BG20" i="35"/>
  <c r="BG45" i="35" s="1"/>
  <c r="BH20" i="35"/>
  <c r="BH45" i="35" s="1"/>
  <c r="BI20" i="35"/>
  <c r="BI45" i="35" s="1"/>
  <c r="BJ20" i="35"/>
  <c r="BJ45" i="35" s="1"/>
  <c r="BK20" i="35"/>
  <c r="BK45" i="35" s="1"/>
  <c r="BL20" i="35"/>
  <c r="BL45" i="35" s="1"/>
  <c r="BM20" i="35"/>
  <c r="BM45" i="35" s="1"/>
  <c r="BN20" i="35"/>
  <c r="BN45" i="35" s="1"/>
  <c r="L21" i="35"/>
  <c r="L46" i="35" s="1"/>
  <c r="Y70" i="35" s="1"/>
  <c r="M21" i="35"/>
  <c r="M46" i="35" s="1"/>
  <c r="Z70" i="35" s="1"/>
  <c r="N21" i="35"/>
  <c r="N46" i="35" s="1"/>
  <c r="AA70" i="35" s="1"/>
  <c r="O21" i="35"/>
  <c r="O46" i="35" s="1"/>
  <c r="AB70" i="35" s="1"/>
  <c r="Q21" i="35"/>
  <c r="Q46" i="35" s="1"/>
  <c r="AD70" i="35" s="1"/>
  <c r="R21" i="35"/>
  <c r="R46" i="35" s="1"/>
  <c r="AE70" i="35" s="1"/>
  <c r="S21" i="35"/>
  <c r="S46" i="35" s="1"/>
  <c r="AF70" i="35" s="1"/>
  <c r="T21" i="35"/>
  <c r="T46" i="35" s="1"/>
  <c r="AG70" i="35" s="1"/>
  <c r="U21" i="35"/>
  <c r="U46" i="35" s="1"/>
  <c r="AH70" i="35" s="1"/>
  <c r="V21" i="35"/>
  <c r="V46" i="35" s="1"/>
  <c r="AI70" i="35" s="1"/>
  <c r="W21" i="35"/>
  <c r="W46" i="35" s="1"/>
  <c r="AJ70" i="35" s="1"/>
  <c r="X21" i="35"/>
  <c r="X46" i="35" s="1"/>
  <c r="AK70" i="35" s="1"/>
  <c r="Y21" i="35"/>
  <c r="Y46" i="35" s="1"/>
  <c r="AL70" i="35" s="1"/>
  <c r="Z21" i="35"/>
  <c r="Z46" i="35" s="1"/>
  <c r="AM70" i="35" s="1"/>
  <c r="AA21" i="35"/>
  <c r="AA46" i="35" s="1"/>
  <c r="AN70" i="35" s="1"/>
  <c r="AD21" i="35"/>
  <c r="AD46" i="35" s="1"/>
  <c r="AQ70" i="35" s="1"/>
  <c r="AE21" i="35"/>
  <c r="AE46" i="35" s="1"/>
  <c r="AR70" i="35" s="1"/>
  <c r="AF21" i="35"/>
  <c r="AF46" i="35" s="1"/>
  <c r="AS70" i="35" s="1"/>
  <c r="AG21" i="35"/>
  <c r="AG46" i="35" s="1"/>
  <c r="AT70" i="35" s="1"/>
  <c r="AH21" i="35"/>
  <c r="AH46" i="35" s="1"/>
  <c r="AU70" i="35" s="1"/>
  <c r="AI21" i="35"/>
  <c r="AI46" i="35" s="1"/>
  <c r="AV70" i="35" s="1"/>
  <c r="AJ21" i="35"/>
  <c r="AJ46" i="35" s="1"/>
  <c r="AW70" i="35" s="1"/>
  <c r="AK21" i="35"/>
  <c r="AK46" i="35" s="1"/>
  <c r="AX70" i="35" s="1"/>
  <c r="AL21" i="35"/>
  <c r="AL46" i="35" s="1"/>
  <c r="AY70" i="35" s="1"/>
  <c r="AM21" i="35"/>
  <c r="AM46" i="35" s="1"/>
  <c r="AZ70" i="35" s="1"/>
  <c r="AN21" i="35"/>
  <c r="AN46" i="35" s="1"/>
  <c r="BA70" i="35" s="1"/>
  <c r="AQ21" i="35"/>
  <c r="AQ46" i="35" s="1"/>
  <c r="BD70" i="35" s="1"/>
  <c r="AR21" i="35"/>
  <c r="AR46" i="35" s="1"/>
  <c r="BE70" i="35" s="1"/>
  <c r="AS21" i="35"/>
  <c r="AS46" i="35" s="1"/>
  <c r="BF70" i="35" s="1"/>
  <c r="AT21" i="35"/>
  <c r="AT46" i="35" s="1"/>
  <c r="BG70" i="35" s="1"/>
  <c r="AU21" i="35"/>
  <c r="AU46" i="35" s="1"/>
  <c r="BH70" i="35" s="1"/>
  <c r="AV21" i="35"/>
  <c r="AV46" i="35" s="1"/>
  <c r="BI70" i="35" s="1"/>
  <c r="AW21" i="35"/>
  <c r="AW46" i="35" s="1"/>
  <c r="BJ70" i="35" s="1"/>
  <c r="AX21" i="35"/>
  <c r="AX46" i="35" s="1"/>
  <c r="BK70" i="35" s="1"/>
  <c r="AY21" i="35"/>
  <c r="AY46" i="35" s="1"/>
  <c r="BL70" i="35" s="1"/>
  <c r="AZ21" i="35"/>
  <c r="AZ46" i="35" s="1"/>
  <c r="BM70" i="35" s="1"/>
  <c r="BA21" i="35"/>
  <c r="BA46" i="35" s="1"/>
  <c r="BN70" i="35" s="1"/>
  <c r="BB21" i="35"/>
  <c r="BB46" i="35" s="1"/>
  <c r="BO70" i="35" s="1"/>
  <c r="BD21" i="35"/>
  <c r="BD46" i="35" s="1"/>
  <c r="BE21" i="35"/>
  <c r="BE46" i="35" s="1"/>
  <c r="BF21" i="35"/>
  <c r="BF46" i="35" s="1"/>
  <c r="BG21" i="35"/>
  <c r="BG46" i="35" s="1"/>
  <c r="BH21" i="35"/>
  <c r="BH46" i="35" s="1"/>
  <c r="BI21" i="35"/>
  <c r="BI46" i="35" s="1"/>
  <c r="BJ21" i="35"/>
  <c r="BJ46" i="35" s="1"/>
  <c r="BK21" i="35"/>
  <c r="BK46" i="35" s="1"/>
  <c r="BL21" i="35"/>
  <c r="BL46" i="35" s="1"/>
  <c r="BM21" i="35"/>
  <c r="BM46" i="35" s="1"/>
  <c r="BN21" i="35"/>
  <c r="BN46" i="35" s="1"/>
  <c r="K18" i="35"/>
  <c r="K43" i="35" s="1"/>
  <c r="L18" i="35"/>
  <c r="L43" i="35" s="1"/>
  <c r="M18" i="35"/>
  <c r="M43" i="35" s="1"/>
  <c r="N18" i="35"/>
  <c r="N43" i="35" s="1"/>
  <c r="O18" i="35"/>
  <c r="O43" i="35" s="1"/>
  <c r="P67" i="35" s="1"/>
  <c r="P18" i="35"/>
  <c r="Q18" i="35"/>
  <c r="Q43" i="35" s="1"/>
  <c r="R67" i="35" s="1"/>
  <c r="R18" i="35"/>
  <c r="R43" i="35" s="1"/>
  <c r="S67" i="35" s="1"/>
  <c r="S18" i="35"/>
  <c r="S43" i="35" s="1"/>
  <c r="T67" i="35" s="1"/>
  <c r="T18" i="35"/>
  <c r="T43" i="35" s="1"/>
  <c r="U67" i="35" s="1"/>
  <c r="U18" i="35"/>
  <c r="U43" i="35" s="1"/>
  <c r="V67" i="35" s="1"/>
  <c r="V18" i="35"/>
  <c r="V43" i="35" s="1"/>
  <c r="W67" i="35" s="1"/>
  <c r="W18" i="35"/>
  <c r="W43" i="35" s="1"/>
  <c r="X67" i="35" s="1"/>
  <c r="X18" i="35"/>
  <c r="X43" i="35" s="1"/>
  <c r="Y67" i="35" s="1"/>
  <c r="Y18" i="35"/>
  <c r="Y43" i="35" s="1"/>
  <c r="Z67" i="35" s="1"/>
  <c r="Z18" i="35"/>
  <c r="Z43" i="35" s="1"/>
  <c r="AA67" i="35" s="1"/>
  <c r="AA18" i="35"/>
  <c r="AA43" i="35" s="1"/>
  <c r="AB67" i="35" s="1"/>
  <c r="AB18" i="35"/>
  <c r="AB43" i="35" s="1"/>
  <c r="AC67" i="35" s="1"/>
  <c r="AC18" i="35"/>
  <c r="AC43" i="35" s="1"/>
  <c r="AD67" i="35" s="1"/>
  <c r="AD18" i="35"/>
  <c r="AD43" i="35" s="1"/>
  <c r="AE67" i="35" s="1"/>
  <c r="AE18" i="35"/>
  <c r="AE43" i="35" s="1"/>
  <c r="AF67" i="35" s="1"/>
  <c r="AF18" i="35"/>
  <c r="AF43" i="35" s="1"/>
  <c r="AG67" i="35" s="1"/>
  <c r="AG18" i="35"/>
  <c r="AG43" i="35" s="1"/>
  <c r="AH67" i="35" s="1"/>
  <c r="AH18" i="35"/>
  <c r="AH43" i="35" s="1"/>
  <c r="AI67" i="35" s="1"/>
  <c r="AI18" i="35"/>
  <c r="AI43" i="35" s="1"/>
  <c r="AJ67" i="35" s="1"/>
  <c r="AJ18" i="35"/>
  <c r="AJ43" i="35" s="1"/>
  <c r="AK67" i="35" s="1"/>
  <c r="AK18" i="35"/>
  <c r="AK43" i="35" s="1"/>
  <c r="AL67" i="35" s="1"/>
  <c r="AL18" i="35"/>
  <c r="AL43" i="35" s="1"/>
  <c r="AM67" i="35" s="1"/>
  <c r="AM18" i="35"/>
  <c r="AM43" i="35" s="1"/>
  <c r="AN67" i="35" s="1"/>
  <c r="AN18" i="35"/>
  <c r="AN43" i="35" s="1"/>
  <c r="AO67" i="35" s="1"/>
  <c r="AO18" i="35"/>
  <c r="AO43" i="35" s="1"/>
  <c r="AP67" i="35" s="1"/>
  <c r="AP18" i="35"/>
  <c r="AP43" i="35" s="1"/>
  <c r="AQ67" i="35" s="1"/>
  <c r="AQ18" i="35"/>
  <c r="AQ43" i="35" s="1"/>
  <c r="AR67" i="35" s="1"/>
  <c r="AR18" i="35"/>
  <c r="AR43" i="35" s="1"/>
  <c r="AS67" i="35" s="1"/>
  <c r="AS18" i="35"/>
  <c r="AS43" i="35" s="1"/>
  <c r="AT67" i="35" s="1"/>
  <c r="AT18" i="35"/>
  <c r="AT43" i="35" s="1"/>
  <c r="AU67" i="35" s="1"/>
  <c r="AU18" i="35"/>
  <c r="AU43" i="35" s="1"/>
  <c r="AV67" i="35" s="1"/>
  <c r="AV18" i="35"/>
  <c r="AV43" i="35" s="1"/>
  <c r="AW67" i="35" s="1"/>
  <c r="AW18" i="35"/>
  <c r="AW43" i="35" s="1"/>
  <c r="AX67" i="35" s="1"/>
  <c r="AX18" i="35"/>
  <c r="AX43" i="35" s="1"/>
  <c r="AY67" i="35" s="1"/>
  <c r="AY18" i="35"/>
  <c r="AY43" i="35" s="1"/>
  <c r="AZ67" i="35" s="1"/>
  <c r="AZ18" i="35"/>
  <c r="AZ43" i="35" s="1"/>
  <c r="BA67" i="35" s="1"/>
  <c r="BA18" i="35"/>
  <c r="BA43" i="35" s="1"/>
  <c r="BB67" i="35" s="1"/>
  <c r="BB18" i="35"/>
  <c r="BB43" i="35" s="1"/>
  <c r="BC67" i="35" s="1"/>
  <c r="BC18" i="35"/>
  <c r="BC43" i="35" s="1"/>
  <c r="BD67" i="35" s="1"/>
  <c r="BD18" i="35"/>
  <c r="BD43" i="35" s="1"/>
  <c r="BE67" i="35" s="1"/>
  <c r="BE18" i="35"/>
  <c r="BE43" i="35" s="1"/>
  <c r="BF67" i="35" s="1"/>
  <c r="BF18" i="35"/>
  <c r="BF43" i="35" s="1"/>
  <c r="BG67" i="35" s="1"/>
  <c r="BG18" i="35"/>
  <c r="BG43" i="35" s="1"/>
  <c r="BH67" i="35" s="1"/>
  <c r="BH18" i="35"/>
  <c r="BH43" i="35" s="1"/>
  <c r="BI67" i="35" s="1"/>
  <c r="BI18" i="35"/>
  <c r="BI43" i="35" s="1"/>
  <c r="BJ67" i="35" s="1"/>
  <c r="BJ18" i="35"/>
  <c r="BJ43" i="35" s="1"/>
  <c r="BK67" i="35" s="1"/>
  <c r="BK18" i="35"/>
  <c r="BK43" i="35" s="1"/>
  <c r="BL67" i="35" s="1"/>
  <c r="BL18" i="35"/>
  <c r="BL43" i="35" s="1"/>
  <c r="BM67" i="35" s="1"/>
  <c r="BM18" i="35"/>
  <c r="BM43" i="35" s="1"/>
  <c r="BN67" i="35" s="1"/>
  <c r="BN18" i="35"/>
  <c r="BN43" i="35" s="1"/>
  <c r="BO67" i="35" s="1"/>
  <c r="BO18" i="35"/>
  <c r="BO43" i="35" s="1"/>
  <c r="K15" i="35"/>
  <c r="K40" i="35" s="1"/>
  <c r="L15" i="35"/>
  <c r="L40" i="35" s="1"/>
  <c r="M15" i="35"/>
  <c r="M40" i="35" s="1"/>
  <c r="N15" i="35"/>
  <c r="N40" i="35" s="1"/>
  <c r="O15" i="35"/>
  <c r="O40" i="35" s="1"/>
  <c r="P64" i="35" s="1"/>
  <c r="P15" i="35"/>
  <c r="Q15" i="35"/>
  <c r="Q40" i="35" s="1"/>
  <c r="R64" i="35" s="1"/>
  <c r="R15" i="35"/>
  <c r="R40" i="35" s="1"/>
  <c r="S64" i="35" s="1"/>
  <c r="S15" i="35"/>
  <c r="S40" i="35" s="1"/>
  <c r="T64" i="35" s="1"/>
  <c r="T15" i="35"/>
  <c r="T40" i="35" s="1"/>
  <c r="U64" i="35" s="1"/>
  <c r="U15" i="35"/>
  <c r="U40" i="35" s="1"/>
  <c r="V64" i="35" s="1"/>
  <c r="V15" i="35"/>
  <c r="V40" i="35" s="1"/>
  <c r="W64" i="35" s="1"/>
  <c r="W15" i="35"/>
  <c r="W40" i="35" s="1"/>
  <c r="X64" i="35" s="1"/>
  <c r="X15" i="35"/>
  <c r="X40" i="35" s="1"/>
  <c r="Y64" i="35" s="1"/>
  <c r="Y15" i="35"/>
  <c r="Y40" i="35" s="1"/>
  <c r="Z64" i="35" s="1"/>
  <c r="Z15" i="35"/>
  <c r="Z40" i="35" s="1"/>
  <c r="AA64" i="35" s="1"/>
  <c r="AA15" i="35"/>
  <c r="AA40" i="35" s="1"/>
  <c r="AB64" i="35" s="1"/>
  <c r="AB15" i="35"/>
  <c r="AB40" i="35" s="1"/>
  <c r="AC64" i="35" s="1"/>
  <c r="AC15" i="35"/>
  <c r="AC40" i="35" s="1"/>
  <c r="AD64" i="35" s="1"/>
  <c r="AD15" i="35"/>
  <c r="AD40" i="35" s="1"/>
  <c r="AE64" i="35" s="1"/>
  <c r="AE15" i="35"/>
  <c r="AE40" i="35" s="1"/>
  <c r="AF64" i="35" s="1"/>
  <c r="AF15" i="35"/>
  <c r="AF40" i="35" s="1"/>
  <c r="AG64" i="35" s="1"/>
  <c r="AG15" i="35"/>
  <c r="AG40" i="35" s="1"/>
  <c r="AH64" i="35" s="1"/>
  <c r="AH15" i="35"/>
  <c r="AH40" i="35" s="1"/>
  <c r="AI64" i="35" s="1"/>
  <c r="AI15" i="35"/>
  <c r="AI40" i="35" s="1"/>
  <c r="AJ64" i="35" s="1"/>
  <c r="AJ15" i="35"/>
  <c r="AJ40" i="35" s="1"/>
  <c r="AK64" i="35" s="1"/>
  <c r="AK15" i="35"/>
  <c r="AK40" i="35" s="1"/>
  <c r="AL64" i="35" s="1"/>
  <c r="AL15" i="35"/>
  <c r="AL40" i="35" s="1"/>
  <c r="AM64" i="35" s="1"/>
  <c r="AM15" i="35"/>
  <c r="AM40" i="35" s="1"/>
  <c r="AN64" i="35" s="1"/>
  <c r="AN15" i="35"/>
  <c r="AN40" i="35" s="1"/>
  <c r="AO64" i="35" s="1"/>
  <c r="AO15" i="35"/>
  <c r="AO40" i="35" s="1"/>
  <c r="AP64" i="35" s="1"/>
  <c r="AP15" i="35"/>
  <c r="AP40" i="35" s="1"/>
  <c r="AQ64" i="35" s="1"/>
  <c r="AQ15" i="35"/>
  <c r="AQ40" i="35" s="1"/>
  <c r="AR64" i="35" s="1"/>
  <c r="AR15" i="35"/>
  <c r="AR40" i="35" s="1"/>
  <c r="AS64" i="35" s="1"/>
  <c r="AS15" i="35"/>
  <c r="AS40" i="35" s="1"/>
  <c r="AT64" i="35" s="1"/>
  <c r="AT15" i="35"/>
  <c r="AT40" i="35" s="1"/>
  <c r="AU64" i="35" s="1"/>
  <c r="AU15" i="35"/>
  <c r="AU40" i="35" s="1"/>
  <c r="AV64" i="35" s="1"/>
  <c r="AV15" i="35"/>
  <c r="AV40" i="35" s="1"/>
  <c r="AW64" i="35" s="1"/>
  <c r="AW15" i="35"/>
  <c r="AW40" i="35" s="1"/>
  <c r="AX64" i="35" s="1"/>
  <c r="AX15" i="35"/>
  <c r="AX40" i="35" s="1"/>
  <c r="AY64" i="35" s="1"/>
  <c r="AY15" i="35"/>
  <c r="AY40" i="35" s="1"/>
  <c r="AZ64" i="35" s="1"/>
  <c r="AZ15" i="35"/>
  <c r="AZ40" i="35" s="1"/>
  <c r="BA64" i="35" s="1"/>
  <c r="BA15" i="35"/>
  <c r="BA40" i="35" s="1"/>
  <c r="BB64" i="35" s="1"/>
  <c r="BB15" i="35"/>
  <c r="BB40" i="35" s="1"/>
  <c r="BC64" i="35" s="1"/>
  <c r="BC15" i="35"/>
  <c r="BC40" i="35" s="1"/>
  <c r="BD64" i="35" s="1"/>
  <c r="BD15" i="35"/>
  <c r="BD40" i="35" s="1"/>
  <c r="BE64" i="35" s="1"/>
  <c r="BE15" i="35"/>
  <c r="BE40" i="35" s="1"/>
  <c r="BF64" i="35" s="1"/>
  <c r="BF15" i="35"/>
  <c r="BF40" i="35" s="1"/>
  <c r="BG64" i="35" s="1"/>
  <c r="BG15" i="35"/>
  <c r="BG40" i="35" s="1"/>
  <c r="BH64" i="35" s="1"/>
  <c r="BH15" i="35"/>
  <c r="BH40" i="35" s="1"/>
  <c r="BI64" i="35" s="1"/>
  <c r="BI15" i="35"/>
  <c r="BI40" i="35" s="1"/>
  <c r="BJ64" i="35" s="1"/>
  <c r="BJ15" i="35"/>
  <c r="BJ40" i="35" s="1"/>
  <c r="BK64" i="35" s="1"/>
  <c r="BK15" i="35"/>
  <c r="BK40" i="35" s="1"/>
  <c r="BL64" i="35" s="1"/>
  <c r="BL15" i="35"/>
  <c r="BL40" i="35" s="1"/>
  <c r="BM64" i="35" s="1"/>
  <c r="BM15" i="35"/>
  <c r="BM40" i="35" s="1"/>
  <c r="BN64" i="35" s="1"/>
  <c r="BN15" i="35"/>
  <c r="BN40" i="35" s="1"/>
  <c r="BO64" i="35" s="1"/>
  <c r="BO15" i="35"/>
  <c r="BO40" i="35" s="1"/>
  <c r="K14" i="35"/>
  <c r="K39" i="35" s="1"/>
  <c r="L14" i="35"/>
  <c r="L39" i="35" s="1"/>
  <c r="M14" i="35"/>
  <c r="M39" i="35" s="1"/>
  <c r="N14" i="35"/>
  <c r="N39" i="35" s="1"/>
  <c r="O14" i="35"/>
  <c r="O39" i="35" s="1"/>
  <c r="P63" i="35" s="1"/>
  <c r="P14" i="35"/>
  <c r="Q14" i="35"/>
  <c r="Q39" i="35" s="1"/>
  <c r="R63" i="35" s="1"/>
  <c r="R14" i="35"/>
  <c r="R39" i="35" s="1"/>
  <c r="S63" i="35" s="1"/>
  <c r="S14" i="35"/>
  <c r="S39" i="35" s="1"/>
  <c r="T63" i="35" s="1"/>
  <c r="T14" i="35"/>
  <c r="T39" i="35" s="1"/>
  <c r="U63" i="35" s="1"/>
  <c r="U14" i="35"/>
  <c r="U39" i="35" s="1"/>
  <c r="V63" i="35" s="1"/>
  <c r="V14" i="35"/>
  <c r="V39" i="35" s="1"/>
  <c r="W63" i="35" s="1"/>
  <c r="W14" i="35"/>
  <c r="W39" i="35" s="1"/>
  <c r="X63" i="35" s="1"/>
  <c r="X14" i="35"/>
  <c r="X39" i="35" s="1"/>
  <c r="Y63" i="35" s="1"/>
  <c r="Y14" i="35"/>
  <c r="Y39" i="35" s="1"/>
  <c r="Z63" i="35" s="1"/>
  <c r="Z14" i="35"/>
  <c r="Z39" i="35" s="1"/>
  <c r="AA63" i="35" s="1"/>
  <c r="AA14" i="35"/>
  <c r="AA39" i="35" s="1"/>
  <c r="AB63" i="35" s="1"/>
  <c r="AB14" i="35"/>
  <c r="AB39" i="35" s="1"/>
  <c r="AC63" i="35" s="1"/>
  <c r="AC14" i="35"/>
  <c r="AC39" i="35" s="1"/>
  <c r="AD63" i="35" s="1"/>
  <c r="AD14" i="35"/>
  <c r="AD39" i="35" s="1"/>
  <c r="AE63" i="35" s="1"/>
  <c r="AE14" i="35"/>
  <c r="AE39" i="35" s="1"/>
  <c r="AF63" i="35" s="1"/>
  <c r="AF14" i="35"/>
  <c r="AF39" i="35" s="1"/>
  <c r="AG63" i="35" s="1"/>
  <c r="AG14" i="35"/>
  <c r="AG39" i="35" s="1"/>
  <c r="AH63" i="35" s="1"/>
  <c r="AH14" i="35"/>
  <c r="AH39" i="35" s="1"/>
  <c r="AI63" i="35" s="1"/>
  <c r="AI14" i="35"/>
  <c r="AI39" i="35" s="1"/>
  <c r="AJ63" i="35" s="1"/>
  <c r="AJ14" i="35"/>
  <c r="AJ39" i="35" s="1"/>
  <c r="AK63" i="35" s="1"/>
  <c r="AK14" i="35"/>
  <c r="AK39" i="35" s="1"/>
  <c r="AL63" i="35" s="1"/>
  <c r="AL14" i="35"/>
  <c r="AL39" i="35" s="1"/>
  <c r="AM63" i="35" s="1"/>
  <c r="AM14" i="35"/>
  <c r="AM39" i="35" s="1"/>
  <c r="AN63" i="35" s="1"/>
  <c r="AN14" i="35"/>
  <c r="AN39" i="35" s="1"/>
  <c r="AO63" i="35" s="1"/>
  <c r="AO14" i="35"/>
  <c r="AO39" i="35" s="1"/>
  <c r="AP63" i="35" s="1"/>
  <c r="AP14" i="35"/>
  <c r="AP39" i="35" s="1"/>
  <c r="AQ63" i="35" s="1"/>
  <c r="AQ14" i="35"/>
  <c r="AQ39" i="35" s="1"/>
  <c r="AR63" i="35" s="1"/>
  <c r="AR14" i="35"/>
  <c r="AR39" i="35" s="1"/>
  <c r="AS63" i="35" s="1"/>
  <c r="AS14" i="35"/>
  <c r="AS39" i="35" s="1"/>
  <c r="AT63" i="35" s="1"/>
  <c r="AT14" i="35"/>
  <c r="AT39" i="35" s="1"/>
  <c r="AU63" i="35" s="1"/>
  <c r="AU14" i="35"/>
  <c r="AU39" i="35" s="1"/>
  <c r="AV63" i="35" s="1"/>
  <c r="AV14" i="35"/>
  <c r="AV39" i="35" s="1"/>
  <c r="AW63" i="35" s="1"/>
  <c r="AW14" i="35"/>
  <c r="AW39" i="35" s="1"/>
  <c r="AX63" i="35" s="1"/>
  <c r="AX14" i="35"/>
  <c r="AX39" i="35" s="1"/>
  <c r="AY63" i="35" s="1"/>
  <c r="AY14" i="35"/>
  <c r="AY39" i="35" s="1"/>
  <c r="AZ63" i="35" s="1"/>
  <c r="AZ14" i="35"/>
  <c r="AZ39" i="35" s="1"/>
  <c r="BA63" i="35" s="1"/>
  <c r="BA14" i="35"/>
  <c r="BA39" i="35" s="1"/>
  <c r="BB63" i="35" s="1"/>
  <c r="BB14" i="35"/>
  <c r="BB39" i="35" s="1"/>
  <c r="BC63" i="35" s="1"/>
  <c r="BC14" i="35"/>
  <c r="BC39" i="35" s="1"/>
  <c r="BD63" i="35" s="1"/>
  <c r="BD14" i="35"/>
  <c r="BD39" i="35" s="1"/>
  <c r="BE63" i="35" s="1"/>
  <c r="BE14" i="35"/>
  <c r="BE39" i="35" s="1"/>
  <c r="BF63" i="35" s="1"/>
  <c r="BF14" i="35"/>
  <c r="BF39" i="35" s="1"/>
  <c r="BG63" i="35" s="1"/>
  <c r="BG14" i="35"/>
  <c r="BG39" i="35" s="1"/>
  <c r="BH63" i="35" s="1"/>
  <c r="BH14" i="35"/>
  <c r="BH39" i="35" s="1"/>
  <c r="BI63" i="35" s="1"/>
  <c r="BI14" i="35"/>
  <c r="BI39" i="35" s="1"/>
  <c r="BJ63" i="35" s="1"/>
  <c r="BJ14" i="35"/>
  <c r="BJ39" i="35" s="1"/>
  <c r="BK63" i="35" s="1"/>
  <c r="BK14" i="35"/>
  <c r="BK39" i="35" s="1"/>
  <c r="BL63" i="35" s="1"/>
  <c r="BL14" i="35"/>
  <c r="BL39" i="35" s="1"/>
  <c r="BM63" i="35" s="1"/>
  <c r="BM14" i="35"/>
  <c r="BM39" i="35" s="1"/>
  <c r="BN63" i="35" s="1"/>
  <c r="BN14" i="35"/>
  <c r="BN39" i="35" s="1"/>
  <c r="BO63" i="35" s="1"/>
  <c r="BO14" i="35"/>
  <c r="BO39" i="35" s="1"/>
  <c r="K13" i="35"/>
  <c r="K38" i="35" s="1"/>
  <c r="L13" i="35"/>
  <c r="L38" i="35" s="1"/>
  <c r="M13" i="35"/>
  <c r="M38" i="35" s="1"/>
  <c r="N13" i="35"/>
  <c r="N38" i="35" s="1"/>
  <c r="O13" i="35"/>
  <c r="O38" i="35" s="1"/>
  <c r="P62" i="35" s="1"/>
  <c r="P13" i="35"/>
  <c r="Q13" i="35"/>
  <c r="Q38" i="35" s="1"/>
  <c r="R62" i="35" s="1"/>
  <c r="R13" i="35"/>
  <c r="R38" i="35" s="1"/>
  <c r="S62" i="35" s="1"/>
  <c r="S13" i="35"/>
  <c r="S38" i="35" s="1"/>
  <c r="T62" i="35" s="1"/>
  <c r="T13" i="35"/>
  <c r="T38" i="35" s="1"/>
  <c r="U62" i="35" s="1"/>
  <c r="U13" i="35"/>
  <c r="U38" i="35" s="1"/>
  <c r="V62" i="35" s="1"/>
  <c r="V13" i="35"/>
  <c r="V38" i="35" s="1"/>
  <c r="W62" i="35" s="1"/>
  <c r="W13" i="35"/>
  <c r="W38" i="35" s="1"/>
  <c r="X62" i="35" s="1"/>
  <c r="X13" i="35"/>
  <c r="X38" i="35" s="1"/>
  <c r="Y62" i="35" s="1"/>
  <c r="Y13" i="35"/>
  <c r="Y38" i="35" s="1"/>
  <c r="Z62" i="35" s="1"/>
  <c r="Z13" i="35"/>
  <c r="Z38" i="35" s="1"/>
  <c r="AA62" i="35" s="1"/>
  <c r="AA13" i="35"/>
  <c r="AA38" i="35" s="1"/>
  <c r="AB62" i="35" s="1"/>
  <c r="AB13" i="35"/>
  <c r="AB38" i="35" s="1"/>
  <c r="AC62" i="35" s="1"/>
  <c r="AC13" i="35"/>
  <c r="AC38" i="35" s="1"/>
  <c r="AD62" i="35" s="1"/>
  <c r="AD13" i="35"/>
  <c r="AD38" i="35" s="1"/>
  <c r="AE62" i="35" s="1"/>
  <c r="AE13" i="35"/>
  <c r="AE38" i="35" s="1"/>
  <c r="AF62" i="35" s="1"/>
  <c r="AF13" i="35"/>
  <c r="AF38" i="35" s="1"/>
  <c r="AG62" i="35" s="1"/>
  <c r="AG13" i="35"/>
  <c r="AG38" i="35" s="1"/>
  <c r="AH62" i="35" s="1"/>
  <c r="AH13" i="35"/>
  <c r="AH38" i="35" s="1"/>
  <c r="AI62" i="35" s="1"/>
  <c r="AI13" i="35"/>
  <c r="AI38" i="35" s="1"/>
  <c r="AJ62" i="35" s="1"/>
  <c r="AJ13" i="35"/>
  <c r="AJ38" i="35" s="1"/>
  <c r="AK62" i="35" s="1"/>
  <c r="AK13" i="35"/>
  <c r="AK38" i="35" s="1"/>
  <c r="AL62" i="35" s="1"/>
  <c r="AL13" i="35"/>
  <c r="AL38" i="35" s="1"/>
  <c r="AM62" i="35" s="1"/>
  <c r="AM13" i="35"/>
  <c r="AM38" i="35" s="1"/>
  <c r="AN62" i="35" s="1"/>
  <c r="AN13" i="35"/>
  <c r="AN38" i="35" s="1"/>
  <c r="AO62" i="35" s="1"/>
  <c r="AO13" i="35"/>
  <c r="AO38" i="35" s="1"/>
  <c r="AP62" i="35" s="1"/>
  <c r="AP13" i="35"/>
  <c r="AP38" i="35" s="1"/>
  <c r="AQ62" i="35" s="1"/>
  <c r="AQ13" i="35"/>
  <c r="AQ38" i="35" s="1"/>
  <c r="AR62" i="35" s="1"/>
  <c r="AR13" i="35"/>
  <c r="AR38" i="35" s="1"/>
  <c r="AS62" i="35" s="1"/>
  <c r="AS13" i="35"/>
  <c r="AS38" i="35" s="1"/>
  <c r="AT62" i="35" s="1"/>
  <c r="AT13" i="35"/>
  <c r="AT38" i="35" s="1"/>
  <c r="AU62" i="35" s="1"/>
  <c r="AU13" i="35"/>
  <c r="AU38" i="35" s="1"/>
  <c r="AV62" i="35" s="1"/>
  <c r="AV13" i="35"/>
  <c r="AV38" i="35" s="1"/>
  <c r="AW62" i="35" s="1"/>
  <c r="AW13" i="35"/>
  <c r="AW38" i="35" s="1"/>
  <c r="AX62" i="35" s="1"/>
  <c r="AX13" i="35"/>
  <c r="AX38" i="35" s="1"/>
  <c r="AY62" i="35" s="1"/>
  <c r="AY13" i="35"/>
  <c r="AY38" i="35" s="1"/>
  <c r="AZ62" i="35" s="1"/>
  <c r="AZ13" i="35"/>
  <c r="AZ38" i="35" s="1"/>
  <c r="BA62" i="35" s="1"/>
  <c r="BA13" i="35"/>
  <c r="BA38" i="35" s="1"/>
  <c r="BB62" i="35" s="1"/>
  <c r="BB13" i="35"/>
  <c r="BB38" i="35" s="1"/>
  <c r="BC62" i="35" s="1"/>
  <c r="BC13" i="35"/>
  <c r="BC38" i="35" s="1"/>
  <c r="BD62" i="35" s="1"/>
  <c r="BD13" i="35"/>
  <c r="BD38" i="35" s="1"/>
  <c r="BE62" i="35" s="1"/>
  <c r="BE13" i="35"/>
  <c r="BE38" i="35" s="1"/>
  <c r="BF62" i="35" s="1"/>
  <c r="BF13" i="35"/>
  <c r="BF38" i="35" s="1"/>
  <c r="BG62" i="35" s="1"/>
  <c r="BG13" i="35"/>
  <c r="BG38" i="35" s="1"/>
  <c r="BH62" i="35" s="1"/>
  <c r="BH13" i="35"/>
  <c r="BH38" i="35" s="1"/>
  <c r="BI62" i="35" s="1"/>
  <c r="BI13" i="35"/>
  <c r="BI38" i="35" s="1"/>
  <c r="BJ62" i="35" s="1"/>
  <c r="BJ13" i="35"/>
  <c r="BJ38" i="35" s="1"/>
  <c r="BK62" i="35" s="1"/>
  <c r="BK13" i="35"/>
  <c r="BK38" i="35" s="1"/>
  <c r="BL62" i="35" s="1"/>
  <c r="BL13" i="35"/>
  <c r="BL38" i="35" s="1"/>
  <c r="BM62" i="35" s="1"/>
  <c r="BM13" i="35"/>
  <c r="BM38" i="35" s="1"/>
  <c r="BN62" i="35" s="1"/>
  <c r="BN13" i="35"/>
  <c r="BN38" i="35" s="1"/>
  <c r="BO62" i="35" s="1"/>
  <c r="BO13" i="35"/>
  <c r="BO38" i="35" s="1"/>
  <c r="K12" i="35"/>
  <c r="K37" i="35" s="1"/>
  <c r="L12" i="35"/>
  <c r="L37" i="35" s="1"/>
  <c r="M12" i="35"/>
  <c r="M37" i="35" s="1"/>
  <c r="N12" i="35"/>
  <c r="N37" i="35" s="1"/>
  <c r="O12" i="35"/>
  <c r="O37" i="35" s="1"/>
  <c r="P61" i="35" s="1"/>
  <c r="P12" i="35"/>
  <c r="R12" i="35"/>
  <c r="R37" i="35" s="1"/>
  <c r="S61" i="35" s="1"/>
  <c r="S12" i="35"/>
  <c r="S37" i="35" s="1"/>
  <c r="T61" i="35" s="1"/>
  <c r="T12" i="35"/>
  <c r="T37" i="35" s="1"/>
  <c r="U61" i="35" s="1"/>
  <c r="U12" i="35"/>
  <c r="U37" i="35" s="1"/>
  <c r="V61" i="35" s="1"/>
  <c r="V12" i="35"/>
  <c r="V37" i="35" s="1"/>
  <c r="W61" i="35" s="1"/>
  <c r="W12" i="35"/>
  <c r="W37" i="35" s="1"/>
  <c r="X61" i="35" s="1"/>
  <c r="Y12" i="35"/>
  <c r="Y37" i="35" s="1"/>
  <c r="Z61" i="35" s="1"/>
  <c r="Z12" i="35"/>
  <c r="Z37" i="35" s="1"/>
  <c r="AA61" i="35" s="1"/>
  <c r="AA12" i="35"/>
  <c r="AA37" i="35" s="1"/>
  <c r="AB61" i="35" s="1"/>
  <c r="AB12" i="35"/>
  <c r="AB37" i="35" s="1"/>
  <c r="AC61" i="35" s="1"/>
  <c r="AC12" i="35"/>
  <c r="AC37" i="35" s="1"/>
  <c r="AD61" i="35" s="1"/>
  <c r="AD12" i="35"/>
  <c r="AD37" i="35" s="1"/>
  <c r="AE61" i="35" s="1"/>
  <c r="AF12" i="35"/>
  <c r="AF37" i="35" s="1"/>
  <c r="AG61" i="35" s="1"/>
  <c r="AG12" i="35"/>
  <c r="AG37" i="35" s="1"/>
  <c r="AH61" i="35" s="1"/>
  <c r="AH12" i="35"/>
  <c r="AH37" i="35" s="1"/>
  <c r="AI61" i="35" s="1"/>
  <c r="AI12" i="35"/>
  <c r="AI37" i="35" s="1"/>
  <c r="AJ61" i="35" s="1"/>
  <c r="AJ12" i="35"/>
  <c r="AJ37" i="35" s="1"/>
  <c r="AK61" i="35" s="1"/>
  <c r="AK12" i="35"/>
  <c r="AK37" i="35" s="1"/>
  <c r="AL61" i="35" s="1"/>
  <c r="AM12" i="35"/>
  <c r="AM37" i="35" s="1"/>
  <c r="AN61" i="35" s="1"/>
  <c r="AN12" i="35"/>
  <c r="AN37" i="35" s="1"/>
  <c r="AO61" i="35" s="1"/>
  <c r="AO12" i="35"/>
  <c r="AO37" i="35" s="1"/>
  <c r="AP61" i="35" s="1"/>
  <c r="AP12" i="35"/>
  <c r="AP37" i="35" s="1"/>
  <c r="AQ61" i="35" s="1"/>
  <c r="AQ12" i="35"/>
  <c r="AQ37" i="35" s="1"/>
  <c r="AR61" i="35" s="1"/>
  <c r="AR12" i="35"/>
  <c r="AR37" i="35" s="1"/>
  <c r="AS61" i="35" s="1"/>
  <c r="AT12" i="35"/>
  <c r="AT37" i="35" s="1"/>
  <c r="AU61" i="35" s="1"/>
  <c r="AU12" i="35"/>
  <c r="AU37" i="35" s="1"/>
  <c r="AV61" i="35" s="1"/>
  <c r="AV12" i="35"/>
  <c r="AV37" i="35" s="1"/>
  <c r="AW61" i="35" s="1"/>
  <c r="AW12" i="35"/>
  <c r="AW37" i="35" s="1"/>
  <c r="AX61" i="35" s="1"/>
  <c r="AX12" i="35"/>
  <c r="AX37" i="35" s="1"/>
  <c r="AY61" i="35" s="1"/>
  <c r="AY12" i="35"/>
  <c r="AY37" i="35" s="1"/>
  <c r="AZ61" i="35" s="1"/>
  <c r="BA12" i="35"/>
  <c r="BA37" i="35" s="1"/>
  <c r="BB61" i="35" s="1"/>
  <c r="BB12" i="35"/>
  <c r="BB37" i="35" s="1"/>
  <c r="BC61" i="35" s="1"/>
  <c r="BC12" i="35"/>
  <c r="BC37" i="35" s="1"/>
  <c r="BD61" i="35" s="1"/>
  <c r="BD12" i="35"/>
  <c r="BD37" i="35" s="1"/>
  <c r="BE61" i="35" s="1"/>
  <c r="BE12" i="35"/>
  <c r="BE37" i="35" s="1"/>
  <c r="BF61" i="35" s="1"/>
  <c r="BF12" i="35"/>
  <c r="BF37" i="35" s="1"/>
  <c r="BG61" i="35" s="1"/>
  <c r="BH12" i="35"/>
  <c r="BH37" i="35" s="1"/>
  <c r="BI61" i="35" s="1"/>
  <c r="BI12" i="35"/>
  <c r="BI37" i="35" s="1"/>
  <c r="BJ61" i="35" s="1"/>
  <c r="BJ12" i="35"/>
  <c r="BJ37" i="35" s="1"/>
  <c r="BK61" i="35" s="1"/>
  <c r="BK12" i="35"/>
  <c r="BK37" i="35" s="1"/>
  <c r="BL61" i="35" s="1"/>
  <c r="BL12" i="35"/>
  <c r="BL37" i="35" s="1"/>
  <c r="BM61" i="35" s="1"/>
  <c r="BM12" i="35"/>
  <c r="BM37" i="35" s="1"/>
  <c r="BN61" i="35" s="1"/>
  <c r="BO12" i="35"/>
  <c r="BO37" i="35" s="1"/>
  <c r="K11" i="35"/>
  <c r="K36" i="35" s="1"/>
  <c r="L11" i="35"/>
  <c r="L36" i="35" s="1"/>
  <c r="M11" i="35"/>
  <c r="M36" i="35" s="1"/>
  <c r="P60" i="35" s="1"/>
  <c r="N11" i="35"/>
  <c r="N36" i="35" s="1"/>
  <c r="Q60" i="35" s="1"/>
  <c r="O11" i="35"/>
  <c r="O36" i="35" s="1"/>
  <c r="R60" i="35" s="1"/>
  <c r="P11" i="35"/>
  <c r="Q11" i="35"/>
  <c r="Q36" i="35" s="1"/>
  <c r="T60" i="35" s="1"/>
  <c r="R11" i="35"/>
  <c r="R36" i="35" s="1"/>
  <c r="U60" i="35" s="1"/>
  <c r="S11" i="35"/>
  <c r="S36" i="35" s="1"/>
  <c r="V60" i="35" s="1"/>
  <c r="T11" i="35"/>
  <c r="T36" i="35" s="1"/>
  <c r="W60" i="35" s="1"/>
  <c r="U11" i="35"/>
  <c r="U36" i="35" s="1"/>
  <c r="X60" i="35" s="1"/>
  <c r="V11" i="35"/>
  <c r="V36" i="35" s="1"/>
  <c r="Y60" i="35" s="1"/>
  <c r="W11" i="35"/>
  <c r="W36" i="35" s="1"/>
  <c r="Z60" i="35" s="1"/>
  <c r="X11" i="35"/>
  <c r="X36" i="35" s="1"/>
  <c r="AA60" i="35" s="1"/>
  <c r="Y11" i="35"/>
  <c r="Y36" i="35" s="1"/>
  <c r="AB60" i="35" s="1"/>
  <c r="Z11" i="35"/>
  <c r="Z36" i="35" s="1"/>
  <c r="AC60" i="35" s="1"/>
  <c r="AA11" i="35"/>
  <c r="AA36" i="35" s="1"/>
  <c r="AD60" i="35" s="1"/>
  <c r="AB11" i="35"/>
  <c r="AB36" i="35" s="1"/>
  <c r="AE60" i="35" s="1"/>
  <c r="AC11" i="35"/>
  <c r="AC36" i="35" s="1"/>
  <c r="AF60" i="35" s="1"/>
  <c r="AD11" i="35"/>
  <c r="AD36" i="35" s="1"/>
  <c r="AG60" i="35" s="1"/>
  <c r="AE11" i="35"/>
  <c r="AE36" i="35" s="1"/>
  <c r="AH60" i="35" s="1"/>
  <c r="AF11" i="35"/>
  <c r="AF36" i="35" s="1"/>
  <c r="AI60" i="35" s="1"/>
  <c r="AG11" i="35"/>
  <c r="AG36" i="35" s="1"/>
  <c r="AJ60" i="35" s="1"/>
  <c r="AH11" i="35"/>
  <c r="AH36" i="35" s="1"/>
  <c r="AK60" i="35" s="1"/>
  <c r="AI11" i="35"/>
  <c r="AI36" i="35" s="1"/>
  <c r="AL60" i="35" s="1"/>
  <c r="AJ11" i="35"/>
  <c r="AJ36" i="35" s="1"/>
  <c r="AM60" i="35" s="1"/>
  <c r="AK11" i="35"/>
  <c r="AK36" i="35" s="1"/>
  <c r="AN60" i="35" s="1"/>
  <c r="AL11" i="35"/>
  <c r="AL36" i="35" s="1"/>
  <c r="AO60" i="35" s="1"/>
  <c r="AM11" i="35"/>
  <c r="AM36" i="35" s="1"/>
  <c r="AP60" i="35" s="1"/>
  <c r="AN11" i="35"/>
  <c r="AN36" i="35" s="1"/>
  <c r="AQ60" i="35" s="1"/>
  <c r="AO11" i="35"/>
  <c r="AO36" i="35" s="1"/>
  <c r="AR60" i="35" s="1"/>
  <c r="AP11" i="35"/>
  <c r="AP36" i="35" s="1"/>
  <c r="AS60" i="35" s="1"/>
  <c r="AQ11" i="35"/>
  <c r="AQ36" i="35" s="1"/>
  <c r="AT60" i="35" s="1"/>
  <c r="AR11" i="35"/>
  <c r="AR36" i="35" s="1"/>
  <c r="AU60" i="35" s="1"/>
  <c r="AS11" i="35"/>
  <c r="AS36" i="35" s="1"/>
  <c r="AV60" i="35" s="1"/>
  <c r="AT11" i="35"/>
  <c r="AT36" i="35" s="1"/>
  <c r="AW60" i="35" s="1"/>
  <c r="AU11" i="35"/>
  <c r="AU36" i="35" s="1"/>
  <c r="AX60" i="35" s="1"/>
  <c r="AV11" i="35"/>
  <c r="AV36" i="35" s="1"/>
  <c r="AY60" i="35" s="1"/>
  <c r="AW11" i="35"/>
  <c r="AW36" i="35" s="1"/>
  <c r="AZ60" i="35" s="1"/>
  <c r="AX11" i="35"/>
  <c r="AX36" i="35" s="1"/>
  <c r="BA60" i="35" s="1"/>
  <c r="AY11" i="35"/>
  <c r="AY36" i="35" s="1"/>
  <c r="BB60" i="35" s="1"/>
  <c r="AZ11" i="35"/>
  <c r="AZ36" i="35" s="1"/>
  <c r="BC60" i="35" s="1"/>
  <c r="BA11" i="35"/>
  <c r="BA36" i="35" s="1"/>
  <c r="BD60" i="35" s="1"/>
  <c r="BB11" i="35"/>
  <c r="BB36" i="35" s="1"/>
  <c r="BE60" i="35" s="1"/>
  <c r="BC11" i="35"/>
  <c r="BC36" i="35" s="1"/>
  <c r="BF60" i="35" s="1"/>
  <c r="BD11" i="35"/>
  <c r="BD36" i="35" s="1"/>
  <c r="BG60" i="35" s="1"/>
  <c r="BE11" i="35"/>
  <c r="BE36" i="35" s="1"/>
  <c r="BH60" i="35" s="1"/>
  <c r="BF11" i="35"/>
  <c r="BF36" i="35" s="1"/>
  <c r="BI60" i="35" s="1"/>
  <c r="BG11" i="35"/>
  <c r="BG36" i="35" s="1"/>
  <c r="BJ60" i="35" s="1"/>
  <c r="BH11" i="35"/>
  <c r="BH36" i="35" s="1"/>
  <c r="BK60" i="35" s="1"/>
  <c r="BI11" i="35"/>
  <c r="BI36" i="35" s="1"/>
  <c r="BL60" i="35" s="1"/>
  <c r="BJ11" i="35"/>
  <c r="BJ36" i="35" s="1"/>
  <c r="BM60" i="35" s="1"/>
  <c r="BK11" i="35"/>
  <c r="BK36" i="35" s="1"/>
  <c r="BN60" i="35" s="1"/>
  <c r="BL11" i="35"/>
  <c r="BL36" i="35" s="1"/>
  <c r="BO60" i="35" s="1"/>
  <c r="BM11" i="35"/>
  <c r="BM36" i="35" s="1"/>
  <c r="BN11" i="35"/>
  <c r="BN36" i="35" s="1"/>
  <c r="BO11" i="35"/>
  <c r="BO36" i="35" s="1"/>
  <c r="K10" i="35"/>
  <c r="K35" i="35" s="1"/>
  <c r="L10" i="35"/>
  <c r="L35" i="35" s="1"/>
  <c r="M10" i="35"/>
  <c r="M35" i="35" s="1"/>
  <c r="P59" i="35" s="1"/>
  <c r="N10" i="35"/>
  <c r="N35" i="35" s="1"/>
  <c r="Q59" i="35" s="1"/>
  <c r="O10" i="35"/>
  <c r="O35" i="35" s="1"/>
  <c r="R59" i="35" s="1"/>
  <c r="P10" i="35"/>
  <c r="Q10" i="35"/>
  <c r="Q35" i="35" s="1"/>
  <c r="T59" i="35" s="1"/>
  <c r="R10" i="35"/>
  <c r="R35" i="35" s="1"/>
  <c r="U59" i="35" s="1"/>
  <c r="S10" i="35"/>
  <c r="S35" i="35" s="1"/>
  <c r="V59" i="35" s="1"/>
  <c r="T10" i="35"/>
  <c r="T35" i="35" s="1"/>
  <c r="W59" i="35" s="1"/>
  <c r="U10" i="35"/>
  <c r="U35" i="35" s="1"/>
  <c r="X59" i="35" s="1"/>
  <c r="V10" i="35"/>
  <c r="V35" i="35" s="1"/>
  <c r="Y59" i="35" s="1"/>
  <c r="W10" i="35"/>
  <c r="W35" i="35" s="1"/>
  <c r="Z59" i="35" s="1"/>
  <c r="X10" i="35"/>
  <c r="X35" i="35" s="1"/>
  <c r="AA59" i="35" s="1"/>
  <c r="Y10" i="35"/>
  <c r="Y35" i="35" s="1"/>
  <c r="AB59" i="35" s="1"/>
  <c r="Z10" i="35"/>
  <c r="Z35" i="35" s="1"/>
  <c r="AC59" i="35" s="1"/>
  <c r="AA10" i="35"/>
  <c r="AA35" i="35" s="1"/>
  <c r="AD59" i="35" s="1"/>
  <c r="AB10" i="35"/>
  <c r="AB35" i="35" s="1"/>
  <c r="AE59" i="35" s="1"/>
  <c r="AC10" i="35"/>
  <c r="AC35" i="35" s="1"/>
  <c r="AF59" i="35" s="1"/>
  <c r="AD10" i="35"/>
  <c r="AD35" i="35" s="1"/>
  <c r="AG59" i="35" s="1"/>
  <c r="AE10" i="35"/>
  <c r="AE35" i="35" s="1"/>
  <c r="AH59" i="35" s="1"/>
  <c r="AF10" i="35"/>
  <c r="AF35" i="35" s="1"/>
  <c r="AI59" i="35" s="1"/>
  <c r="AG10" i="35"/>
  <c r="AG35" i="35" s="1"/>
  <c r="AJ59" i="35" s="1"/>
  <c r="AH10" i="35"/>
  <c r="AH35" i="35" s="1"/>
  <c r="AK59" i="35" s="1"/>
  <c r="AI10" i="35"/>
  <c r="AI35" i="35" s="1"/>
  <c r="AL59" i="35" s="1"/>
  <c r="AJ10" i="35"/>
  <c r="AJ35" i="35" s="1"/>
  <c r="AM59" i="35" s="1"/>
  <c r="AK10" i="35"/>
  <c r="AK35" i="35" s="1"/>
  <c r="AN59" i="35" s="1"/>
  <c r="AL10" i="35"/>
  <c r="AL35" i="35" s="1"/>
  <c r="AO59" i="35" s="1"/>
  <c r="AM10" i="35"/>
  <c r="AM35" i="35" s="1"/>
  <c r="AP59" i="35" s="1"/>
  <c r="AN10" i="35"/>
  <c r="AN35" i="35" s="1"/>
  <c r="AQ59" i="35" s="1"/>
  <c r="AO10" i="35"/>
  <c r="AO35" i="35" s="1"/>
  <c r="AR59" i="35" s="1"/>
  <c r="AP10" i="35"/>
  <c r="AP35" i="35" s="1"/>
  <c r="AS59" i="35" s="1"/>
  <c r="AQ10" i="35"/>
  <c r="AQ35" i="35" s="1"/>
  <c r="AT59" i="35" s="1"/>
  <c r="AR10" i="35"/>
  <c r="AR35" i="35" s="1"/>
  <c r="AU59" i="35" s="1"/>
  <c r="AS10" i="35"/>
  <c r="AS35" i="35" s="1"/>
  <c r="AV59" i="35" s="1"/>
  <c r="AT10" i="35"/>
  <c r="AT35" i="35" s="1"/>
  <c r="AW59" i="35" s="1"/>
  <c r="AU10" i="35"/>
  <c r="AU35" i="35" s="1"/>
  <c r="AX59" i="35" s="1"/>
  <c r="AV10" i="35"/>
  <c r="AV35" i="35" s="1"/>
  <c r="AY59" i="35" s="1"/>
  <c r="AW10" i="35"/>
  <c r="AW35" i="35" s="1"/>
  <c r="AZ59" i="35" s="1"/>
  <c r="AX10" i="35"/>
  <c r="AX35" i="35" s="1"/>
  <c r="BA59" i="35" s="1"/>
  <c r="AY10" i="35"/>
  <c r="AY35" i="35" s="1"/>
  <c r="BB59" i="35" s="1"/>
  <c r="AZ10" i="35"/>
  <c r="AZ35" i="35" s="1"/>
  <c r="BC59" i="35" s="1"/>
  <c r="BA10" i="35"/>
  <c r="BA35" i="35" s="1"/>
  <c r="BD59" i="35" s="1"/>
  <c r="BB10" i="35"/>
  <c r="BB35" i="35" s="1"/>
  <c r="BE59" i="35" s="1"/>
  <c r="BC10" i="35"/>
  <c r="BC35" i="35" s="1"/>
  <c r="BF59" i="35" s="1"/>
  <c r="BD10" i="35"/>
  <c r="BD35" i="35" s="1"/>
  <c r="BG59" i="35" s="1"/>
  <c r="BE10" i="35"/>
  <c r="BE35" i="35" s="1"/>
  <c r="BH59" i="35" s="1"/>
  <c r="BF10" i="35"/>
  <c r="BF35" i="35" s="1"/>
  <c r="BI59" i="35" s="1"/>
  <c r="BG10" i="35"/>
  <c r="BG35" i="35" s="1"/>
  <c r="BJ59" i="35" s="1"/>
  <c r="BH10" i="35"/>
  <c r="BH35" i="35" s="1"/>
  <c r="BK59" i="35" s="1"/>
  <c r="BI10" i="35"/>
  <c r="BI35" i="35" s="1"/>
  <c r="BL59" i="35" s="1"/>
  <c r="BJ10" i="35"/>
  <c r="BJ35" i="35" s="1"/>
  <c r="BM59" i="35" s="1"/>
  <c r="BK10" i="35"/>
  <c r="BK35" i="35" s="1"/>
  <c r="BN59" i="35" s="1"/>
  <c r="BL10" i="35"/>
  <c r="BL35" i="35" s="1"/>
  <c r="BO59" i="35" s="1"/>
  <c r="BM10" i="35"/>
  <c r="BM35" i="35" s="1"/>
  <c r="BN10" i="35"/>
  <c r="BN35" i="35" s="1"/>
  <c r="BO10" i="35"/>
  <c r="BO35" i="35" s="1"/>
  <c r="K50" i="10"/>
  <c r="K9" i="35"/>
  <c r="K34" i="35" s="1"/>
  <c r="L9" i="35"/>
  <c r="L34" i="35" s="1"/>
  <c r="M9" i="35"/>
  <c r="M34" i="35" s="1"/>
  <c r="P58" i="35" s="1"/>
  <c r="N9" i="35"/>
  <c r="N34" i="35" s="1"/>
  <c r="Q58" i="35" s="1"/>
  <c r="O9" i="35"/>
  <c r="O34" i="35" s="1"/>
  <c r="R58" i="35" s="1"/>
  <c r="P9" i="35"/>
  <c r="Q9" i="35"/>
  <c r="Q34" i="35" s="1"/>
  <c r="T58" i="35" s="1"/>
  <c r="R9" i="35"/>
  <c r="R34" i="35" s="1"/>
  <c r="U58" i="35" s="1"/>
  <c r="S9" i="35"/>
  <c r="S34" i="35" s="1"/>
  <c r="V58" i="35" s="1"/>
  <c r="T9" i="35"/>
  <c r="T34" i="35" s="1"/>
  <c r="W58" i="35" s="1"/>
  <c r="U9" i="35"/>
  <c r="U34" i="35" s="1"/>
  <c r="X58" i="35" s="1"/>
  <c r="V9" i="35"/>
  <c r="V34" i="35" s="1"/>
  <c r="Y58" i="35" s="1"/>
  <c r="W9" i="35"/>
  <c r="W34" i="35" s="1"/>
  <c r="Z58" i="35" s="1"/>
  <c r="X9" i="35"/>
  <c r="X34" i="35" s="1"/>
  <c r="AA58" i="35" s="1"/>
  <c r="Y9" i="35"/>
  <c r="Y34" i="35" s="1"/>
  <c r="AB58" i="35" s="1"/>
  <c r="Z9" i="35"/>
  <c r="Z34" i="35" s="1"/>
  <c r="AC58" i="35" s="1"/>
  <c r="AA9" i="35"/>
  <c r="AA34" i="35" s="1"/>
  <c r="AD58" i="35" s="1"/>
  <c r="AB9" i="35"/>
  <c r="AB34" i="35" s="1"/>
  <c r="AE58" i="35" s="1"/>
  <c r="AC9" i="35"/>
  <c r="AC34" i="35" s="1"/>
  <c r="AF58" i="35" s="1"/>
  <c r="AD9" i="35"/>
  <c r="AD34" i="35" s="1"/>
  <c r="AG58" i="35" s="1"/>
  <c r="AE9" i="35"/>
  <c r="AE34" i="35" s="1"/>
  <c r="AH58" i="35" s="1"/>
  <c r="AF9" i="35"/>
  <c r="AF34" i="35" s="1"/>
  <c r="AI58" i="35" s="1"/>
  <c r="AG9" i="35"/>
  <c r="AG34" i="35" s="1"/>
  <c r="AJ58" i="35" s="1"/>
  <c r="AH9" i="35"/>
  <c r="AH34" i="35" s="1"/>
  <c r="AK58" i="35" s="1"/>
  <c r="AI9" i="35"/>
  <c r="AI34" i="35" s="1"/>
  <c r="AL58" i="35" s="1"/>
  <c r="AJ9" i="35"/>
  <c r="AJ34" i="35" s="1"/>
  <c r="AM58" i="35" s="1"/>
  <c r="AK9" i="35"/>
  <c r="AK34" i="35" s="1"/>
  <c r="AN58" i="35" s="1"/>
  <c r="AL9" i="35"/>
  <c r="AL34" i="35" s="1"/>
  <c r="AO58" i="35" s="1"/>
  <c r="AM9" i="35"/>
  <c r="AM34" i="35" s="1"/>
  <c r="AP58" i="35" s="1"/>
  <c r="AN9" i="35"/>
  <c r="AN34" i="35" s="1"/>
  <c r="AQ58" i="35" s="1"/>
  <c r="AO9" i="35"/>
  <c r="AO34" i="35" s="1"/>
  <c r="AR58" i="35" s="1"/>
  <c r="AP9" i="35"/>
  <c r="AP34" i="35" s="1"/>
  <c r="AS58" i="35" s="1"/>
  <c r="AQ9" i="35"/>
  <c r="AQ34" i="35" s="1"/>
  <c r="AT58" i="35" s="1"/>
  <c r="AR9" i="35"/>
  <c r="AR34" i="35" s="1"/>
  <c r="AU58" i="35" s="1"/>
  <c r="AS9" i="35"/>
  <c r="AS34" i="35" s="1"/>
  <c r="AV58" i="35" s="1"/>
  <c r="AT9" i="35"/>
  <c r="AT34" i="35" s="1"/>
  <c r="AW58" i="35" s="1"/>
  <c r="AU9" i="35"/>
  <c r="AU34" i="35" s="1"/>
  <c r="AX58" i="35" s="1"/>
  <c r="AV9" i="35"/>
  <c r="AV34" i="35" s="1"/>
  <c r="AY58" i="35" s="1"/>
  <c r="AW9" i="35"/>
  <c r="AW34" i="35" s="1"/>
  <c r="AZ58" i="35" s="1"/>
  <c r="AX9" i="35"/>
  <c r="AX34" i="35" s="1"/>
  <c r="BA58" i="35" s="1"/>
  <c r="AY9" i="35"/>
  <c r="AY34" i="35" s="1"/>
  <c r="BB58" i="35" s="1"/>
  <c r="AZ9" i="35"/>
  <c r="AZ34" i="35" s="1"/>
  <c r="BC58" i="35" s="1"/>
  <c r="BA9" i="35"/>
  <c r="BA34" i="35" s="1"/>
  <c r="BD58" i="35" s="1"/>
  <c r="BB9" i="35"/>
  <c r="BB34" i="35" s="1"/>
  <c r="BE58" i="35" s="1"/>
  <c r="BC9" i="35"/>
  <c r="BC34" i="35" s="1"/>
  <c r="BF58" i="35" s="1"/>
  <c r="BD9" i="35"/>
  <c r="BD34" i="35" s="1"/>
  <c r="BG58" i="35" s="1"/>
  <c r="BE9" i="35"/>
  <c r="BE34" i="35" s="1"/>
  <c r="BH58" i="35" s="1"/>
  <c r="BF9" i="35"/>
  <c r="BF34" i="35" s="1"/>
  <c r="BI58" i="35" s="1"/>
  <c r="BG9" i="35"/>
  <c r="BG34" i="35" s="1"/>
  <c r="BJ58" i="35" s="1"/>
  <c r="BH9" i="35"/>
  <c r="BH34" i="35" s="1"/>
  <c r="BK58" i="35" s="1"/>
  <c r="BI9" i="35"/>
  <c r="BI34" i="35" s="1"/>
  <c r="BL58" i="35" s="1"/>
  <c r="BJ9" i="35"/>
  <c r="BJ34" i="35" s="1"/>
  <c r="BM58" i="35" s="1"/>
  <c r="BK9" i="35"/>
  <c r="BK34" i="35" s="1"/>
  <c r="BN58" i="35" s="1"/>
  <c r="BL9" i="35"/>
  <c r="BL34" i="35" s="1"/>
  <c r="BO58" i="35" s="1"/>
  <c r="BM9" i="35"/>
  <c r="BM34" i="35" s="1"/>
  <c r="BN9" i="35"/>
  <c r="BN34" i="35" s="1"/>
  <c r="BO9" i="35"/>
  <c r="BO34" i="35" s="1"/>
  <c r="AB8" i="35"/>
  <c r="AB33" i="35" s="1"/>
  <c r="AE57" i="35" s="1"/>
  <c r="AC8" i="35"/>
  <c r="AC33" i="35" s="1"/>
  <c r="AF57" i="35" s="1"/>
  <c r="AD8" i="35"/>
  <c r="AD33" i="35" s="1"/>
  <c r="AG57" i="35" s="1"/>
  <c r="AE8" i="35"/>
  <c r="AE33" i="35" s="1"/>
  <c r="AH57" i="35" s="1"/>
  <c r="AF8" i="35"/>
  <c r="AF33" i="35" s="1"/>
  <c r="AI57" i="35" s="1"/>
  <c r="AG8" i="35"/>
  <c r="AG33" i="35" s="1"/>
  <c r="AJ57" i="35" s="1"/>
  <c r="AH8" i="35"/>
  <c r="AH33" i="35" s="1"/>
  <c r="AK57" i="35" s="1"/>
  <c r="AI8" i="35"/>
  <c r="AI33" i="35" s="1"/>
  <c r="AL57" i="35" s="1"/>
  <c r="AJ8" i="35"/>
  <c r="AJ33" i="35" s="1"/>
  <c r="AM57" i="35" s="1"/>
  <c r="AK8" i="35"/>
  <c r="AK33" i="35" s="1"/>
  <c r="AN57" i="35" s="1"/>
  <c r="AL8" i="35"/>
  <c r="AL33" i="35" s="1"/>
  <c r="AO57" i="35" s="1"/>
  <c r="AM8" i="35"/>
  <c r="AM33" i="35" s="1"/>
  <c r="AP57" i="35" s="1"/>
  <c r="AN8" i="35"/>
  <c r="AN33" i="35" s="1"/>
  <c r="AQ57" i="35" s="1"/>
  <c r="AO8" i="35"/>
  <c r="AO33" i="35" s="1"/>
  <c r="AR57" i="35" s="1"/>
  <c r="AP8" i="35"/>
  <c r="AP33" i="35" s="1"/>
  <c r="AS57" i="35" s="1"/>
  <c r="AQ8" i="35"/>
  <c r="AQ33" i="35" s="1"/>
  <c r="AT57" i="35" s="1"/>
  <c r="AR8" i="35"/>
  <c r="AR33" i="35" s="1"/>
  <c r="AU57" i="35" s="1"/>
  <c r="AS8" i="35"/>
  <c r="AS33" i="35" s="1"/>
  <c r="AV57" i="35" s="1"/>
  <c r="AT8" i="35"/>
  <c r="AT33" i="35" s="1"/>
  <c r="AW57" i="35" s="1"/>
  <c r="AU8" i="35"/>
  <c r="AU33" i="35" s="1"/>
  <c r="AX57" i="35" s="1"/>
  <c r="AV8" i="35"/>
  <c r="AV33" i="35" s="1"/>
  <c r="AY57" i="35" s="1"/>
  <c r="AW8" i="35"/>
  <c r="AW33" i="35" s="1"/>
  <c r="AZ57" i="35" s="1"/>
  <c r="AX8" i="35"/>
  <c r="AX33" i="35" s="1"/>
  <c r="BA57" i="35" s="1"/>
  <c r="AY8" i="35"/>
  <c r="AY33" i="35" s="1"/>
  <c r="BB57" i="35" s="1"/>
  <c r="AZ8" i="35"/>
  <c r="AZ33" i="35" s="1"/>
  <c r="BC57" i="35" s="1"/>
  <c r="BA8" i="35"/>
  <c r="BA33" i="35" s="1"/>
  <c r="BD57" i="35" s="1"/>
  <c r="BB8" i="35"/>
  <c r="BB33" i="35" s="1"/>
  <c r="BE57" i="35" s="1"/>
  <c r="BC8" i="35"/>
  <c r="BC33" i="35" s="1"/>
  <c r="BF57" i="35" s="1"/>
  <c r="BD8" i="35"/>
  <c r="BD33" i="35" s="1"/>
  <c r="BG57" i="35" s="1"/>
  <c r="BE8" i="35"/>
  <c r="BE33" i="35" s="1"/>
  <c r="BH57" i="35" s="1"/>
  <c r="BF8" i="35"/>
  <c r="BF33" i="35" s="1"/>
  <c r="BI57" i="35" s="1"/>
  <c r="BG8" i="35"/>
  <c r="BG33" i="35" s="1"/>
  <c r="BJ57" i="35" s="1"/>
  <c r="BH8" i="35"/>
  <c r="BH33" i="35" s="1"/>
  <c r="BK57" i="35" s="1"/>
  <c r="BI8" i="35"/>
  <c r="BI33" i="35" s="1"/>
  <c r="BL57" i="35" s="1"/>
  <c r="BJ8" i="35"/>
  <c r="BJ33" i="35" s="1"/>
  <c r="BM57" i="35" s="1"/>
  <c r="BK8" i="35"/>
  <c r="BK33" i="35" s="1"/>
  <c r="BN57" i="35" s="1"/>
  <c r="BL8" i="35"/>
  <c r="BL33" i="35" s="1"/>
  <c r="BO57" i="35" s="1"/>
  <c r="BM8" i="35"/>
  <c r="BM33" i="35" s="1"/>
  <c r="BN8" i="35"/>
  <c r="BN33" i="35" s="1"/>
  <c r="BO8" i="35"/>
  <c r="BO33" i="35" s="1"/>
  <c r="K7" i="35"/>
  <c r="K32" i="35" s="1"/>
  <c r="L7" i="35"/>
  <c r="L32" i="35" s="1"/>
  <c r="M7" i="35"/>
  <c r="M32" i="35" s="1"/>
  <c r="P56" i="35" s="1"/>
  <c r="N7" i="35"/>
  <c r="N32" i="35" s="1"/>
  <c r="Q56" i="35" s="1"/>
  <c r="O7" i="35"/>
  <c r="O32" i="35" s="1"/>
  <c r="R56" i="35" s="1"/>
  <c r="P7" i="35"/>
  <c r="Q7" i="35"/>
  <c r="Q32" i="35" s="1"/>
  <c r="T56" i="35" s="1"/>
  <c r="R7" i="35"/>
  <c r="R32" i="35" s="1"/>
  <c r="U56" i="35" s="1"/>
  <c r="S7" i="35"/>
  <c r="S32" i="35" s="1"/>
  <c r="V56" i="35" s="1"/>
  <c r="T7" i="35"/>
  <c r="T32" i="35" s="1"/>
  <c r="W56" i="35" s="1"/>
  <c r="U7" i="35"/>
  <c r="U32" i="35" s="1"/>
  <c r="X56" i="35" s="1"/>
  <c r="V7" i="35"/>
  <c r="V32" i="35" s="1"/>
  <c r="Y56" i="35" s="1"/>
  <c r="W7" i="35"/>
  <c r="W32" i="35" s="1"/>
  <c r="Z56" i="35" s="1"/>
  <c r="X7" i="35"/>
  <c r="X32" i="35" s="1"/>
  <c r="AA56" i="35" s="1"/>
  <c r="Y7" i="35"/>
  <c r="Y32" i="35" s="1"/>
  <c r="AB56" i="35" s="1"/>
  <c r="Z7" i="35"/>
  <c r="Z32" i="35" s="1"/>
  <c r="AC56" i="35" s="1"/>
  <c r="AA7" i="35"/>
  <c r="AA32" i="35" s="1"/>
  <c r="AD56" i="35" s="1"/>
  <c r="AB7" i="35"/>
  <c r="AB32" i="35" s="1"/>
  <c r="AE56" i="35" s="1"/>
  <c r="AC7" i="35"/>
  <c r="AC32" i="35" s="1"/>
  <c r="AF56" i="35" s="1"/>
  <c r="AD7" i="35"/>
  <c r="AD32" i="35" s="1"/>
  <c r="AG56" i="35" s="1"/>
  <c r="AE7" i="35"/>
  <c r="AE32" i="35" s="1"/>
  <c r="AH56" i="35" s="1"/>
  <c r="AF7" i="35"/>
  <c r="AF32" i="35" s="1"/>
  <c r="AI56" i="35" s="1"/>
  <c r="AG7" i="35"/>
  <c r="AG32" i="35" s="1"/>
  <c r="AJ56" i="35" s="1"/>
  <c r="AH7" i="35"/>
  <c r="AH32" i="35" s="1"/>
  <c r="AK56" i="35" s="1"/>
  <c r="AI7" i="35"/>
  <c r="AI32" i="35" s="1"/>
  <c r="AL56" i="35" s="1"/>
  <c r="AJ7" i="35"/>
  <c r="AJ32" i="35" s="1"/>
  <c r="AM56" i="35" s="1"/>
  <c r="AK7" i="35"/>
  <c r="AK32" i="35" s="1"/>
  <c r="AN56" i="35" s="1"/>
  <c r="AL7" i="35"/>
  <c r="AL32" i="35" s="1"/>
  <c r="AO56" i="35" s="1"/>
  <c r="AM7" i="35"/>
  <c r="AM32" i="35" s="1"/>
  <c r="AP56" i="35" s="1"/>
  <c r="AN7" i="35"/>
  <c r="AN32" i="35" s="1"/>
  <c r="AQ56" i="35" s="1"/>
  <c r="AO7" i="35"/>
  <c r="AO32" i="35" s="1"/>
  <c r="AR56" i="35" s="1"/>
  <c r="AP7" i="35"/>
  <c r="AP32" i="35" s="1"/>
  <c r="AS56" i="35" s="1"/>
  <c r="AQ7" i="35"/>
  <c r="AQ32" i="35" s="1"/>
  <c r="AT56" i="35" s="1"/>
  <c r="AR7" i="35"/>
  <c r="AR32" i="35" s="1"/>
  <c r="AU56" i="35" s="1"/>
  <c r="AS7" i="35"/>
  <c r="AS32" i="35" s="1"/>
  <c r="AV56" i="35" s="1"/>
  <c r="AT7" i="35"/>
  <c r="AT32" i="35" s="1"/>
  <c r="AW56" i="35" s="1"/>
  <c r="AU7" i="35"/>
  <c r="AU32" i="35" s="1"/>
  <c r="AX56" i="35" s="1"/>
  <c r="AV7" i="35"/>
  <c r="AV32" i="35" s="1"/>
  <c r="AY56" i="35" s="1"/>
  <c r="AW7" i="35"/>
  <c r="AW32" i="35" s="1"/>
  <c r="AZ56" i="35" s="1"/>
  <c r="AX7" i="35"/>
  <c r="AX32" i="35" s="1"/>
  <c r="BA56" i="35" s="1"/>
  <c r="AY7" i="35"/>
  <c r="AY32" i="35" s="1"/>
  <c r="BB56" i="35" s="1"/>
  <c r="AZ7" i="35"/>
  <c r="AZ32" i="35" s="1"/>
  <c r="BC56" i="35" s="1"/>
  <c r="BA7" i="35"/>
  <c r="BA32" i="35" s="1"/>
  <c r="BD56" i="35" s="1"/>
  <c r="BB7" i="35"/>
  <c r="BB32" i="35" s="1"/>
  <c r="BE56" i="35" s="1"/>
  <c r="BC7" i="35"/>
  <c r="BC32" i="35" s="1"/>
  <c r="BF56" i="35" s="1"/>
  <c r="BD7" i="35"/>
  <c r="BD32" i="35" s="1"/>
  <c r="BG56" i="35" s="1"/>
  <c r="BE7" i="35"/>
  <c r="BE32" i="35" s="1"/>
  <c r="BH56" i="35" s="1"/>
  <c r="BF7" i="35"/>
  <c r="BF32" i="35" s="1"/>
  <c r="BI56" i="35" s="1"/>
  <c r="BG7" i="35"/>
  <c r="BG32" i="35" s="1"/>
  <c r="BJ56" i="35" s="1"/>
  <c r="BH7" i="35"/>
  <c r="BH32" i="35" s="1"/>
  <c r="BK56" i="35" s="1"/>
  <c r="BI7" i="35"/>
  <c r="BI32" i="35" s="1"/>
  <c r="BL56" i="35" s="1"/>
  <c r="BJ7" i="35"/>
  <c r="BJ32" i="35" s="1"/>
  <c r="BM56" i="35" s="1"/>
  <c r="BK7" i="35"/>
  <c r="BK32" i="35" s="1"/>
  <c r="BN56" i="35" s="1"/>
  <c r="BL7" i="35"/>
  <c r="BL32" i="35" s="1"/>
  <c r="BO56" i="35" s="1"/>
  <c r="BM7" i="35"/>
  <c r="BM32" i="35" s="1"/>
  <c r="BN7" i="35"/>
  <c r="BN32" i="35" s="1"/>
  <c r="BO7" i="35"/>
  <c r="BO32" i="35" s="1"/>
  <c r="K5" i="35"/>
  <c r="L5" i="35"/>
  <c r="M5" i="35"/>
  <c r="N5" i="35"/>
  <c r="O5" i="35"/>
  <c r="P5" i="35"/>
  <c r="Q5" i="35"/>
  <c r="R5" i="35"/>
  <c r="S5" i="35"/>
  <c r="T5" i="35"/>
  <c r="U5" i="35"/>
  <c r="V5" i="35"/>
  <c r="W5" i="35"/>
  <c r="X5" i="35"/>
  <c r="Y5" i="35"/>
  <c r="Z5" i="35"/>
  <c r="AA5" i="35"/>
  <c r="AB5" i="35"/>
  <c r="AC5" i="35"/>
  <c r="AD5" i="35"/>
  <c r="AE5" i="35"/>
  <c r="AF5" i="35"/>
  <c r="AG5" i="35"/>
  <c r="AH5" i="35"/>
  <c r="AI5" i="35"/>
  <c r="AJ5" i="35"/>
  <c r="AK5" i="35"/>
  <c r="AL5" i="35"/>
  <c r="AM5" i="35"/>
  <c r="AN5" i="35"/>
  <c r="AO5" i="35"/>
  <c r="AP5" i="35"/>
  <c r="AQ5" i="35"/>
  <c r="AR5" i="35"/>
  <c r="AS5" i="35"/>
  <c r="AT5" i="35"/>
  <c r="AU5" i="35"/>
  <c r="AV5" i="35"/>
  <c r="AW5" i="35"/>
  <c r="AX5" i="35"/>
  <c r="AY5" i="35"/>
  <c r="AZ5" i="35"/>
  <c r="BA5" i="35"/>
  <c r="BB5" i="35"/>
  <c r="BC5" i="35"/>
  <c r="BD5" i="35"/>
  <c r="BE5" i="35"/>
  <c r="BF5" i="35"/>
  <c r="BG5" i="35"/>
  <c r="BH5" i="35"/>
  <c r="BI5" i="35"/>
  <c r="BJ5" i="35"/>
  <c r="BK5" i="35"/>
  <c r="BL5" i="35"/>
  <c r="BM5" i="35"/>
  <c r="BN5" i="35"/>
  <c r="BO5" i="35"/>
  <c r="K6" i="35"/>
  <c r="K31" i="35" s="1"/>
  <c r="L6" i="35"/>
  <c r="L31" i="35" s="1"/>
  <c r="M6" i="35"/>
  <c r="M31" i="35" s="1"/>
  <c r="P55" i="35" s="1"/>
  <c r="N6" i="35"/>
  <c r="N31" i="35" s="1"/>
  <c r="Q55" i="35" s="1"/>
  <c r="O6" i="35"/>
  <c r="O31" i="35" s="1"/>
  <c r="R55" i="35" s="1"/>
  <c r="P6" i="35"/>
  <c r="Q6" i="35"/>
  <c r="Q31" i="35" s="1"/>
  <c r="T55" i="35" s="1"/>
  <c r="R6" i="35"/>
  <c r="R31" i="35" s="1"/>
  <c r="U55" i="35" s="1"/>
  <c r="S6" i="35"/>
  <c r="S31" i="35" s="1"/>
  <c r="V55" i="35" s="1"/>
  <c r="T6" i="35"/>
  <c r="T31" i="35" s="1"/>
  <c r="W55" i="35" s="1"/>
  <c r="U6" i="35"/>
  <c r="U31" i="35" s="1"/>
  <c r="X55" i="35" s="1"/>
  <c r="V6" i="35"/>
  <c r="V31" i="35" s="1"/>
  <c r="Y55" i="35" s="1"/>
  <c r="W6" i="35"/>
  <c r="W31" i="35" s="1"/>
  <c r="Z55" i="35" s="1"/>
  <c r="X6" i="35"/>
  <c r="X31" i="35" s="1"/>
  <c r="AA55" i="35" s="1"/>
  <c r="Y6" i="35"/>
  <c r="Y31" i="35" s="1"/>
  <c r="AB55" i="35" s="1"/>
  <c r="Z6" i="35"/>
  <c r="Z31" i="35" s="1"/>
  <c r="AC55" i="35" s="1"/>
  <c r="AA6" i="35"/>
  <c r="AA31" i="35" s="1"/>
  <c r="AD55" i="35" s="1"/>
  <c r="AB6" i="35"/>
  <c r="AB31" i="35" s="1"/>
  <c r="AE55" i="35" s="1"/>
  <c r="AC6" i="35"/>
  <c r="AC31" i="35" s="1"/>
  <c r="AF55" i="35" s="1"/>
  <c r="AD6" i="35"/>
  <c r="AD31" i="35" s="1"/>
  <c r="AG55" i="35" s="1"/>
  <c r="AE6" i="35"/>
  <c r="AE31" i="35" s="1"/>
  <c r="AH55" i="35" s="1"/>
  <c r="AF6" i="35"/>
  <c r="AF31" i="35" s="1"/>
  <c r="AI55" i="35" s="1"/>
  <c r="AG6" i="35"/>
  <c r="AG31" i="35" s="1"/>
  <c r="AJ55" i="35" s="1"/>
  <c r="AH6" i="35"/>
  <c r="AH31" i="35" s="1"/>
  <c r="AK55" i="35" s="1"/>
  <c r="AI6" i="35"/>
  <c r="AI31" i="35" s="1"/>
  <c r="AL55" i="35" s="1"/>
  <c r="AJ6" i="35"/>
  <c r="AJ31" i="35" s="1"/>
  <c r="AM55" i="35" s="1"/>
  <c r="AK6" i="35"/>
  <c r="AK31" i="35" s="1"/>
  <c r="AN55" i="35" s="1"/>
  <c r="AL6" i="35"/>
  <c r="AL31" i="35" s="1"/>
  <c r="AO55" i="35" s="1"/>
  <c r="AM6" i="35"/>
  <c r="AM31" i="35" s="1"/>
  <c r="AP55" i="35" s="1"/>
  <c r="AN6" i="35"/>
  <c r="AN31" i="35" s="1"/>
  <c r="AQ55" i="35" s="1"/>
  <c r="AO6" i="35"/>
  <c r="AO31" i="35" s="1"/>
  <c r="AR55" i="35" s="1"/>
  <c r="AP6" i="35"/>
  <c r="AP31" i="35" s="1"/>
  <c r="AS55" i="35" s="1"/>
  <c r="AQ6" i="35"/>
  <c r="AQ31" i="35" s="1"/>
  <c r="AT55" i="35" s="1"/>
  <c r="AR6" i="35"/>
  <c r="AR31" i="35" s="1"/>
  <c r="AU55" i="35" s="1"/>
  <c r="AS6" i="35"/>
  <c r="AS31" i="35" s="1"/>
  <c r="AV55" i="35" s="1"/>
  <c r="AT6" i="35"/>
  <c r="AT31" i="35" s="1"/>
  <c r="AW55" i="35" s="1"/>
  <c r="AU6" i="35"/>
  <c r="AU31" i="35" s="1"/>
  <c r="AX55" i="35" s="1"/>
  <c r="AV6" i="35"/>
  <c r="AV31" i="35" s="1"/>
  <c r="AY55" i="35" s="1"/>
  <c r="AW6" i="35"/>
  <c r="AW31" i="35" s="1"/>
  <c r="AZ55" i="35" s="1"/>
  <c r="AX6" i="35"/>
  <c r="AX31" i="35" s="1"/>
  <c r="BA55" i="35" s="1"/>
  <c r="AY6" i="35"/>
  <c r="AY31" i="35" s="1"/>
  <c r="BB55" i="35" s="1"/>
  <c r="AZ6" i="35"/>
  <c r="AZ31" i="35" s="1"/>
  <c r="BC55" i="35" s="1"/>
  <c r="BA6" i="35"/>
  <c r="BA31" i="35" s="1"/>
  <c r="BD55" i="35" s="1"/>
  <c r="BB6" i="35"/>
  <c r="BB31" i="35" s="1"/>
  <c r="BE55" i="35" s="1"/>
  <c r="BC6" i="35"/>
  <c r="BC31" i="35" s="1"/>
  <c r="BF55" i="35" s="1"/>
  <c r="BD6" i="35"/>
  <c r="BD31" i="35" s="1"/>
  <c r="BG55" i="35" s="1"/>
  <c r="BE6" i="35"/>
  <c r="BE31" i="35" s="1"/>
  <c r="BH55" i="35" s="1"/>
  <c r="BF6" i="35"/>
  <c r="BF31" i="35" s="1"/>
  <c r="BI55" i="35" s="1"/>
  <c r="BG6" i="35"/>
  <c r="BG31" i="35" s="1"/>
  <c r="BJ55" i="35" s="1"/>
  <c r="BH6" i="35"/>
  <c r="BH31" i="35" s="1"/>
  <c r="BK55" i="35" s="1"/>
  <c r="BI6" i="35"/>
  <c r="BI31" i="35" s="1"/>
  <c r="BL55" i="35" s="1"/>
  <c r="BJ6" i="35"/>
  <c r="BJ31" i="35" s="1"/>
  <c r="BM55" i="35" s="1"/>
  <c r="BK6" i="35"/>
  <c r="BK31" i="35" s="1"/>
  <c r="BN55" i="35" s="1"/>
  <c r="BL6" i="35"/>
  <c r="BL31" i="35" s="1"/>
  <c r="BO55" i="35" s="1"/>
  <c r="BM6" i="35"/>
  <c r="BM31" i="35" s="1"/>
  <c r="BN6" i="35"/>
  <c r="BN31" i="35" s="1"/>
  <c r="BO6" i="35"/>
  <c r="BO31" i="35" s="1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AX4" i="10"/>
  <c r="AY4" i="10"/>
  <c r="AZ4" i="10"/>
  <c r="BA4" i="10"/>
  <c r="BB4" i="10"/>
  <c r="BC4" i="10"/>
  <c r="BD4" i="10"/>
  <c r="BE4" i="10"/>
  <c r="BF4" i="10"/>
  <c r="BG4" i="10"/>
  <c r="BH4" i="10"/>
  <c r="BI4" i="10"/>
  <c r="BO20" i="35" l="1"/>
  <c r="BO45" i="35" s="1"/>
  <c r="BO21" i="35"/>
  <c r="BO46" i="35" s="1"/>
  <c r="AB20" i="35"/>
  <c r="AB45" i="35" s="1"/>
  <c r="AO69" i="35" s="1"/>
  <c r="AB21" i="35"/>
  <c r="AB46" i="35" s="1"/>
  <c r="AO70" i="35" s="1"/>
  <c r="AO20" i="35"/>
  <c r="AO45" i="35" s="1"/>
  <c r="BB69" i="35" s="1"/>
  <c r="R21" i="41"/>
  <c r="D24" i="10"/>
  <c r="R22" i="41"/>
  <c r="D25" i="10"/>
  <c r="AO21" i="35"/>
  <c r="AO46" i="35" s="1"/>
  <c r="BB70" i="35" s="1"/>
  <c r="X65" i="35"/>
  <c r="P21" i="35"/>
  <c r="P46" i="35" s="1"/>
  <c r="AC20" i="35"/>
  <c r="AC45" i="35" s="1"/>
  <c r="AP69" i="35" s="1"/>
  <c r="BC21" i="35"/>
  <c r="BC46" i="35" s="1"/>
  <c r="AC21" i="35"/>
  <c r="AC46" i="35" s="1"/>
  <c r="AP70" i="35" s="1"/>
  <c r="AP20" i="35"/>
  <c r="AP45" i="35" s="1"/>
  <c r="BC69" i="35" s="1"/>
  <c r="P20" i="35"/>
  <c r="P45" i="35" s="1"/>
  <c r="AP21" i="35"/>
  <c r="AP46" i="35" s="1"/>
  <c r="BC70" i="35" s="1"/>
  <c r="BC20" i="35"/>
  <c r="BC45" i="35" s="1"/>
  <c r="CC214" i="36"/>
  <c r="CC213" i="36"/>
  <c r="CC215" i="36" s="1"/>
  <c r="G226" i="36" s="1"/>
  <c r="CD212" i="36"/>
  <c r="P32" i="35"/>
  <c r="S56" i="35" s="1"/>
  <c r="I7" i="35"/>
  <c r="AC24" i="35"/>
  <c r="AC49" i="35" s="1"/>
  <c r="AP73" i="35" s="1"/>
  <c r="P36" i="35"/>
  <c r="S60" i="35" s="1"/>
  <c r="I11" i="35"/>
  <c r="P40" i="35"/>
  <c r="Q64" i="35" s="1"/>
  <c r="I15" i="35"/>
  <c r="P47" i="35"/>
  <c r="I22" i="35"/>
  <c r="R47" i="35" s="1"/>
  <c r="I5" i="35"/>
  <c r="I10" i="35"/>
  <c r="P35" i="35"/>
  <c r="S59" i="35" s="1"/>
  <c r="P39" i="35"/>
  <c r="Q63" i="35" s="1"/>
  <c r="I14" i="35"/>
  <c r="I16" i="35"/>
  <c r="P41" i="35"/>
  <c r="Q65" i="35" s="1"/>
  <c r="I9" i="35"/>
  <c r="P34" i="35"/>
  <c r="S58" i="35" s="1"/>
  <c r="P31" i="35"/>
  <c r="S55" i="35" s="1"/>
  <c r="I6" i="35"/>
  <c r="I13" i="35"/>
  <c r="P38" i="35"/>
  <c r="Q62" i="35" s="1"/>
  <c r="P49" i="35"/>
  <c r="P37" i="35"/>
  <c r="I18" i="35"/>
  <c r="P43" i="35"/>
  <c r="I23" i="35"/>
  <c r="P48" i="35"/>
  <c r="I47" i="35" l="1"/>
  <c r="I21" i="35"/>
  <c r="Q61" i="35"/>
  <c r="I20" i="35"/>
  <c r="Q67" i="35"/>
  <c r="I67" i="35" s="1"/>
  <c r="I43" i="35"/>
  <c r="I31" i="35"/>
  <c r="AC69" i="35"/>
  <c r="I45" i="35"/>
  <c r="AC70" i="35"/>
  <c r="I46" i="35"/>
  <c r="AC73" i="35"/>
  <c r="I49" i="35"/>
  <c r="I34" i="35"/>
  <c r="I63" i="35"/>
  <c r="I39" i="35"/>
  <c r="I64" i="35"/>
  <c r="I40" i="35"/>
  <c r="I58" i="35"/>
  <c r="I35" i="35"/>
  <c r="I72" i="35"/>
  <c r="I48" i="35"/>
  <c r="I62" i="35"/>
  <c r="I38" i="35"/>
  <c r="I65" i="35"/>
  <c r="I41" i="35"/>
  <c r="I59" i="35"/>
  <c r="I36" i="35"/>
  <c r="I55" i="35"/>
  <c r="I32" i="35"/>
  <c r="CD213" i="36"/>
  <c r="CE212" i="36"/>
  <c r="CD214" i="36"/>
  <c r="I60" i="35"/>
  <c r="I24" i="35"/>
  <c r="BX3" i="9"/>
  <c r="BX2" i="9"/>
  <c r="BW3" i="9"/>
  <c r="BW2" i="9"/>
  <c r="BV3" i="9"/>
  <c r="BV2" i="9"/>
  <c r="BU3" i="9"/>
  <c r="BU2" i="9"/>
  <c r="BT3" i="9"/>
  <c r="BT2" i="9"/>
  <c r="BS3" i="9"/>
  <c r="BS2" i="9"/>
  <c r="BR3" i="9"/>
  <c r="BR2" i="9"/>
  <c r="BQ3" i="9"/>
  <c r="BQ2" i="9"/>
  <c r="I11" i="9"/>
  <c r="R29" i="41" l="1"/>
  <c r="F50" i="41" s="1"/>
  <c r="G74" i="41" s="1"/>
  <c r="V92" i="35" s="1"/>
  <c r="CE213" i="36"/>
  <c r="CF212" i="36"/>
  <c r="CE214" i="36"/>
  <c r="BR4" i="9"/>
  <c r="BT4" i="9"/>
  <c r="BU4" i="9"/>
  <c r="BW4" i="9"/>
  <c r="BS4" i="9"/>
  <c r="BQ4" i="9"/>
  <c r="BX4" i="9"/>
  <c r="BV4" i="9"/>
  <c r="I7" i="9"/>
  <c r="I9" i="9"/>
  <c r="H74" i="41" l="1"/>
  <c r="V96" i="35" s="1"/>
  <c r="G79" i="41"/>
  <c r="I37" i="41"/>
  <c r="CG212" i="36"/>
  <c r="CF214" i="36"/>
  <c r="CF213" i="36"/>
  <c r="I16" i="9"/>
  <c r="I13" i="9"/>
  <c r="I40" i="9"/>
  <c r="I41" i="9"/>
  <c r="I42" i="9"/>
  <c r="I12" i="9"/>
  <c r="I10" i="9"/>
  <c r="I74" i="41" l="1"/>
  <c r="H79" i="41"/>
  <c r="V95" i="35"/>
  <c r="CH212" i="36"/>
  <c r="CG214" i="36"/>
  <c r="CG213" i="36"/>
  <c r="CG215" i="36" s="1"/>
  <c r="G227" i="36" s="1"/>
  <c r="I79" i="41" l="1"/>
  <c r="F79" i="41" s="1"/>
  <c r="F74" i="41"/>
  <c r="V99" i="35"/>
  <c r="V100" i="35"/>
  <c r="CH214" i="36"/>
  <c r="CH213" i="36"/>
  <c r="CI212" i="36"/>
  <c r="U92" i="35" l="1"/>
  <c r="F53" i="41"/>
  <c r="E63" i="41" s="1"/>
  <c r="V103" i="35"/>
  <c r="V141" i="35"/>
  <c r="V144" i="35" s="1"/>
  <c r="CI214" i="36"/>
  <c r="CI213" i="36"/>
  <c r="CJ212" i="36"/>
  <c r="U95" i="35" l="1"/>
  <c r="U96" i="35"/>
  <c r="U116" i="35"/>
  <c r="Y92" i="35"/>
  <c r="Y95" i="35" s="1"/>
  <c r="G53" i="41"/>
  <c r="F63" i="41" s="1"/>
  <c r="I53" i="41"/>
  <c r="H53" i="41"/>
  <c r="G63" i="41" s="1"/>
  <c r="CJ214" i="36"/>
  <c r="CJ213" i="36"/>
  <c r="CK212" i="36"/>
  <c r="C1" i="11"/>
  <c r="D1" i="11" s="1"/>
  <c r="E1" i="11" s="1"/>
  <c r="F1" i="11" s="1"/>
  <c r="G1" i="11" s="1"/>
  <c r="H1" i="11" s="1"/>
  <c r="I1" i="11" s="1"/>
  <c r="J1" i="11" s="1"/>
  <c r="K1" i="11" s="1"/>
  <c r="L1" i="11" s="1"/>
  <c r="M1" i="11" s="1"/>
  <c r="N1" i="11" s="1"/>
  <c r="O1" i="11" s="1"/>
  <c r="P1" i="11" s="1"/>
  <c r="Q1" i="11" s="1"/>
  <c r="R1" i="11" s="1"/>
  <c r="S1" i="11" s="1"/>
  <c r="T1" i="11" s="1"/>
  <c r="U1" i="11" s="1"/>
  <c r="V1" i="11" s="1"/>
  <c r="W1" i="11" s="1"/>
  <c r="X1" i="11" s="1"/>
  <c r="Y1" i="11" s="1"/>
  <c r="Z1" i="11" s="1"/>
  <c r="AA1" i="11" s="1"/>
  <c r="AB1" i="11" s="1"/>
  <c r="AC1" i="11" s="1"/>
  <c r="AD1" i="11" s="1"/>
  <c r="AE1" i="11" s="1"/>
  <c r="AF1" i="11" s="1"/>
  <c r="AG1" i="11" s="1"/>
  <c r="AH1" i="11" s="1"/>
  <c r="AI1" i="11" s="1"/>
  <c r="AJ1" i="11" s="1"/>
  <c r="AK1" i="11" s="1"/>
  <c r="AL1" i="11" s="1"/>
  <c r="AM1" i="11" s="1"/>
  <c r="AN1" i="11" s="1"/>
  <c r="AO1" i="11" s="1"/>
  <c r="AP1" i="11" s="1"/>
  <c r="AQ1" i="11" s="1"/>
  <c r="AR1" i="11" s="1"/>
  <c r="AS1" i="11" s="1"/>
  <c r="AT1" i="11" s="1"/>
  <c r="AU1" i="11" s="1"/>
  <c r="AV1" i="11" s="1"/>
  <c r="AW1" i="11" s="1"/>
  <c r="AX1" i="11" s="1"/>
  <c r="AY1" i="11" s="1"/>
  <c r="AZ1" i="11" s="1"/>
  <c r="BA1" i="11" s="1"/>
  <c r="BB1" i="11" s="1"/>
  <c r="BC1" i="11" s="1"/>
  <c r="BD1" i="11" s="1"/>
  <c r="BE1" i="11" s="1"/>
  <c r="BF1" i="11" s="1"/>
  <c r="BG1" i="11" s="1"/>
  <c r="BH1" i="11" s="1"/>
  <c r="BI1" i="11" s="1"/>
  <c r="BJ1" i="11" s="1"/>
  <c r="BK1" i="11" s="1"/>
  <c r="BL1" i="11" s="1"/>
  <c r="BM1" i="11" s="1"/>
  <c r="BN1" i="11" s="1"/>
  <c r="BO1" i="11" s="1"/>
  <c r="BP1" i="11" s="1"/>
  <c r="BQ1" i="11" s="1"/>
  <c r="BR1" i="11" s="1"/>
  <c r="BS1" i="11" s="1"/>
  <c r="BT1" i="11" s="1"/>
  <c r="BU1" i="11" s="1"/>
  <c r="BV1" i="11" s="1"/>
  <c r="BW1" i="11" s="1"/>
  <c r="BX1" i="11" s="1"/>
  <c r="BY1" i="11" s="1"/>
  <c r="BZ1" i="11" s="1"/>
  <c r="CA1" i="11" s="1"/>
  <c r="CB1" i="11" s="1"/>
  <c r="CC1" i="11" s="1"/>
  <c r="CD1" i="11" s="1"/>
  <c r="CE1" i="11" s="1"/>
  <c r="CF1" i="11" s="1"/>
  <c r="CG1" i="11" s="1"/>
  <c r="CH1" i="11" s="1"/>
  <c r="CI1" i="11" s="1"/>
  <c r="CJ1" i="11" s="1"/>
  <c r="CK1" i="11" s="1"/>
  <c r="CL1" i="11" s="1"/>
  <c r="CM1" i="11" s="1"/>
  <c r="CN1" i="11" s="1"/>
  <c r="CO1" i="11" s="1"/>
  <c r="CP1" i="11" s="1"/>
  <c r="CQ1" i="11" s="1"/>
  <c r="CR1" i="11" s="1"/>
  <c r="CS1" i="11" s="1"/>
  <c r="CT1" i="11" s="1"/>
  <c r="CU1" i="11" s="1"/>
  <c r="CV1" i="11" s="1"/>
  <c r="CW1" i="11" s="1"/>
  <c r="CX1" i="11" s="1"/>
  <c r="CY1" i="11" s="1"/>
  <c r="CZ1" i="11" s="1"/>
  <c r="DA1" i="11" s="1"/>
  <c r="DB1" i="11" s="1"/>
  <c r="DC1" i="11" s="1"/>
  <c r="DD1" i="11" s="1"/>
  <c r="DE1" i="11" s="1"/>
  <c r="DF1" i="11" s="1"/>
  <c r="DG1" i="11" s="1"/>
  <c r="DH1" i="11" s="1"/>
  <c r="DI1" i="11" s="1"/>
  <c r="DJ1" i="11" s="1"/>
  <c r="DK1" i="11" s="1"/>
  <c r="DL1" i="11" s="1"/>
  <c r="DM1" i="11" s="1"/>
  <c r="DN1" i="11" s="1"/>
  <c r="DO1" i="11" s="1"/>
  <c r="DP1" i="11" s="1"/>
  <c r="DQ1" i="11" s="1"/>
  <c r="DR1" i="11" s="1"/>
  <c r="DS1" i="11" s="1"/>
  <c r="U107" i="35" l="1"/>
  <c r="Y104" i="35"/>
  <c r="Y107" i="35" s="1"/>
  <c r="U120" i="35"/>
  <c r="U119" i="35"/>
  <c r="Y116" i="35"/>
  <c r="Y119" i="35" s="1"/>
  <c r="U100" i="35"/>
  <c r="U99" i="35"/>
  <c r="Y96" i="35"/>
  <c r="Y99" i="35" s="1"/>
  <c r="H63" i="41"/>
  <c r="I63" i="41" s="1"/>
  <c r="F54" i="41"/>
  <c r="CK214" i="36"/>
  <c r="CK213" i="36"/>
  <c r="CL212" i="36"/>
  <c r="J4" i="35"/>
  <c r="Y29" i="35" s="1"/>
  <c r="I27" i="9"/>
  <c r="W55" i="10"/>
  <c r="P57" i="10"/>
  <c r="O57" i="10"/>
  <c r="N57" i="10"/>
  <c r="M57" i="10"/>
  <c r="L57" i="10"/>
  <c r="K54" i="10"/>
  <c r="K53" i="10"/>
  <c r="BO3" i="9"/>
  <c r="BH32" i="10" s="1"/>
  <c r="BN3" i="9"/>
  <c r="BG32" i="10" s="1"/>
  <c r="BM3" i="9"/>
  <c r="BF32" i="10" s="1"/>
  <c r="BL3" i="9"/>
  <c r="BE32" i="10" s="1"/>
  <c r="BK3" i="9"/>
  <c r="BD32" i="10" s="1"/>
  <c r="BJ3" i="9"/>
  <c r="BC32" i="10" s="1"/>
  <c r="BI3" i="9"/>
  <c r="BB32" i="10" s="1"/>
  <c r="BH3" i="9"/>
  <c r="BA32" i="10" s="1"/>
  <c r="BG3" i="9"/>
  <c r="AZ32" i="10" s="1"/>
  <c r="BF3" i="9"/>
  <c r="AY32" i="10" s="1"/>
  <c r="BE3" i="9"/>
  <c r="AX32" i="10" s="1"/>
  <c r="BD3" i="9"/>
  <c r="AW32" i="10" s="1"/>
  <c r="BC3" i="9"/>
  <c r="AV32" i="10" s="1"/>
  <c r="BB3" i="9"/>
  <c r="AU32" i="10" s="1"/>
  <c r="BA3" i="9"/>
  <c r="AT32" i="10" s="1"/>
  <c r="AZ3" i="9"/>
  <c r="AS32" i="10" s="1"/>
  <c r="AY3" i="9"/>
  <c r="AR32" i="10" s="1"/>
  <c r="AX3" i="9"/>
  <c r="AQ32" i="10" s="1"/>
  <c r="AW3" i="9"/>
  <c r="AP32" i="10" s="1"/>
  <c r="AV3" i="9"/>
  <c r="AO32" i="10" s="1"/>
  <c r="AU3" i="9"/>
  <c r="AN32" i="10" s="1"/>
  <c r="AT3" i="9"/>
  <c r="AM32" i="10" s="1"/>
  <c r="AS3" i="9"/>
  <c r="AL32" i="10" s="1"/>
  <c r="AR3" i="9"/>
  <c r="AK32" i="10" s="1"/>
  <c r="AQ3" i="9"/>
  <c r="AJ32" i="10" s="1"/>
  <c r="AP3" i="9"/>
  <c r="AI32" i="10" s="1"/>
  <c r="AO3" i="9"/>
  <c r="AH32" i="10" s="1"/>
  <c r="AN3" i="9"/>
  <c r="AG32" i="10" s="1"/>
  <c r="AM3" i="9"/>
  <c r="AF32" i="10" s="1"/>
  <c r="AL3" i="9"/>
  <c r="AE32" i="10" s="1"/>
  <c r="AK3" i="9"/>
  <c r="AD32" i="10" s="1"/>
  <c r="AC32" i="10"/>
  <c r="AB32" i="10"/>
  <c r="AA32" i="10"/>
  <c r="AG3" i="9"/>
  <c r="Z32" i="10" s="1"/>
  <c r="Y32" i="10"/>
  <c r="X32" i="10"/>
  <c r="W32" i="10"/>
  <c r="V32" i="10"/>
  <c r="AB3" i="9"/>
  <c r="U32" i="10" s="1"/>
  <c r="AA3" i="9"/>
  <c r="T32" i="10" s="1"/>
  <c r="Z3" i="9"/>
  <c r="S32" i="10" s="1"/>
  <c r="R32" i="10"/>
  <c r="X3" i="9"/>
  <c r="Q32" i="10" s="1"/>
  <c r="W3" i="9"/>
  <c r="P32" i="10" s="1"/>
  <c r="V3" i="9"/>
  <c r="O32" i="10" s="1"/>
  <c r="U3" i="9"/>
  <c r="N32" i="10" s="1"/>
  <c r="T3" i="9"/>
  <c r="M32" i="10" s="1"/>
  <c r="L32" i="10"/>
  <c r="R3" i="9"/>
  <c r="Q3" i="9"/>
  <c r="J32" i="10" s="1"/>
  <c r="I32" i="10"/>
  <c r="N3" i="9"/>
  <c r="G32" i="10" s="1"/>
  <c r="M3" i="9"/>
  <c r="F32" i="10" s="1"/>
  <c r="L3" i="9"/>
  <c r="BP2" i="9"/>
  <c r="BO2" i="9"/>
  <c r="BN2" i="9"/>
  <c r="BG34" i="10" s="1"/>
  <c r="BM2" i="9"/>
  <c r="BF34" i="10" s="1"/>
  <c r="BL2" i="9"/>
  <c r="BK2" i="9"/>
  <c r="BD34" i="10" s="1"/>
  <c r="BJ2" i="9"/>
  <c r="BC34" i="10" s="1"/>
  <c r="BI2" i="9"/>
  <c r="BB34" i="10" s="1"/>
  <c r="BH2" i="9"/>
  <c r="BG2" i="9"/>
  <c r="AZ34" i="10" s="1"/>
  <c r="BF2" i="9"/>
  <c r="AY34" i="10" s="1"/>
  <c r="BE2" i="9"/>
  <c r="AX34" i="10" s="1"/>
  <c r="BD2" i="9"/>
  <c r="AW34" i="10" s="1"/>
  <c r="BC2" i="9"/>
  <c r="BB2" i="9"/>
  <c r="AU34" i="10" s="1"/>
  <c r="BA2" i="9"/>
  <c r="AZ2" i="9"/>
  <c r="AS34" i="10" s="1"/>
  <c r="AY2" i="9"/>
  <c r="AX2" i="9"/>
  <c r="AQ34" i="10" s="1"/>
  <c r="AW2" i="9"/>
  <c r="AP34" i="10" s="1"/>
  <c r="AV2" i="9"/>
  <c r="AO34" i="10" s="1"/>
  <c r="AU2" i="9"/>
  <c r="AT2" i="9"/>
  <c r="AS2" i="9"/>
  <c r="AL34" i="10" s="1"/>
  <c r="AR2" i="9"/>
  <c r="AK34" i="10" s="1"/>
  <c r="AQ2" i="9"/>
  <c r="AJ34" i="10" s="1"/>
  <c r="AP2" i="9"/>
  <c r="AO2" i="9"/>
  <c r="AH34" i="10" s="1"/>
  <c r="AN2" i="9"/>
  <c r="AG34" i="10" s="1"/>
  <c r="AM2" i="9"/>
  <c r="AL2" i="9"/>
  <c r="AK2" i="9"/>
  <c r="AD34" i="10" s="1"/>
  <c r="AJ2" i="9"/>
  <c r="AC34" i="10" s="1"/>
  <c r="AI2" i="9"/>
  <c r="AB34" i="10" s="1"/>
  <c r="AH2" i="9"/>
  <c r="AA34" i="10" s="1"/>
  <c r="AG2" i="9"/>
  <c r="AF2" i="9"/>
  <c r="AE2" i="9"/>
  <c r="X34" i="10" s="1"/>
  <c r="AD2" i="9"/>
  <c r="W34" i="10" s="1"/>
  <c r="AC2" i="9"/>
  <c r="I146" i="9"/>
  <c r="I145" i="9"/>
  <c r="I144" i="9"/>
  <c r="I143" i="9"/>
  <c r="I142" i="9"/>
  <c r="I141" i="9"/>
  <c r="I140" i="9"/>
  <c r="I135" i="9"/>
  <c r="I134" i="9"/>
  <c r="I133" i="9"/>
  <c r="I132" i="9"/>
  <c r="I131" i="9"/>
  <c r="I130" i="9"/>
  <c r="I129" i="9"/>
  <c r="I120" i="9"/>
  <c r="I119" i="9"/>
  <c r="I118" i="9"/>
  <c r="I117" i="9"/>
  <c r="I116" i="9"/>
  <c r="I115" i="9"/>
  <c r="I114" i="9"/>
  <c r="I113" i="9"/>
  <c r="I109" i="9"/>
  <c r="I104" i="9"/>
  <c r="I103" i="9"/>
  <c r="I108" i="9"/>
  <c r="I102" i="9"/>
  <c r="I101" i="9"/>
  <c r="I72" i="9"/>
  <c r="I71" i="9"/>
  <c r="I70" i="9"/>
  <c r="I78" i="9"/>
  <c r="I77" i="9"/>
  <c r="I75" i="9"/>
  <c r="I74" i="9"/>
  <c r="I63" i="9"/>
  <c r="I60" i="9"/>
  <c r="I59" i="9"/>
  <c r="I58" i="9"/>
  <c r="I57" i="9"/>
  <c r="I56" i="9"/>
  <c r="I55" i="9"/>
  <c r="I52" i="9"/>
  <c r="I45" i="9"/>
  <c r="I38" i="9"/>
  <c r="I37" i="9"/>
  <c r="I36" i="9"/>
  <c r="I33" i="9"/>
  <c r="I35" i="9"/>
  <c r="I32" i="9"/>
  <c r="I28" i="9"/>
  <c r="I31" i="9"/>
  <c r="I30" i="9"/>
  <c r="I25" i="9"/>
  <c r="I24" i="9"/>
  <c r="I23" i="9"/>
  <c r="I22" i="9"/>
  <c r="I21" i="9"/>
  <c r="I34" i="9"/>
  <c r="I6" i="9"/>
  <c r="I26" i="9"/>
  <c r="I19" i="9"/>
  <c r="I15" i="9"/>
  <c r="I14" i="9"/>
  <c r="I8" i="9"/>
  <c r="H18" i="9"/>
  <c r="I18" i="9" s="1"/>
  <c r="AR34" i="10" l="1"/>
  <c r="V34" i="10"/>
  <c r="AI34" i="10"/>
  <c r="AE34" i="10"/>
  <c r="AN34" i="10"/>
  <c r="AV34" i="10"/>
  <c r="BE34" i="10"/>
  <c r="Z34" i="10"/>
  <c r="E32" i="10"/>
  <c r="K20" i="35"/>
  <c r="K45" i="35" s="1"/>
  <c r="X69" i="35" s="1"/>
  <c r="I69" i="35" s="1"/>
  <c r="U29" i="35"/>
  <c r="P29" i="35"/>
  <c r="S53" i="35" s="1"/>
  <c r="BO29" i="35"/>
  <c r="U103" i="35"/>
  <c r="Y100" i="35"/>
  <c r="Y103" i="35" s="1"/>
  <c r="U123" i="35"/>
  <c r="U124" i="35"/>
  <c r="Y120" i="35"/>
  <c r="Y123" i="35" s="1"/>
  <c r="U111" i="35"/>
  <c r="Y108" i="35"/>
  <c r="Y111" i="35" s="1"/>
  <c r="U115" i="35"/>
  <c r="Y112" i="35"/>
  <c r="Y115" i="35" s="1"/>
  <c r="K32" i="10"/>
  <c r="D32" i="10" s="1"/>
  <c r="K3" i="9"/>
  <c r="CL213" i="36"/>
  <c r="CL215" i="36" s="1"/>
  <c r="G228" i="36" s="1"/>
  <c r="CM212" i="36"/>
  <c r="CL214" i="36"/>
  <c r="AU25" i="35"/>
  <c r="AD25" i="35"/>
  <c r="AT25" i="35"/>
  <c r="BB25" i="35"/>
  <c r="BJ25" i="35"/>
  <c r="BM25" i="35"/>
  <c r="BK25" i="35"/>
  <c r="AF25" i="35"/>
  <c r="BD25" i="35"/>
  <c r="AG25" i="35"/>
  <c r="BE25" i="35"/>
  <c r="AX25" i="35"/>
  <c r="AI25" i="35"/>
  <c r="AQ25" i="35"/>
  <c r="AY25" i="35"/>
  <c r="AN25" i="35"/>
  <c r="BL25" i="35"/>
  <c r="AW25" i="35"/>
  <c r="AP25" i="35"/>
  <c r="BF25" i="35"/>
  <c r="AB25" i="35"/>
  <c r="AJ25" i="35"/>
  <c r="AR25" i="35"/>
  <c r="BH25" i="35"/>
  <c r="AM25" i="35"/>
  <c r="BC25" i="35"/>
  <c r="AV25" i="35"/>
  <c r="AO25" i="35"/>
  <c r="AH25" i="35"/>
  <c r="AK25" i="35"/>
  <c r="BA25" i="35"/>
  <c r="N29" i="35"/>
  <c r="Q53" i="35" s="1"/>
  <c r="AM29" i="35"/>
  <c r="AP53" i="35" s="1"/>
  <c r="K29" i="35"/>
  <c r="AX29" i="35"/>
  <c r="BA53" i="35" s="1"/>
  <c r="T29" i="35"/>
  <c r="W53" i="35" s="1"/>
  <c r="Q29" i="35"/>
  <c r="V53" i="35" s="1"/>
  <c r="AL29" i="35"/>
  <c r="AO53" i="35" s="1"/>
  <c r="AA29" i="35"/>
  <c r="AD53" i="35" s="1"/>
  <c r="AN29" i="35"/>
  <c r="AQ53" i="35" s="1"/>
  <c r="AF29" i="35"/>
  <c r="AI53" i="35" s="1"/>
  <c r="AI29" i="35"/>
  <c r="AL53" i="35" s="1"/>
  <c r="BB29" i="35"/>
  <c r="BE53" i="35" s="1"/>
  <c r="AA53" i="35"/>
  <c r="V29" i="35"/>
  <c r="Y53" i="35" s="1"/>
  <c r="AD29" i="35"/>
  <c r="AG53" i="35" s="1"/>
  <c r="AW29" i="35"/>
  <c r="AZ53" i="35" s="1"/>
  <c r="R29" i="35"/>
  <c r="U53" i="35" s="1"/>
  <c r="BJ29" i="35"/>
  <c r="BM53" i="35" s="1"/>
  <c r="AU29" i="35"/>
  <c r="AX53" i="35" s="1"/>
  <c r="AO29" i="35"/>
  <c r="AR53" i="35" s="1"/>
  <c r="AC29" i="35"/>
  <c r="AF53" i="35" s="1"/>
  <c r="AS29" i="35"/>
  <c r="AV53" i="35" s="1"/>
  <c r="W29" i="35"/>
  <c r="Z53" i="35" s="1"/>
  <c r="AB53" i="35"/>
  <c r="BI29" i="35"/>
  <c r="BL53" i="35" s="1"/>
  <c r="AB29" i="35"/>
  <c r="AE53" i="35" s="1"/>
  <c r="AJ29" i="35"/>
  <c r="AM53" i="35" s="1"/>
  <c r="AG29" i="35"/>
  <c r="AJ53" i="35" s="1"/>
  <c r="AZ29" i="35"/>
  <c r="BC53" i="35" s="1"/>
  <c r="AE29" i="35"/>
  <c r="AH53" i="35" s="1"/>
  <c r="BH29" i="35"/>
  <c r="BK53" i="35" s="1"/>
  <c r="BM29" i="35"/>
  <c r="M29" i="35"/>
  <c r="P53" i="35" s="1"/>
  <c r="BN29" i="35"/>
  <c r="BF29" i="35"/>
  <c r="BI53" i="35" s="1"/>
  <c r="BA29" i="35"/>
  <c r="BD53" i="35" s="1"/>
  <c r="BK29" i="35"/>
  <c r="BN53" i="35" s="1"/>
  <c r="AV29" i="35"/>
  <c r="AY53" i="35" s="1"/>
  <c r="BC29" i="35"/>
  <c r="BF53" i="35" s="1"/>
  <c r="AQ29" i="35"/>
  <c r="AT53" i="35" s="1"/>
  <c r="AT29" i="35"/>
  <c r="AW53" i="35" s="1"/>
  <c r="BE29" i="35"/>
  <c r="BH53" i="35" s="1"/>
  <c r="AP29" i="35"/>
  <c r="AS53" i="35" s="1"/>
  <c r="S29" i="35"/>
  <c r="AK29" i="35"/>
  <c r="AN53" i="35" s="1"/>
  <c r="BG29" i="35"/>
  <c r="BJ53" i="35" s="1"/>
  <c r="AY29" i="35"/>
  <c r="BB53" i="35" s="1"/>
  <c r="BL29" i="35"/>
  <c r="BO53" i="35" s="1"/>
  <c r="Z29" i="35"/>
  <c r="AC53" i="35" s="1"/>
  <c r="AH29" i="35"/>
  <c r="AK53" i="35" s="1"/>
  <c r="AR29" i="35"/>
  <c r="AU53" i="35" s="1"/>
  <c r="BD29" i="35"/>
  <c r="BG53" i="35" s="1"/>
  <c r="L29" i="35"/>
  <c r="O29" i="35"/>
  <c r="R53" i="35" s="1"/>
  <c r="N44" i="35"/>
  <c r="AO68" i="35" s="1"/>
  <c r="O44" i="35"/>
  <c r="AP68" i="35" s="1"/>
  <c r="L44" i="35"/>
  <c r="AM68" i="35" s="1"/>
  <c r="M44" i="35"/>
  <c r="AN68" i="35" s="1"/>
  <c r="AL44" i="35"/>
  <c r="BM68" i="35" s="1"/>
  <c r="R44" i="35"/>
  <c r="AS68" i="35" s="1"/>
  <c r="AE44" i="35"/>
  <c r="BF68" i="35" s="1"/>
  <c r="AR44" i="35"/>
  <c r="AG44" i="35"/>
  <c r="BH68" i="35" s="1"/>
  <c r="X44" i="35"/>
  <c r="AY68" i="35" s="1"/>
  <c r="AQ44" i="35"/>
  <c r="AJ44" i="35"/>
  <c r="BK68" i="35" s="1"/>
  <c r="P44" i="35"/>
  <c r="AQ68" i="35" s="1"/>
  <c r="BF44" i="35"/>
  <c r="AI44" i="35"/>
  <c r="BJ68" i="35" s="1"/>
  <c r="AA44" i="35"/>
  <c r="BB68" i="35" s="1"/>
  <c r="AX44" i="35"/>
  <c r="BA44" i="35"/>
  <c r="Y44" i="35"/>
  <c r="AZ68" i="35" s="1"/>
  <c r="BK44" i="35"/>
  <c r="AT44" i="35"/>
  <c r="AD44" i="35"/>
  <c r="BE68" i="35" s="1"/>
  <c r="AH44" i="35"/>
  <c r="BI68" i="35" s="1"/>
  <c r="AM44" i="35"/>
  <c r="BN68" i="35" s="1"/>
  <c r="BE44" i="35"/>
  <c r="S44" i="35"/>
  <c r="AT68" i="35" s="1"/>
  <c r="V44" i="35"/>
  <c r="AW68" i="35" s="1"/>
  <c r="BL44" i="35"/>
  <c r="AO44" i="35"/>
  <c r="T44" i="35"/>
  <c r="AU68" i="35" s="1"/>
  <c r="AB44" i="35"/>
  <c r="BC68" i="35" s="1"/>
  <c r="AC44" i="35"/>
  <c r="BD68" i="35" s="1"/>
  <c r="AP44" i="35"/>
  <c r="Q44" i="35"/>
  <c r="AR68" i="35" s="1"/>
  <c r="BI44" i="35"/>
  <c r="BN44" i="35"/>
  <c r="Z44" i="35"/>
  <c r="BA68" i="35" s="1"/>
  <c r="BC44" i="35"/>
  <c r="AY44" i="35"/>
  <c r="BG44" i="35"/>
  <c r="BH44" i="35"/>
  <c r="AK44" i="35"/>
  <c r="BL68" i="35" s="1"/>
  <c r="BJ44" i="35"/>
  <c r="W44" i="35"/>
  <c r="AX68" i="35" s="1"/>
  <c r="BM44" i="35"/>
  <c r="BD44" i="35"/>
  <c r="AZ44" i="35"/>
  <c r="BB44" i="35"/>
  <c r="AV44" i="35"/>
  <c r="AU44" i="35"/>
  <c r="AS44" i="35"/>
  <c r="AW44" i="35"/>
  <c r="AN44" i="35"/>
  <c r="BO68" i="35" s="1"/>
  <c r="AF44" i="35"/>
  <c r="BG68" i="35" s="1"/>
  <c r="BP4" i="9"/>
  <c r="BI33" i="10" s="1"/>
  <c r="BO25" i="35"/>
  <c r="AJ4" i="9"/>
  <c r="AC33" i="10" s="1"/>
  <c r="BH4" i="9"/>
  <c r="BA33" i="10" s="1"/>
  <c r="BA4" i="9"/>
  <c r="AT33" i="10" s="1"/>
  <c r="AK4" i="9"/>
  <c r="AD33" i="10" s="1"/>
  <c r="AI4" i="9"/>
  <c r="AB33" i="10" s="1"/>
  <c r="BG4" i="9"/>
  <c r="AZ33" i="10" s="1"/>
  <c r="AH4" i="9"/>
  <c r="AA33" i="10" s="1"/>
  <c r="AX4" i="9"/>
  <c r="AQ33" i="10" s="1"/>
  <c r="BF4" i="9"/>
  <c r="AY33" i="10" s="1"/>
  <c r="BN4" i="9"/>
  <c r="BG33" i="10" s="1"/>
  <c r="I73" i="9"/>
  <c r="I106" i="9"/>
  <c r="I138" i="9"/>
  <c r="I111" i="9"/>
  <c r="I110" i="9"/>
  <c r="AV4" i="9"/>
  <c r="AO33" i="10" s="1"/>
  <c r="I126" i="9"/>
  <c r="I136" i="9"/>
  <c r="I152" i="9"/>
  <c r="AF4" i="9"/>
  <c r="Y33" i="10" s="1"/>
  <c r="AN4" i="9"/>
  <c r="AG33" i="10" s="1"/>
  <c r="BD4" i="9"/>
  <c r="AW33" i="10" s="1"/>
  <c r="BL4" i="9"/>
  <c r="BE33" i="10" s="1"/>
  <c r="AG4" i="9"/>
  <c r="Z33" i="10" s="1"/>
  <c r="AO4" i="9"/>
  <c r="AH33" i="10" s="1"/>
  <c r="AW4" i="9"/>
  <c r="AP33" i="10" s="1"/>
  <c r="BE4" i="9"/>
  <c r="AX33" i="10" s="1"/>
  <c r="BM4" i="9"/>
  <c r="BF33" i="10" s="1"/>
  <c r="AR4" i="9"/>
  <c r="AK33" i="10" s="1"/>
  <c r="AZ4" i="9"/>
  <c r="AS33" i="10" s="1"/>
  <c r="I147" i="9"/>
  <c r="I151" i="9"/>
  <c r="I105" i="9"/>
  <c r="AP4" i="9"/>
  <c r="AI33" i="10" s="1"/>
  <c r="BO4" i="9"/>
  <c r="BH33" i="10" s="1"/>
  <c r="I127" i="9"/>
  <c r="I150" i="9"/>
  <c r="AQ4" i="9"/>
  <c r="AJ33" i="10" s="1"/>
  <c r="AY4" i="9"/>
  <c r="AR33" i="10" s="1"/>
  <c r="AC4" i="9"/>
  <c r="V33" i="10" s="1"/>
  <c r="AS4" i="9"/>
  <c r="AL33" i="10" s="1"/>
  <c r="BI4" i="9"/>
  <c r="BB33" i="10" s="1"/>
  <c r="I124" i="9"/>
  <c r="I148" i="9"/>
  <c r="I149" i="9"/>
  <c r="S44" i="10"/>
  <c r="N44" i="10"/>
  <c r="V44" i="10"/>
  <c r="M44" i="10"/>
  <c r="P44" i="10"/>
  <c r="U44" i="10"/>
  <c r="Q44" i="10"/>
  <c r="R44" i="10"/>
  <c r="T44" i="10"/>
  <c r="W44" i="10"/>
  <c r="O44" i="10"/>
  <c r="Q57" i="10"/>
  <c r="T52" i="10"/>
  <c r="U52" i="10" s="1"/>
  <c r="W52" i="10" s="1"/>
  <c r="I137" i="9"/>
  <c r="I82" i="9"/>
  <c r="AE4" i="9"/>
  <c r="X33" i="10" s="1"/>
  <c r="AM4" i="9"/>
  <c r="AF33" i="10" s="1"/>
  <c r="AU4" i="9"/>
  <c r="AN33" i="10" s="1"/>
  <c r="BC4" i="9"/>
  <c r="AV33" i="10" s="1"/>
  <c r="BK4" i="9"/>
  <c r="BD33" i="10" s="1"/>
  <c r="I139" i="9"/>
  <c r="AD4" i="9"/>
  <c r="W33" i="10" s="1"/>
  <c r="AL4" i="9"/>
  <c r="AE33" i="10" s="1"/>
  <c r="AT4" i="9"/>
  <c r="AM33" i="10" s="1"/>
  <c r="BB4" i="9"/>
  <c r="AU33" i="10" s="1"/>
  <c r="BJ4" i="9"/>
  <c r="BC33" i="10" s="1"/>
  <c r="X53" i="35" l="1"/>
  <c r="I53" i="35" s="1"/>
  <c r="L44" i="10"/>
  <c r="K44" i="10" s="1"/>
  <c r="U127" i="35"/>
  <c r="U128" i="35"/>
  <c r="Y124" i="35"/>
  <c r="Y127" i="35" s="1"/>
  <c r="I44" i="35"/>
  <c r="I29" i="35"/>
  <c r="CM213" i="36"/>
  <c r="CN212" i="36"/>
  <c r="CM214" i="36"/>
  <c r="BI25" i="35"/>
  <c r="AC25" i="35"/>
  <c r="P45" i="10"/>
  <c r="P59" i="10" s="1"/>
  <c r="U45" i="10"/>
  <c r="S45" i="10"/>
  <c r="W45" i="10"/>
  <c r="P43" i="10"/>
  <c r="K69" i="41" s="1"/>
  <c r="Q45" i="10"/>
  <c r="Q59" i="10" s="1"/>
  <c r="T45" i="10"/>
  <c r="S43" i="10"/>
  <c r="N69" i="41" s="1"/>
  <c r="R45" i="10"/>
  <c r="O45" i="10"/>
  <c r="O59" i="10" s="1"/>
  <c r="U43" i="10"/>
  <c r="P69" i="41" s="1"/>
  <c r="V45" i="10"/>
  <c r="R57" i="10"/>
  <c r="V51" i="10"/>
  <c r="W51" i="10" s="1"/>
  <c r="K52" i="10"/>
  <c r="U131" i="35" l="1"/>
  <c r="U132" i="35"/>
  <c r="Y128" i="35"/>
  <c r="Y131" i="35" s="1"/>
  <c r="I68" i="35"/>
  <c r="CO212" i="36"/>
  <c r="CN214" i="36"/>
  <c r="CN213" i="36"/>
  <c r="R59" i="10"/>
  <c r="S57" i="10"/>
  <c r="S59" i="10" s="1"/>
  <c r="K51" i="10"/>
  <c r="T57" i="10"/>
  <c r="T59" i="10" s="1"/>
  <c r="U135" i="35" l="1"/>
  <c r="U136" i="35"/>
  <c r="Y132" i="35"/>
  <c r="Y135" i="35" s="1"/>
  <c r="CP212" i="36"/>
  <c r="CO214" i="36"/>
  <c r="CO213" i="36"/>
  <c r="U57" i="10"/>
  <c r="U59" i="10" s="1"/>
  <c r="U139" i="35" l="1"/>
  <c r="U141" i="35"/>
  <c r="U144" i="35" s="1"/>
  <c r="Y136" i="35"/>
  <c r="CP214" i="36"/>
  <c r="CP213" i="36"/>
  <c r="CP215" i="36" s="1"/>
  <c r="G229" i="36" s="1"/>
  <c r="CQ212" i="36"/>
  <c r="V57" i="10"/>
  <c r="V59" i="10" s="1"/>
  <c r="W57" i="10"/>
  <c r="W59" i="10" s="1"/>
  <c r="K55" i="10"/>
  <c r="K57" i="10" s="1"/>
  <c r="Y139" i="35" l="1"/>
  <c r="Y141" i="35"/>
  <c r="Y144" i="35" s="1"/>
  <c r="CQ214" i="36"/>
  <c r="CQ213" i="36"/>
  <c r="CR212" i="36"/>
  <c r="CR214" i="36" l="1"/>
  <c r="CR213" i="36"/>
  <c r="CS212" i="36"/>
  <c r="CS214" i="36" l="1"/>
  <c r="CS213" i="36"/>
  <c r="CT212" i="36"/>
  <c r="CT213" i="36" l="1"/>
  <c r="CT215" i="36" s="1"/>
  <c r="CU212" i="36"/>
  <c r="CT214" i="36"/>
  <c r="CU213" i="36" l="1"/>
  <c r="CV212" i="36"/>
  <c r="CU214" i="36"/>
  <c r="CW212" i="36" l="1"/>
  <c r="CV214" i="36"/>
  <c r="CV213" i="36"/>
  <c r="CX212" i="36" l="1"/>
  <c r="CW214" i="36"/>
  <c r="CW213" i="36"/>
  <c r="CX214" i="36" l="1"/>
  <c r="CX213" i="36"/>
  <c r="P2" i="35" l="1"/>
  <c r="O2" i="35" s="1"/>
  <c r="N2" i="35" s="1"/>
  <c r="M2" i="35" s="1"/>
  <c r="L2" i="35" s="1"/>
  <c r="K2" i="35" s="1"/>
  <c r="Q2" i="35" l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I2" i="35" s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P27" i="35"/>
  <c r="P52" i="35" s="1"/>
  <c r="P78" i="35" s="1"/>
  <c r="P84" i="35" s="1"/>
  <c r="O84" i="35" l="1"/>
  <c r="N84" i="35" s="1"/>
  <c r="M84" i="35" s="1"/>
  <c r="L84" i="35" s="1"/>
  <c r="K84" i="35" s="1"/>
  <c r="Q84" i="35"/>
  <c r="R84" i="35" s="1"/>
  <c r="S84" i="35" s="1"/>
  <c r="T84" i="35" s="1"/>
  <c r="U84" i="35" s="1"/>
  <c r="V84" i="35" s="1"/>
  <c r="W84" i="35" s="1"/>
  <c r="X84" i="35" s="1"/>
  <c r="Y84" i="35" s="1"/>
  <c r="Z84" i="35" s="1"/>
  <c r="AA84" i="35" s="1"/>
  <c r="AB84" i="35" s="1"/>
  <c r="AC84" i="35" s="1"/>
  <c r="AD84" i="35" s="1"/>
  <c r="AE84" i="35" s="1"/>
  <c r="AF84" i="35" s="1"/>
  <c r="AG84" i="35" s="1"/>
  <c r="AH84" i="35" s="1"/>
  <c r="AI84" i="35" s="1"/>
  <c r="AJ84" i="35" s="1"/>
  <c r="AK84" i="35" s="1"/>
  <c r="AL84" i="35" s="1"/>
  <c r="AM84" i="35" s="1"/>
  <c r="AN84" i="35" s="1"/>
  <c r="AO84" i="35" s="1"/>
  <c r="AP84" i="35" s="1"/>
  <c r="AQ84" i="35" s="1"/>
  <c r="AR84" i="35" s="1"/>
  <c r="AS84" i="35" s="1"/>
  <c r="AT84" i="35" s="1"/>
  <c r="AU84" i="35" s="1"/>
  <c r="AV84" i="35" s="1"/>
  <c r="AW84" i="35" s="1"/>
  <c r="AX84" i="35" s="1"/>
  <c r="AY84" i="35" s="1"/>
  <c r="AZ84" i="35" s="1"/>
  <c r="BA84" i="35" s="1"/>
  <c r="BB84" i="35" s="1"/>
  <c r="BC84" i="35" s="1"/>
  <c r="BD84" i="35" s="1"/>
  <c r="BE84" i="35" s="1"/>
  <c r="BF84" i="35" s="1"/>
  <c r="BG84" i="35" s="1"/>
  <c r="BH84" i="35" s="1"/>
  <c r="BI84" i="35" s="1"/>
  <c r="BJ84" i="35" s="1"/>
  <c r="BK84" i="35" s="1"/>
  <c r="BL84" i="35" s="1"/>
  <c r="BM84" i="35" s="1"/>
  <c r="BN84" i="35" s="1"/>
  <c r="BO84" i="35" s="1"/>
  <c r="BP84" i="35" s="1"/>
  <c r="O78" i="35"/>
  <c r="N78" i="35" s="1"/>
  <c r="M78" i="35" s="1"/>
  <c r="L78" i="35" s="1"/>
  <c r="K78" i="35" s="1"/>
  <c r="Q78" i="35"/>
  <c r="R78" i="35" s="1"/>
  <c r="S78" i="35" s="1"/>
  <c r="T78" i="35" s="1"/>
  <c r="U78" i="35" s="1"/>
  <c r="V78" i="35" s="1"/>
  <c r="W78" i="35" s="1"/>
  <c r="X78" i="35" s="1"/>
  <c r="Y78" i="35" s="1"/>
  <c r="Z78" i="35" s="1"/>
  <c r="AA78" i="35" s="1"/>
  <c r="AB78" i="35" s="1"/>
  <c r="AC78" i="35" s="1"/>
  <c r="AD78" i="35" s="1"/>
  <c r="AE78" i="35" s="1"/>
  <c r="AF78" i="35" s="1"/>
  <c r="AG78" i="35" s="1"/>
  <c r="AH78" i="35" s="1"/>
  <c r="AI78" i="35" s="1"/>
  <c r="AJ78" i="35" s="1"/>
  <c r="AK78" i="35" s="1"/>
  <c r="AL78" i="35" s="1"/>
  <c r="AM78" i="35" s="1"/>
  <c r="AN78" i="35" s="1"/>
  <c r="AO78" i="35" s="1"/>
  <c r="AP78" i="35" s="1"/>
  <c r="AQ78" i="35" s="1"/>
  <c r="AR78" i="35" s="1"/>
  <c r="AS78" i="35" s="1"/>
  <c r="AT78" i="35" s="1"/>
  <c r="AU78" i="35" s="1"/>
  <c r="AV78" i="35" s="1"/>
  <c r="AW78" i="35" s="1"/>
  <c r="AX78" i="35" s="1"/>
  <c r="AY78" i="35" s="1"/>
  <c r="AZ78" i="35" s="1"/>
  <c r="BA78" i="35" s="1"/>
  <c r="BB78" i="35" s="1"/>
  <c r="BC78" i="35" s="1"/>
  <c r="BD78" i="35" s="1"/>
  <c r="BE78" i="35" s="1"/>
  <c r="BF78" i="35" s="1"/>
  <c r="BG78" i="35" s="1"/>
  <c r="BH78" i="35" s="1"/>
  <c r="BI78" i="35" s="1"/>
  <c r="BJ78" i="35" s="1"/>
  <c r="BK78" i="35" s="1"/>
  <c r="BL78" i="35" s="1"/>
  <c r="BM78" i="35" s="1"/>
  <c r="BN78" i="35" s="1"/>
  <c r="BO78" i="35" s="1"/>
  <c r="Q27" i="35"/>
  <c r="R27" i="35" s="1"/>
  <c r="S27" i="35" s="1"/>
  <c r="T27" i="35" s="1"/>
  <c r="U27" i="35" s="1"/>
  <c r="V27" i="35" s="1"/>
  <c r="W27" i="35" s="1"/>
  <c r="X27" i="35" s="1"/>
  <c r="Y27" i="35" s="1"/>
  <c r="Z27" i="35" s="1"/>
  <c r="AA27" i="35" s="1"/>
  <c r="AB27" i="35" s="1"/>
  <c r="AC27" i="35" s="1"/>
  <c r="AD27" i="35" s="1"/>
  <c r="AE27" i="35" s="1"/>
  <c r="AF27" i="35" s="1"/>
  <c r="AG27" i="35" s="1"/>
  <c r="AH27" i="35" s="1"/>
  <c r="AI27" i="35" s="1"/>
  <c r="AJ27" i="35" s="1"/>
  <c r="AK27" i="35" s="1"/>
  <c r="AL27" i="35" s="1"/>
  <c r="AM27" i="35" s="1"/>
  <c r="AN27" i="35" s="1"/>
  <c r="AO27" i="35" s="1"/>
  <c r="AP27" i="35" s="1"/>
  <c r="AQ27" i="35" s="1"/>
  <c r="AR27" i="35" s="1"/>
  <c r="AS27" i="35" s="1"/>
  <c r="AT27" i="35" s="1"/>
  <c r="AU27" i="35" s="1"/>
  <c r="AV27" i="35" s="1"/>
  <c r="AW27" i="35" s="1"/>
  <c r="AX27" i="35" s="1"/>
  <c r="AY27" i="35" s="1"/>
  <c r="AZ27" i="35" s="1"/>
  <c r="BA27" i="35" s="1"/>
  <c r="BB27" i="35" s="1"/>
  <c r="BC27" i="35" s="1"/>
  <c r="BD27" i="35" s="1"/>
  <c r="BE27" i="35" s="1"/>
  <c r="BF27" i="35" s="1"/>
  <c r="BG27" i="35" s="1"/>
  <c r="BH27" i="35" s="1"/>
  <c r="BI27" i="35" s="1"/>
  <c r="BJ27" i="35" s="1"/>
  <c r="BK27" i="35" s="1"/>
  <c r="BL27" i="35" s="1"/>
  <c r="BM27" i="35" s="1"/>
  <c r="BN27" i="35" s="1"/>
  <c r="BO27" i="35" s="1"/>
  <c r="O27" i="35"/>
  <c r="N27" i="35" s="1"/>
  <c r="M27" i="35" s="1"/>
  <c r="L27" i="35" s="1"/>
  <c r="K27" i="35" s="1"/>
  <c r="I78" i="35" l="1"/>
  <c r="H167" i="9" l="1"/>
  <c r="H176" i="9" s="1"/>
  <c r="H168" i="9" l="1"/>
  <c r="H169" i="9" l="1"/>
  <c r="H170" i="9" l="1"/>
  <c r="H171" i="9" l="1"/>
  <c r="H172" i="9" l="1"/>
  <c r="H173" i="9" l="1"/>
  <c r="H174" i="9" l="1"/>
  <c r="L158" i="9" l="1"/>
  <c r="K24" i="35" s="1"/>
  <c r="K49" i="35" s="1"/>
  <c r="X73" i="35" s="1"/>
  <c r="I73" i="35" s="1"/>
  <c r="M158" i="9" l="1"/>
  <c r="L159" i="9"/>
  <c r="L161" i="9" s="1"/>
  <c r="L160" i="9"/>
  <c r="H175" i="9" l="1"/>
  <c r="I161" i="9"/>
  <c r="M160" i="9"/>
  <c r="M159" i="9"/>
  <c r="N158" i="9"/>
  <c r="N160" i="9" l="1"/>
  <c r="N159" i="9"/>
  <c r="O158" i="9"/>
  <c r="O160" i="9" l="1"/>
  <c r="O159" i="9"/>
  <c r="P158" i="9"/>
  <c r="P159" i="9" l="1"/>
  <c r="P161" i="9" s="1"/>
  <c r="P160" i="9"/>
  <c r="Q158" i="9"/>
  <c r="Q159" i="9" l="1"/>
  <c r="R158" i="9"/>
  <c r="Q160" i="9"/>
  <c r="S158" i="9" l="1"/>
  <c r="R159" i="9"/>
  <c r="R160" i="9"/>
  <c r="T158" i="9" l="1"/>
  <c r="S160" i="9"/>
  <c r="S159" i="9"/>
  <c r="T160" i="9" l="1"/>
  <c r="T159" i="9"/>
  <c r="L2" i="9" l="1"/>
  <c r="Q2" i="9"/>
  <c r="U2" i="9"/>
  <c r="Z2" i="9"/>
  <c r="R2" i="9"/>
  <c r="N2" i="9"/>
  <c r="G34" i="10" s="1"/>
  <c r="T2" i="9"/>
  <c r="M34" i="10" s="1"/>
  <c r="P2" i="9"/>
  <c r="I34" i="10" s="1"/>
  <c r="B27" i="35" s="1"/>
  <c r="S2" i="9"/>
  <c r="L34" i="10" s="1"/>
  <c r="AA2" i="9"/>
  <c r="T34" i="10" s="1"/>
  <c r="W2" i="9"/>
  <c r="P34" i="10" s="1"/>
  <c r="M2" i="9"/>
  <c r="F34" i="10" s="1"/>
  <c r="O2" i="9"/>
  <c r="H34" i="10" s="1"/>
  <c r="AB2" i="9"/>
  <c r="U34" i="10" s="1"/>
  <c r="V2" i="9"/>
  <c r="O34" i="10" s="1"/>
  <c r="X2" i="9"/>
  <c r="Q34" i="10" s="1"/>
  <c r="T8" i="35"/>
  <c r="T33" i="35" s="1"/>
  <c r="N8" i="35"/>
  <c r="N33" i="35" s="1"/>
  <c r="Q57" i="35" s="1"/>
  <c r="Y8" i="35"/>
  <c r="Y33" i="35" s="1"/>
  <c r="AB57" i="35" s="1"/>
  <c r="Q8" i="35"/>
  <c r="Z8" i="35"/>
  <c r="Z33" i="35" s="1"/>
  <c r="AC57" i="35" s="1"/>
  <c r="V8" i="35"/>
  <c r="V33" i="35" s="1"/>
  <c r="Y57" i="35" s="1"/>
  <c r="R8" i="35"/>
  <c r="R33" i="35" s="1"/>
  <c r="U57" i="35" s="1"/>
  <c r="L8" i="35"/>
  <c r="L33" i="35" s="1"/>
  <c r="M8" i="35"/>
  <c r="M33" i="35" s="1"/>
  <c r="P57" i="35" s="1"/>
  <c r="O8" i="35"/>
  <c r="O33" i="35" s="1"/>
  <c r="R57" i="35" s="1"/>
  <c r="AA8" i="35"/>
  <c r="AA33" i="35" s="1"/>
  <c r="AD57" i="35" s="1"/>
  <c r="X8" i="35"/>
  <c r="X33" i="35" s="1"/>
  <c r="AA57" i="35" s="1"/>
  <c r="P8" i="35"/>
  <c r="P33" i="35" s="1"/>
  <c r="S57" i="35" s="1"/>
  <c r="K8" i="35"/>
  <c r="K33" i="35" s="1"/>
  <c r="W8" i="35"/>
  <c r="W33" i="35" s="1"/>
  <c r="Z57" i="35" s="1"/>
  <c r="S8" i="35"/>
  <c r="S33" i="35" s="1"/>
  <c r="V57" i="35" s="1"/>
  <c r="I39" i="9"/>
  <c r="U8" i="35"/>
  <c r="U33" i="35" s="1"/>
  <c r="X57" i="35" s="1"/>
  <c r="K19" i="35" l="1"/>
  <c r="K44" i="35" s="1"/>
  <c r="E34" i="10"/>
  <c r="S34" i="10"/>
  <c r="N34" i="10"/>
  <c r="J34" i="10"/>
  <c r="P25" i="35"/>
  <c r="K2" i="9"/>
  <c r="K4" i="9" s="1"/>
  <c r="W57" i="35"/>
  <c r="U4" i="9"/>
  <c r="N33" i="10" s="1"/>
  <c r="T25" i="35"/>
  <c r="Y25" i="35"/>
  <c r="V4" i="9"/>
  <c r="O33" i="10" s="1"/>
  <c r="S25" i="35"/>
  <c r="AA25" i="35"/>
  <c r="Z25" i="35"/>
  <c r="S4" i="9"/>
  <c r="L33" i="10" s="1"/>
  <c r="R25" i="35"/>
  <c r="W25" i="35"/>
  <c r="W4" i="9"/>
  <c r="P33" i="10" s="1"/>
  <c r="V25" i="35"/>
  <c r="R33" i="10"/>
  <c r="M4" i="9"/>
  <c r="F33" i="10" s="1"/>
  <c r="L4" i="9"/>
  <c r="N4" i="9"/>
  <c r="G33" i="10" s="1"/>
  <c r="X4" i="9"/>
  <c r="R4" i="9"/>
  <c r="K33" i="10" s="1"/>
  <c r="Q4" i="9"/>
  <c r="J33" i="10" s="1"/>
  <c r="AA4" i="9"/>
  <c r="T33" i="10" s="1"/>
  <c r="I8" i="35"/>
  <c r="Q33" i="35"/>
  <c r="O4" i="9"/>
  <c r="H33" i="10" s="1"/>
  <c r="P4" i="9"/>
  <c r="I33" i="10" s="1"/>
  <c r="AB4" i="9"/>
  <c r="U33" i="10" s="1"/>
  <c r="T4" i="9"/>
  <c r="M33" i="10" s="1"/>
  <c r="Z4" i="9"/>
  <c r="S33" i="10" s="1"/>
  <c r="E33" i="10" l="1"/>
  <c r="K21" i="35"/>
  <c r="K46" i="35" s="1"/>
  <c r="X70" i="35" s="1"/>
  <c r="I70" i="35" s="1"/>
  <c r="I33" i="35"/>
  <c r="T57" i="35"/>
  <c r="I57" i="35" s="1"/>
  <c r="Q33" i="10"/>
  <c r="M45" i="10" s="1"/>
  <c r="M59" i="10" s="1"/>
  <c r="L45" i="10"/>
  <c r="L59" i="10" s="1"/>
  <c r="N45" i="10"/>
  <c r="N59" i="10" s="1"/>
  <c r="L74" i="35"/>
  <c r="L79" i="35"/>
  <c r="L85" i="35" s="1"/>
  <c r="K74" i="35"/>
  <c r="K79" i="35"/>
  <c r="U79" i="35"/>
  <c r="U85" i="35" s="1"/>
  <c r="U74" i="35"/>
  <c r="M43" i="10"/>
  <c r="H69" i="41" s="1"/>
  <c r="U25" i="35"/>
  <c r="I56" i="35"/>
  <c r="D33" i="10" l="1"/>
  <c r="K59" i="10"/>
  <c r="K85" i="35"/>
  <c r="K86" i="35" s="1"/>
  <c r="K45" i="10" l="1"/>
  <c r="J5" i="35" l="1"/>
  <c r="Y30" i="35" s="1"/>
  <c r="H58" i="41" l="1"/>
  <c r="H61" i="41" s="1"/>
  <c r="U30" i="35"/>
  <c r="BO30" i="35"/>
  <c r="BO50" i="35" s="1"/>
  <c r="E58" i="41"/>
  <c r="K30" i="35"/>
  <c r="N79" i="35" s="1"/>
  <c r="N85" i="35" s="1"/>
  <c r="M30" i="35"/>
  <c r="P54" i="35" s="1"/>
  <c r="P74" i="35" s="1"/>
  <c r="AU30" i="35"/>
  <c r="AU50" i="35" s="1"/>
  <c r="BA30" i="35"/>
  <c r="BD54" i="35" s="1"/>
  <c r="BD79" i="35" s="1"/>
  <c r="BD85" i="35" s="1"/>
  <c r="P30" i="35"/>
  <c r="P50" i="35" s="1"/>
  <c r="T30" i="35"/>
  <c r="W54" i="35" s="1"/>
  <c r="W79" i="35" s="1"/>
  <c r="W85" i="35" s="1"/>
  <c r="BG30" i="35"/>
  <c r="BJ54" i="35" s="1"/>
  <c r="BJ79" i="35" s="1"/>
  <c r="BJ85" i="35" s="1"/>
  <c r="AC30" i="35"/>
  <c r="AF54" i="35" s="1"/>
  <c r="AF30" i="35"/>
  <c r="AF50" i="35" s="1"/>
  <c r="F58" i="41"/>
  <c r="F61" i="41" s="1"/>
  <c r="F65" i="41" s="1"/>
  <c r="BF30" i="35"/>
  <c r="AT30" i="35"/>
  <c r="AD30" i="35"/>
  <c r="BN30" i="35"/>
  <c r="AH30" i="35"/>
  <c r="N30" i="35"/>
  <c r="AE30" i="35"/>
  <c r="AG30" i="35"/>
  <c r="Q30" i="35"/>
  <c r="BC30" i="35"/>
  <c r="R30" i="35"/>
  <c r="G58" i="41"/>
  <c r="G61" i="41" s="1"/>
  <c r="G65" i="41" s="1"/>
  <c r="AZ30" i="35"/>
  <c r="BJ30" i="35"/>
  <c r="BB30" i="35"/>
  <c r="BI30" i="35"/>
  <c r="AW30" i="35"/>
  <c r="BL30" i="35"/>
  <c r="AB30" i="35"/>
  <c r="BM30" i="35"/>
  <c r="BM50" i="35" s="1"/>
  <c r="AX30" i="35"/>
  <c r="AS30" i="35"/>
  <c r="BK30" i="35"/>
  <c r="W30" i="35"/>
  <c r="V30" i="35"/>
  <c r="O30" i="35"/>
  <c r="L30" i="35"/>
  <c r="BD30" i="35"/>
  <c r="AO30" i="35"/>
  <c r="S30" i="35"/>
  <c r="S50" i="35" s="1"/>
  <c r="AP30" i="35"/>
  <c r="AM30" i="35"/>
  <c r="AR30" i="35"/>
  <c r="BE30" i="35"/>
  <c r="BH30" i="35"/>
  <c r="AN30" i="35"/>
  <c r="AJ30" i="35"/>
  <c r="AA30" i="35"/>
  <c r="Z30" i="35"/>
  <c r="AY30" i="35"/>
  <c r="AQ30" i="35"/>
  <c r="AL30" i="35"/>
  <c r="AI30" i="35"/>
  <c r="AK30" i="35"/>
  <c r="AV30" i="35"/>
  <c r="K50" i="35" l="1"/>
  <c r="M50" i="35"/>
  <c r="AC50" i="35"/>
  <c r="P79" i="35"/>
  <c r="P85" i="35" s="1"/>
  <c r="AI54" i="35"/>
  <c r="AI79" i="35" s="1"/>
  <c r="AI85" i="35" s="1"/>
  <c r="N74" i="35"/>
  <c r="X54" i="35"/>
  <c r="U50" i="35"/>
  <c r="AX54" i="35"/>
  <c r="AX74" i="35" s="1"/>
  <c r="AF79" i="35"/>
  <c r="AF85" i="35" s="1"/>
  <c r="BD74" i="35"/>
  <c r="T50" i="35"/>
  <c r="W74" i="35"/>
  <c r="S54" i="35"/>
  <c r="S79" i="35" s="1"/>
  <c r="S85" i="35" s="1"/>
  <c r="BA50" i="35"/>
  <c r="BJ74" i="35"/>
  <c r="V50" i="35"/>
  <c r="Y54" i="35"/>
  <c r="AY54" i="35"/>
  <c r="AV50" i="35"/>
  <c r="AA50" i="35"/>
  <c r="AD54" i="35"/>
  <c r="I35" i="41"/>
  <c r="AM54" i="35"/>
  <c r="AJ50" i="35"/>
  <c r="AS54" i="35"/>
  <c r="AP50" i="35"/>
  <c r="I30" i="35"/>
  <c r="AA54" i="35"/>
  <c r="AR54" i="35"/>
  <c r="AO50" i="35"/>
  <c r="BL50" i="35"/>
  <c r="BO54" i="35"/>
  <c r="N50" i="35"/>
  <c r="Q54" i="35"/>
  <c r="AT54" i="35"/>
  <c r="AQ50" i="35"/>
  <c r="BK54" i="35"/>
  <c r="BH50" i="35"/>
  <c r="AX50" i="35"/>
  <c r="BA54" i="35"/>
  <c r="AW50" i="35"/>
  <c r="AZ54" i="35"/>
  <c r="AK54" i="35"/>
  <c r="AH50" i="35"/>
  <c r="AN54" i="35"/>
  <c r="AK50" i="35"/>
  <c r="W50" i="35"/>
  <c r="Z54" i="35"/>
  <c r="AE54" i="35"/>
  <c r="AB50" i="35"/>
  <c r="V54" i="35"/>
  <c r="R50" i="35"/>
  <c r="AQ54" i="35"/>
  <c r="AN50" i="35"/>
  <c r="AV54" i="35"/>
  <c r="BF54" i="35"/>
  <c r="BC50" i="35"/>
  <c r="AJ54" i="35"/>
  <c r="AG50" i="35"/>
  <c r="BL54" i="35"/>
  <c r="BI50" i="35"/>
  <c r="T54" i="35"/>
  <c r="BC54" i="35"/>
  <c r="BD50" i="35"/>
  <c r="BG54" i="35"/>
  <c r="BH54" i="35"/>
  <c r="BE50" i="35"/>
  <c r="AU54" i="35"/>
  <c r="AR50" i="35"/>
  <c r="O50" i="35"/>
  <c r="R54" i="35"/>
  <c r="BB50" i="35"/>
  <c r="BE54" i="35"/>
  <c r="AH54" i="35"/>
  <c r="AD50" i="35"/>
  <c r="AG54" i="35"/>
  <c r="H65" i="41"/>
  <c r="BI54" i="35"/>
  <c r="BF50" i="35"/>
  <c r="AL54" i="35"/>
  <c r="AI50" i="35"/>
  <c r="BN54" i="35"/>
  <c r="BK50" i="35"/>
  <c r="AO54" i="35"/>
  <c r="BB54" i="35"/>
  <c r="AY50" i="35"/>
  <c r="L50" i="35"/>
  <c r="AC54" i="35"/>
  <c r="Z50" i="35"/>
  <c r="AP54" i="35"/>
  <c r="AM50" i="35"/>
  <c r="AB54" i="35"/>
  <c r="Y50" i="35"/>
  <c r="BJ50" i="35"/>
  <c r="BM54" i="35"/>
  <c r="AT50" i="35"/>
  <c r="AW54" i="35"/>
  <c r="I58" i="41"/>
  <c r="AI74" i="35" l="1"/>
  <c r="AX79" i="35"/>
  <c r="X74" i="35"/>
  <c r="X79" i="35"/>
  <c r="X85" i="35" s="1"/>
  <c r="H70" i="41"/>
  <c r="H81" i="41" s="1"/>
  <c r="P70" i="41"/>
  <c r="P81" i="41" s="1"/>
  <c r="N70" i="41"/>
  <c r="N81" i="41" s="1"/>
  <c r="K70" i="41"/>
  <c r="K81" i="41" s="1"/>
  <c r="S74" i="35"/>
  <c r="AH79" i="35"/>
  <c r="AH85" i="35" s="1"/>
  <c r="AH74" i="35"/>
  <c r="AD74" i="35"/>
  <c r="AD79" i="35"/>
  <c r="AD85" i="35" s="1"/>
  <c r="AM79" i="35"/>
  <c r="AM85" i="35" s="1"/>
  <c r="AK74" i="35"/>
  <c r="AK79" i="35"/>
  <c r="M74" i="35"/>
  <c r="M79" i="35"/>
  <c r="AT79" i="35"/>
  <c r="AR79" i="35"/>
  <c r="AR74" i="35"/>
  <c r="AW79" i="35"/>
  <c r="AW85" i="35" s="1"/>
  <c r="AW74" i="35"/>
  <c r="AV74" i="35"/>
  <c r="AV79" i="35"/>
  <c r="Z79" i="35"/>
  <c r="Z85" i="35" s="1"/>
  <c r="Z74" i="35"/>
  <c r="AZ79" i="35"/>
  <c r="AZ74" i="35"/>
  <c r="Q74" i="35"/>
  <c r="Q79" i="35"/>
  <c r="I54" i="35"/>
  <c r="AA74" i="35"/>
  <c r="AA79" i="35"/>
  <c r="AA85" i="35" s="1"/>
  <c r="V79" i="35"/>
  <c r="V85" i="35" s="1"/>
  <c r="V86" i="35" s="1"/>
  <c r="S97" i="35" s="1"/>
  <c r="V74" i="35"/>
  <c r="BH79" i="35"/>
  <c r="BH85" i="35" s="1"/>
  <c r="R79" i="35"/>
  <c r="R85" i="35" s="1"/>
  <c r="R86" i="35" s="1"/>
  <c r="S93" i="35" s="1"/>
  <c r="AY74" i="35"/>
  <c r="AY79" i="35"/>
  <c r="AY85" i="35" s="1"/>
  <c r="AJ79" i="35"/>
  <c r="AJ85" i="35" s="1"/>
  <c r="S109" i="35" s="1"/>
  <c r="AJ74" i="35"/>
  <c r="BF79" i="35"/>
  <c r="BF85" i="35" s="1"/>
  <c r="BF74" i="35"/>
  <c r="BM74" i="35"/>
  <c r="BM79" i="35"/>
  <c r="BM85" i="35" s="1"/>
  <c r="BN74" i="35"/>
  <c r="BN79" i="35"/>
  <c r="BN85" i="35" s="1"/>
  <c r="O74" i="35"/>
  <c r="O79" i="35"/>
  <c r="O85" i="35" s="1"/>
  <c r="O86" i="35" s="1"/>
  <c r="BA79" i="35"/>
  <c r="BA85" i="35" s="1"/>
  <c r="AP79" i="35"/>
  <c r="AP85" i="35" s="1"/>
  <c r="AP74" i="35"/>
  <c r="BC74" i="35"/>
  <c r="BC79" i="35"/>
  <c r="BK74" i="35"/>
  <c r="BK79" i="35"/>
  <c r="AO74" i="35"/>
  <c r="AO79" i="35"/>
  <c r="AC74" i="35"/>
  <c r="AC79" i="35"/>
  <c r="AC85" i="35" s="1"/>
  <c r="BI74" i="35"/>
  <c r="BI79" i="35"/>
  <c r="BI85" i="35" s="1"/>
  <c r="BI86" i="35" s="1"/>
  <c r="S133" i="35" s="1"/>
  <c r="T74" i="35"/>
  <c r="T79" i="35"/>
  <c r="BG74" i="35"/>
  <c r="BG79" i="35"/>
  <c r="BB79" i="35"/>
  <c r="BB74" i="35"/>
  <c r="BL79" i="35"/>
  <c r="BL85" i="35" s="1"/>
  <c r="BL74" i="35"/>
  <c r="AQ74" i="35"/>
  <c r="AQ79" i="35"/>
  <c r="Y79" i="35"/>
  <c r="BE79" i="35"/>
  <c r="BE74" i="35"/>
  <c r="AE74" i="35"/>
  <c r="AE79" i="35"/>
  <c r="AE85" i="35" s="1"/>
  <c r="AL79" i="35"/>
  <c r="AL74" i="35"/>
  <c r="AB74" i="35"/>
  <c r="AB79" i="35"/>
  <c r="AG74" i="35"/>
  <c r="AG79" i="35"/>
  <c r="AN79" i="35"/>
  <c r="AN85" i="35" s="1"/>
  <c r="AN74" i="35"/>
  <c r="AU74" i="35"/>
  <c r="AU79" i="35"/>
  <c r="AU85" i="35" s="1"/>
  <c r="BO79" i="35"/>
  <c r="BO85" i="35" s="1"/>
  <c r="AS74" i="35"/>
  <c r="AS79" i="35"/>
  <c r="AS85" i="35" s="1"/>
  <c r="AD86" i="35" l="1"/>
  <c r="S105" i="35" s="1"/>
  <c r="AP75" i="35"/>
  <c r="BN86" i="35"/>
  <c r="S137" i="35" s="1"/>
  <c r="AX85" i="35"/>
  <c r="AX80" i="35"/>
  <c r="BC85" i="35"/>
  <c r="BC86" i="35" s="1"/>
  <c r="S128" i="35" s="1"/>
  <c r="BC80" i="35"/>
  <c r="AQ85" i="35"/>
  <c r="AP86" i="35" s="1"/>
  <c r="S116" i="35" s="1"/>
  <c r="AP80" i="35"/>
  <c r="AI86" i="35"/>
  <c r="AL85" i="35"/>
  <c r="AK80" i="35"/>
  <c r="BC75" i="35"/>
  <c r="Z86" i="35"/>
  <c r="S101" i="35" s="1"/>
  <c r="K75" i="35"/>
  <c r="AG75" i="35"/>
  <c r="T75" i="35"/>
  <c r="AV85" i="35"/>
  <c r="AV86" i="35" s="1"/>
  <c r="S121" i="35"/>
  <c r="BE85" i="35"/>
  <c r="BE86" i="35" s="1"/>
  <c r="S129" i="35" s="1"/>
  <c r="K80" i="35"/>
  <c r="M85" i="35"/>
  <c r="M86" i="35" s="1"/>
  <c r="Q85" i="35"/>
  <c r="P86" i="35" s="1"/>
  <c r="S92" i="35" s="1"/>
  <c r="P80" i="35"/>
  <c r="BB85" i="35"/>
  <c r="BG85" i="35"/>
  <c r="BG86" i="35" s="1"/>
  <c r="S132" i="35" s="1"/>
  <c r="BG80" i="35"/>
  <c r="AZ85" i="35"/>
  <c r="AR85" i="35"/>
  <c r="AR86" i="35" s="1"/>
  <c r="S117" i="35"/>
  <c r="AB85" i="35"/>
  <c r="AB86" i="35" s="1"/>
  <c r="S104" i="35" s="1"/>
  <c r="AB80" i="35"/>
  <c r="BK85" i="35"/>
  <c r="BK86" i="35" s="1"/>
  <c r="S136" i="35" s="1"/>
  <c r="BK80" i="35"/>
  <c r="X80" i="35"/>
  <c r="Y85" i="35"/>
  <c r="X86" i="35" s="1"/>
  <c r="S100" i="35" s="1"/>
  <c r="AG80" i="35"/>
  <c r="AG85" i="35"/>
  <c r="AG86" i="35" s="1"/>
  <c r="S108" i="35" s="1"/>
  <c r="T85" i="35"/>
  <c r="T86" i="35" s="1"/>
  <c r="S96" i="35" s="1"/>
  <c r="T80" i="35"/>
  <c r="AO85" i="35"/>
  <c r="AM86" i="35" s="1"/>
  <c r="S113" i="35" s="1"/>
  <c r="AT85" i="35"/>
  <c r="AT86" i="35" s="1"/>
  <c r="S120" i="35" s="1"/>
  <c r="AT80" i="35"/>
  <c r="AK85" i="35"/>
  <c r="BA86" i="35" l="1"/>
  <c r="S125" i="35" s="1"/>
  <c r="S142" i="35" s="1"/>
  <c r="AX86" i="35"/>
  <c r="S124" i="35" s="1"/>
  <c r="AK86" i="35"/>
  <c r="S112" i="35" s="1"/>
  <c r="S130" i="35"/>
  <c r="S131" i="35" s="1"/>
  <c r="S110" i="35"/>
  <c r="S111" i="35" s="1"/>
  <c r="S98" i="35"/>
  <c r="S99" i="35" s="1"/>
  <c r="S94" i="35"/>
  <c r="S95" i="35" s="1"/>
  <c r="AA95" i="35" l="1"/>
  <c r="AC95" i="35" s="1"/>
  <c r="S141" i="35"/>
  <c r="AA99" i="35" l="1"/>
  <c r="AC99" i="35" s="1"/>
  <c r="S60" i="44" l="1"/>
  <c r="F60" i="44" s="1"/>
  <c r="S61" i="44" l="1"/>
  <c r="F61" i="44" s="1"/>
  <c r="Q52" i="35"/>
  <c r="R52" i="35" s="1"/>
  <c r="S52" i="35" s="1"/>
  <c r="T52" i="35" s="1"/>
  <c r="U52" i="35" s="1"/>
  <c r="V52" i="35" s="1"/>
  <c r="W52" i="35" s="1"/>
  <c r="X52" i="35" s="1"/>
  <c r="Y52" i="35" s="1"/>
  <c r="Z52" i="35" s="1"/>
  <c r="AA52" i="35" s="1"/>
  <c r="AB52" i="35" s="1"/>
  <c r="AC52" i="35" s="1"/>
  <c r="AD52" i="35" s="1"/>
  <c r="AE52" i="35" s="1"/>
  <c r="AF52" i="35" s="1"/>
  <c r="AG52" i="35" s="1"/>
  <c r="AH52" i="35" s="1"/>
  <c r="AI52" i="35" s="1"/>
  <c r="AJ52" i="35" s="1"/>
  <c r="AK52" i="35" s="1"/>
  <c r="AL52" i="35" s="1"/>
  <c r="AM52" i="35" s="1"/>
  <c r="AN52" i="35" s="1"/>
  <c r="AO52" i="35" s="1"/>
  <c r="AP52" i="35" s="1"/>
  <c r="AQ52" i="35" s="1"/>
  <c r="AR52" i="35" s="1"/>
  <c r="AS52" i="35" s="1"/>
  <c r="AT52" i="35" s="1"/>
  <c r="AU52" i="35" s="1"/>
  <c r="AV52" i="35" s="1"/>
  <c r="AW52" i="35" s="1"/>
  <c r="AX52" i="35" s="1"/>
  <c r="AY52" i="35" s="1"/>
  <c r="AZ52" i="35" s="1"/>
  <c r="BA52" i="35" s="1"/>
  <c r="BB52" i="35" s="1"/>
  <c r="BC52" i="35" s="1"/>
  <c r="BD52" i="35" s="1"/>
  <c r="BE52" i="35" s="1"/>
  <c r="BF52" i="35" s="1"/>
  <c r="BG52" i="35" s="1"/>
  <c r="BH52" i="35" s="1"/>
  <c r="BI52" i="35" s="1"/>
  <c r="BJ52" i="35" s="1"/>
  <c r="BK52" i="35" s="1"/>
  <c r="BL52" i="35" s="1"/>
  <c r="BM52" i="35" s="1"/>
  <c r="BN52" i="35" s="1"/>
  <c r="BO52" i="35" s="1"/>
  <c r="O52" i="35"/>
  <c r="N52" i="35" s="1"/>
  <c r="M52" i="35" s="1"/>
  <c r="L52" i="35" s="1"/>
  <c r="K52" i="35" s="1"/>
  <c r="AZ12" i="35" l="1"/>
  <c r="AZ37" i="35" s="1"/>
  <c r="X12" i="35"/>
  <c r="X37" i="35" s="1"/>
  <c r="AL12" i="35"/>
  <c r="AL37" i="35" s="1"/>
  <c r="BG12" i="35"/>
  <c r="BG37" i="35" s="1"/>
  <c r="AE12" i="35"/>
  <c r="BN12" i="35"/>
  <c r="BN37" i="35" s="1"/>
  <c r="AS12" i="35"/>
  <c r="AS37" i="35" s="1"/>
  <c r="O43" i="10"/>
  <c r="J69" i="41" s="1"/>
  <c r="AS25" i="35"/>
  <c r="AF34" i="10"/>
  <c r="BA34" i="10"/>
  <c r="T43" i="10"/>
  <c r="O69" i="41" s="1"/>
  <c r="W43" i="10"/>
  <c r="R69" i="41" s="1"/>
  <c r="M29" i="41"/>
  <c r="O29" i="41"/>
  <c r="K29" i="41"/>
  <c r="R34" i="10"/>
  <c r="Q43" i="10" l="1"/>
  <c r="L69" i="41" s="1"/>
  <c r="Y34" i="10"/>
  <c r="AZ25" i="35"/>
  <c r="AT34" i="10"/>
  <c r="AM34" i="10"/>
  <c r="AL25" i="35"/>
  <c r="AZ50" i="35"/>
  <c r="O70" i="41" s="1"/>
  <c r="O81" i="41" s="1"/>
  <c r="BA61" i="35"/>
  <c r="BA74" i="35" s="1"/>
  <c r="AX75" i="35" s="1"/>
  <c r="S126" i="35" s="1"/>
  <c r="S127" i="35" s="1"/>
  <c r="BO61" i="35"/>
  <c r="BO74" i="35" s="1"/>
  <c r="BK75" i="35" s="1"/>
  <c r="S138" i="35" s="1"/>
  <c r="S139" i="35" s="1"/>
  <c r="BN50" i="35"/>
  <c r="R70" i="41" s="1"/>
  <c r="R81" i="41" s="1"/>
  <c r="R43" i="10"/>
  <c r="M69" i="41" s="1"/>
  <c r="X50" i="35"/>
  <c r="I70" i="41" s="1"/>
  <c r="I81" i="41" s="1"/>
  <c r="Y61" i="35"/>
  <c r="Y74" i="35" s="1"/>
  <c r="X75" i="35" s="1"/>
  <c r="S102" i="35" s="1"/>
  <c r="S103" i="35" s="1"/>
  <c r="AA103" i="35" s="1"/>
  <c r="AC103" i="35" s="1"/>
  <c r="BH61" i="35"/>
  <c r="BH74" i="35" s="1"/>
  <c r="BG75" i="35" s="1"/>
  <c r="BG50" i="35"/>
  <c r="AM61" i="35"/>
  <c r="AM74" i="35" s="1"/>
  <c r="AK75" i="35" s="1"/>
  <c r="S114" i="35" s="1"/>
  <c r="S115" i="35" s="1"/>
  <c r="AL50" i="35"/>
  <c r="L70" i="41" s="1"/>
  <c r="L81" i="41" s="1"/>
  <c r="AT61" i="35"/>
  <c r="AT74" i="35" s="1"/>
  <c r="AT75" i="35" s="1"/>
  <c r="AS50" i="35"/>
  <c r="V43" i="10"/>
  <c r="Q69" i="41" s="1"/>
  <c r="BH34" i="10"/>
  <c r="X25" i="35"/>
  <c r="N43" i="10"/>
  <c r="I69" i="41" s="1"/>
  <c r="BN25" i="35"/>
  <c r="BG25" i="35"/>
  <c r="AE25" i="35"/>
  <c r="AE37" i="35"/>
  <c r="AE50" i="35" l="1"/>
  <c r="AF61" i="35"/>
  <c r="AF74" i="35" s="1"/>
  <c r="AB75" i="35" s="1"/>
  <c r="K25" i="35"/>
  <c r="L25" i="35"/>
  <c r="N25" i="35"/>
  <c r="M25" i="35"/>
  <c r="O25" i="35"/>
  <c r="M30" i="41"/>
  <c r="M70" i="41"/>
  <c r="M81" i="41" s="1"/>
  <c r="S122" i="35"/>
  <c r="S123" i="35" s="1"/>
  <c r="AP76" i="35"/>
  <c r="BC76" i="35"/>
  <c r="S134" i="35"/>
  <c r="Q70" i="41"/>
  <c r="Q81" i="41" s="1"/>
  <c r="O30" i="41"/>
  <c r="S135" i="35" l="1"/>
  <c r="S118" i="35"/>
  <c r="S119" i="35" s="1"/>
  <c r="S106" i="35"/>
  <c r="S107" i="35" s="1"/>
  <c r="AA107" i="35" s="1"/>
  <c r="AC107" i="35" s="1"/>
  <c r="AA111" i="35" s="1"/>
  <c r="AC111" i="35" s="1"/>
  <c r="AA115" i="35" s="1"/>
  <c r="AC115" i="35" s="1"/>
  <c r="AB76" i="35"/>
  <c r="J70" i="41"/>
  <c r="J81" i="41" s="1"/>
  <c r="K30" i="41"/>
  <c r="AA119" i="35" l="1"/>
  <c r="AC119" i="35" s="1"/>
  <c r="AA123" i="35" s="1"/>
  <c r="AC123" i="35" s="1"/>
  <c r="AA127" i="35" s="1"/>
  <c r="AC127" i="35" s="1"/>
  <c r="AA131" i="35" s="1"/>
  <c r="AC131" i="35" s="1"/>
  <c r="AA135" i="35" s="1"/>
  <c r="AC135" i="35" s="1"/>
  <c r="AA139" i="35" s="1"/>
  <c r="AC139" i="35" s="1"/>
  <c r="AA144" i="35" s="1"/>
  <c r="S143" i="35"/>
  <c r="S144" i="35" l="1"/>
  <c r="T141" i="35" s="1"/>
  <c r="J32" i="41"/>
  <c r="W29" i="41" s="1"/>
  <c r="Q12" i="35"/>
  <c r="Q37" i="35" s="1"/>
  <c r="D14" i="10"/>
  <c r="K34" i="10"/>
  <c r="T143" i="35" l="1"/>
  <c r="I12" i="35"/>
  <c r="L43" i="10"/>
  <c r="Q25" i="35"/>
  <c r="I25" i="35" s="1"/>
  <c r="D31" i="10"/>
  <c r="I37" i="35"/>
  <c r="I50" i="35" s="1"/>
  <c r="R61" i="35"/>
  <c r="Q50" i="35"/>
  <c r="I29" i="41"/>
  <c r="G69" i="41" l="1"/>
  <c r="F69" i="41" s="1"/>
  <c r="K43" i="10"/>
  <c r="K32" i="41"/>
  <c r="E59" i="41"/>
  <c r="G70" i="41"/>
  <c r="R74" i="35"/>
  <c r="P75" i="35" s="1"/>
  <c r="P76" i="35" s="1"/>
  <c r="I61" i="35"/>
  <c r="I74" i="35" s="1"/>
  <c r="I30" i="41" l="1"/>
  <c r="E61" i="41"/>
  <c r="I59" i="41"/>
  <c r="F70" i="41"/>
  <c r="F81" i="41" s="1"/>
  <c r="G81" i="41"/>
  <c r="I38" i="41"/>
  <c r="I41" i="41" l="1"/>
  <c r="I61" i="41"/>
  <c r="E65" i="41"/>
  <c r="I65" i="41" l="1"/>
  <c r="J58" i="41"/>
  <c r="J59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Yu-Sheng Lee</author>
  </authors>
  <commentList>
    <comment ref="A59" authorId="0" shapeId="0" xr:uid="{FBD9E1C2-D5DF-AA4A-AFD5-CD8A76D55803}">
      <text>
        <r>
          <rPr>
            <sz val="10"/>
            <color rgb="FF000000"/>
            <rFont val="Tahoma"/>
            <family val="2"/>
          </rPr>
          <t>Wolverine Wordwide</t>
        </r>
      </text>
    </comment>
    <comment ref="D62" authorId="0" shapeId="0" xr:uid="{7E4A105F-BD30-4140-BCA7-2691B319DB95}">
      <text>
        <r>
          <rPr>
            <b/>
            <sz val="10"/>
            <color rgb="FF000000"/>
            <rFont val="Tahoma"/>
            <family val="2"/>
          </rPr>
          <t>Yu-Sheng Lee: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Used to name 
</t>
        </r>
        <r>
          <rPr>
            <b/>
            <sz val="10"/>
            <color rgb="FF000000"/>
            <rFont val="Tahoma"/>
            <family val="2"/>
          </rPr>
          <t>Banner Wedge</t>
        </r>
      </text>
    </comment>
    <comment ref="D63" authorId="0" shapeId="0" xr:uid="{73445B0E-6194-6842-930B-63FAF76DD278}">
      <text>
        <r>
          <rPr>
            <b/>
            <sz val="10"/>
            <color rgb="FF000000"/>
            <rFont val="Tahoma"/>
            <family val="2"/>
          </rPr>
          <t>Yu-Sheng Lee: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Used to name 
</t>
        </r>
        <r>
          <rPr>
            <b/>
            <sz val="10"/>
            <color rgb="FF000000"/>
            <rFont val="Tahoma"/>
            <family val="2"/>
          </rPr>
          <t>Banner Wedge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tc={A2AF4B2B-61CB-2349-BDE8-AD6F4271BBE4}</author>
    <author>tc={3CDE8669-00D3-2848-855F-8B6E91903060}</author>
    <author>tc={5A9CA988-1A31-6543-904B-9D2B5D8D0921}</author>
    <author>tc={3942A20A-F540-654C-AC03-F968891BFF83}</author>
    <author>tc={FA9C3BFE-743D-4A41-86A6-4A89C80CABFC}</author>
    <author>tc={881A070D-E7D5-0B41-8C0C-026E563F9879}</author>
    <author>tc={474C6CAF-DC6C-204A-B22A-9E2FAFA2BCCF}</author>
  </authors>
  <commentList>
    <comment ref="M10" authorId="0" shapeId="0" xr:uid="{A2AF4B2B-61CB-2349-BDE8-AD6F4271BBE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Pre order quantity </t>
      </text>
    </comment>
    <comment ref="Q41" authorId="1" shapeId="0" xr:uid="{3CDE8669-00D3-2848-855F-8B6E91903060}">
      <text>
        <t>[Threaded comment]
Your version of Excel allows you to read this threaded comment; however, any edits to it will get removed if the file is opened in a newer version of Excel. Learn more: https://go.microsoft.com/fwlink/?linkid=870924
Comment:
    DR order</t>
      </text>
    </comment>
    <comment ref="A56" authorId="2" shapeId="0" xr:uid="{5A9CA988-1A31-6543-904B-9D2B5D8D0921}">
      <text>
        <t>[Threaded comment]
Your version of Excel allows you to read this threaded comment; however, any edits to it will get removed if the file is opened in a newer version of Excel. Learn more: https://go.microsoft.com/fwlink/?linkid=870924
Comment:
    December Buy</t>
      </text>
    </comment>
    <comment ref="A57" authorId="3" shapeId="0" xr:uid="{3942A20A-F540-654C-AC03-F968891BFF8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Jan Buy </t>
      </text>
    </comment>
    <comment ref="A74" authorId="4" shapeId="0" xr:uid="{FA9C3BFE-743D-4A41-86A6-4A89C80CABFC}">
      <text>
        <t>[Threaded comment]
Your version of Excel allows you to read this threaded comment; however, any edits to it will get removed if the file is opened in a newer version of Excel. Learn more: https://go.microsoft.com/fwlink/?linkid=870924
Comment:
    Feb Buy</t>
      </text>
    </comment>
    <comment ref="A87" authorId="5" shapeId="0" xr:uid="{881A070D-E7D5-0B41-8C0C-026E563F9879}">
      <text>
        <t>[Threaded comment]
Your version of Excel allows you to read this threaded comment; however, any edits to it will get removed if the file is opened in a newer version of Excel. Learn more: https://go.microsoft.com/fwlink/?linkid=870924
Comment:
    2nd Order</t>
      </text>
    </comment>
    <comment ref="A105" authorId="6" shapeId="0" xr:uid="{474C6CAF-DC6C-204A-B22A-9E2FAFA2BCC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3rd order 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tc={858EB106-AEBC-6F49-BD0F-5143081A6D4F}</author>
    <author>tc={346A709E-8D0B-1640-A9CA-23542B519580}</author>
    <author>tc={8A289EF0-ED63-4C43-AADA-88E94A81D785}</author>
    <author>tc={691D7514-EA43-F34C-A6B7-1BDB5FD39F23}</author>
    <author>tc={001F4020-55C5-7242-8F81-63C91BB2A60D}</author>
    <author>tc={0E78725F-1603-1641-91B0-8CDD6C4AD3AC}</author>
    <author>tc={B2CC2EC6-F27F-CC4C-826A-84707FA0E39B}</author>
    <author>tc={DAE22F25-07F4-E947-9BF9-0907C926465C}</author>
    <author>tc={2E64D623-C314-C34A-A54C-0A8042107335}</author>
  </authors>
  <commentList>
    <comment ref="CD7" authorId="0" shapeId="0" xr:uid="{858EB106-AEBC-6F49-BD0F-5143081A6D4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Air shipping </t>
      </text>
    </comment>
    <comment ref="CG9" authorId="1" shapeId="0" xr:uid="{346A709E-8D0B-1640-A9CA-23542B519580}">
      <text>
        <t>[Threaded comment]
Your version of Excel allows you to read this threaded comment; however, any edits to it will get removed if the file is opened in a newer version of Excel. Learn more: https://go.microsoft.com/fwlink/?linkid=870924
Comment:
    Air shipping</t>
      </text>
    </comment>
    <comment ref="B13" authorId="2" shapeId="0" xr:uid="{8A289EF0-ED63-4C43-AADA-88E94A81D785}">
      <text>
        <t>[Threaded comment]
Your version of Excel allows you to read this threaded comment; however, any edits to it will get removed if the file is opened in a newer version of Excel. Learn more: https://go.microsoft.com/fwlink/?linkid=870924
Comment:
    air shipping</t>
      </text>
    </comment>
    <comment ref="CJ13" authorId="3" shapeId="0" xr:uid="{691D7514-EA43-F34C-A6B7-1BDB5FD39F2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Air shipping </t>
      </text>
    </comment>
    <comment ref="B39" authorId="4" shapeId="0" xr:uid="{001F4020-55C5-7242-8F81-63C91BB2A60D}">
      <text>
        <t>[Threaded comment]
Your version of Excel allows you to read this threaded comment; however, any edits to it will get removed if the file is opened in a newer version of Excel. Learn more: https://go.microsoft.com/fwlink/?linkid=870924
Comment:
    Already finished 252 pairs</t>
      </text>
    </comment>
    <comment ref="B58" authorId="5" shapeId="0" xr:uid="{0E78725F-1603-1641-91B0-8CDD6C4AD3AC}">
      <text>
        <t>[Threaded comment]
Your version of Excel allows you to read this threaded comment; however, any edits to it will get removed if the file is opened in a newer version of Excel. Learn more: https://go.microsoft.com/fwlink/?linkid=870924
Comment:
    Air Shipping</t>
      </text>
    </comment>
    <comment ref="B60" authorId="6" shapeId="0" xr:uid="{B2CC2EC6-F27F-CC4C-826A-84707FA0E39B}">
      <text>
        <t>[Threaded comment]
Your version of Excel allows you to read this threaded comment; however, any edits to it will get removed if the file is opened in a newer version of Excel. Learn more: https://go.microsoft.com/fwlink/?linkid=870924
Comment:
    Air Shipping</t>
      </text>
    </comment>
    <comment ref="B70" authorId="7" shapeId="0" xr:uid="{DAE22F25-07F4-E947-9BF9-0907C926465C}">
      <text>
        <t>[Threaded comment]
Your version of Excel allows you to read this threaded comment; however, any edits to it will get removed if the file is opened in a newer version of Excel. Learn more: https://go.microsoft.com/fwlink/?linkid=870924
Comment:
    Air Shipping</t>
      </text>
    </comment>
    <comment ref="A96" authorId="8" shapeId="0" xr:uid="{2E64D623-C314-C34A-A54C-0A8042107335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container from china for brunt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<sst xmlns="http://schemas.openxmlformats.org/spreadsheetml/2006/main" count="2681" uniqueCount="887">
  <si>
    <t xml:space="preserve">PO # </t>
  </si>
  <si>
    <t>Container #</t>
  </si>
  <si>
    <t xml:space="preserve">Decription </t>
  </si>
  <si>
    <t xml:space="preserve">XF Date </t>
  </si>
  <si>
    <t>Brunt</t>
  </si>
  <si>
    <t xml:space="preserve">Brunt : Marin Welted CT 8" 918 Pair  </t>
  </si>
  <si>
    <t xml:space="preserve">Brunt : Marin Welted CT 1698 Pair  </t>
  </si>
  <si>
    <t>4500230403 &amp;450023040</t>
  </si>
  <si>
    <t>Chippewa</t>
  </si>
  <si>
    <r>
      <rPr>
        <b/>
        <sz val="11"/>
        <color rgb="FFFF0000"/>
        <rFont val="Aptos Narrow"/>
        <family val="2"/>
      </rPr>
      <t>Chippewa</t>
    </r>
    <r>
      <rPr>
        <b/>
        <sz val="11"/>
        <color theme="1"/>
        <rFont val="Aptos Narrow"/>
        <family val="2"/>
      </rPr>
      <t xml:space="preserve">: Total of  1980  Pairs                                              SL5405-1980 pairs                                                                       </t>
    </r>
  </si>
  <si>
    <r>
      <rPr>
        <b/>
        <sz val="11"/>
        <color rgb="FFFF0000"/>
        <rFont val="Aptos Narrow"/>
        <family val="2"/>
      </rPr>
      <t xml:space="preserve">Chippewa: </t>
    </r>
    <r>
      <rPr>
        <b/>
        <sz val="11"/>
        <color theme="1"/>
        <rFont val="Aptos Narrow"/>
        <family val="2"/>
      </rPr>
      <t>Total of  3270 Pairs                                                            SL5405- 1506 pairs &amp;  SL5410-1764 pairs</t>
    </r>
  </si>
  <si>
    <t>10/10/2025 &amp;11/5/2025</t>
  </si>
  <si>
    <t xml:space="preserve">Hytest </t>
  </si>
  <si>
    <r>
      <rPr>
        <b/>
        <sz val="11"/>
        <color theme="9" tint="-0.499984740745262"/>
        <rFont val="Aptos Narrow"/>
        <family val="2"/>
      </rPr>
      <t xml:space="preserve">HyTest: </t>
    </r>
    <r>
      <rPr>
        <b/>
        <sz val="11"/>
        <color theme="1"/>
        <rFont val="Aptos Narrow"/>
        <family val="2"/>
      </rPr>
      <t xml:space="preserve">Total of 720 pairs                                                                       </t>
    </r>
    <r>
      <rPr>
        <b/>
        <sz val="11"/>
        <color theme="9" tint="-0.249977111117893"/>
        <rFont val="Aptos Narrow"/>
        <family val="2"/>
      </rPr>
      <t xml:space="preserve">Dane: 720 Pairs           </t>
    </r>
    <r>
      <rPr>
        <b/>
        <sz val="11"/>
        <color rgb="FF00B050"/>
        <rFont val="Aptos Narrow"/>
        <family val="2"/>
      </rPr>
      <t xml:space="preserve"> </t>
    </r>
    <r>
      <rPr>
        <b/>
        <sz val="11"/>
        <color theme="1"/>
        <rFont val="Aptos Narrow"/>
        <family val="2"/>
      </rPr>
      <t xml:space="preserve">                         </t>
    </r>
  </si>
  <si>
    <t>339154-00</t>
  </si>
  <si>
    <t>Firedex</t>
  </si>
  <si>
    <r>
      <rPr>
        <b/>
        <sz val="11"/>
        <color rgb="FFFF0000"/>
        <rFont val="Aptos Narrow"/>
        <family val="2"/>
      </rPr>
      <t>Firedex:</t>
    </r>
    <r>
      <rPr>
        <b/>
        <sz val="11"/>
        <color theme="1"/>
        <rFont val="Aptos Narrow"/>
        <family val="2"/>
      </rPr>
      <t xml:space="preserve"> Total of 1002 pairs</t>
    </r>
  </si>
  <si>
    <t xml:space="preserve">TBA </t>
  </si>
  <si>
    <r>
      <rPr>
        <b/>
        <sz val="11"/>
        <color rgb="FFFF0000"/>
        <rFont val="Aptos Narrow"/>
        <family val="2"/>
      </rPr>
      <t>Chippewa</t>
    </r>
    <r>
      <rPr>
        <b/>
        <sz val="11"/>
        <color theme="1"/>
        <rFont val="Aptos Narrow"/>
        <family val="2"/>
      </rPr>
      <t>:  Total of 3642 Pairs                                      SL5405- 2604 pairs &amp; SL5410 1038 pairs</t>
    </r>
  </si>
  <si>
    <t>11/21/2025 &amp;12/2/2025</t>
  </si>
  <si>
    <t>339209-00</t>
  </si>
  <si>
    <r>
      <rPr>
        <b/>
        <sz val="11"/>
        <color rgb="FFFF0000"/>
        <rFont val="Aptos Narrow"/>
        <family val="2"/>
      </rPr>
      <t>Firedex:</t>
    </r>
    <r>
      <rPr>
        <b/>
        <sz val="11"/>
        <color theme="1"/>
        <rFont val="Aptos Narrow"/>
        <family val="2"/>
      </rPr>
      <t xml:space="preserve"> Total of 2226 pairs </t>
    </r>
  </si>
  <si>
    <t>4500230410&amp;4500230405 &amp; 4500230406 &amp; 4500230407</t>
  </si>
  <si>
    <t xml:space="preserve">Chippewa- 7th Container </t>
  </si>
  <si>
    <r>
      <rPr>
        <b/>
        <sz val="11"/>
        <color rgb="FFFF0000"/>
        <rFont val="Aptos Narrow"/>
        <family val="2"/>
      </rPr>
      <t>Chippewa</t>
    </r>
    <r>
      <rPr>
        <b/>
        <sz val="11"/>
        <color theme="1"/>
        <rFont val="Aptos Narrow"/>
        <family val="2"/>
      </rPr>
      <t xml:space="preserve">: Total of 852 pairs SL5407EEE- 66 pairs &amp; SL5408-E 786 pairs  </t>
    </r>
  </si>
  <si>
    <t>12/9/2025 &amp;12/17/2025</t>
  </si>
  <si>
    <t xml:space="preserve">Chippewa- 8th container </t>
  </si>
  <si>
    <r>
      <rPr>
        <b/>
        <sz val="11"/>
        <color rgb="FFFF0000"/>
        <rFont val="Aptos Narrow"/>
        <family val="2"/>
      </rPr>
      <t>Chippewa</t>
    </r>
    <r>
      <rPr>
        <b/>
        <sz val="11"/>
        <color theme="1"/>
        <rFont val="Aptos Narrow"/>
        <family val="2"/>
      </rPr>
      <t>: Total of 978 Pairs                                                                                 SL5410EEE-168 pairs + SL5408EEE-810 pairs</t>
    </r>
  </si>
  <si>
    <t>Brunt :  Unlined  ST 612 &amp; CT 1254 pairs</t>
  </si>
  <si>
    <t>Weinbrenner</t>
  </si>
  <si>
    <t>Weinbrenner: 252  pairs</t>
  </si>
  <si>
    <t xml:space="preserve">Brunt :  CT 966 pairs </t>
  </si>
  <si>
    <t xml:space="preserve">Brunt : Marin Welted ST 1602 pairs &amp;  CT 1566 pairs </t>
  </si>
  <si>
    <t>12/1/1025</t>
  </si>
  <si>
    <t xml:space="preserve">US Boot </t>
  </si>
  <si>
    <t xml:space="preserve">USB: Driftlock 600 pairs &amp; Condor Wellington   600 pairs </t>
  </si>
  <si>
    <t xml:space="preserve">N/A </t>
  </si>
  <si>
    <t>339265-00</t>
    <phoneticPr fontId="16" type="noConversion"/>
  </si>
  <si>
    <t>Firedex- Total 2430 pairs</t>
  </si>
  <si>
    <r>
      <rPr>
        <b/>
        <sz val="11"/>
        <color rgb="FFFF0000"/>
        <rFont val="Aptos Narrow"/>
        <family val="2"/>
      </rPr>
      <t>Firedex:</t>
    </r>
    <r>
      <rPr>
        <b/>
        <sz val="11"/>
        <color theme="1"/>
        <rFont val="Aptos Narrow"/>
        <family val="2"/>
      </rPr>
      <t xml:space="preserve"> Total of 1314 pairs (Air Shipping)</t>
    </r>
  </si>
  <si>
    <r>
      <rPr>
        <b/>
        <sz val="11"/>
        <color rgb="FFFF0000"/>
        <rFont val="Aptos Narrow"/>
        <family val="2"/>
      </rPr>
      <t>Firedex:</t>
    </r>
    <r>
      <rPr>
        <b/>
        <sz val="11"/>
        <color theme="1"/>
        <rFont val="Aptos Narrow"/>
        <family val="2"/>
      </rPr>
      <t xml:space="preserve"> Total of 420 pairs </t>
    </r>
  </si>
  <si>
    <r>
      <rPr>
        <b/>
        <sz val="11"/>
        <color rgb="FFFF0000"/>
        <rFont val="Aptos Narrow"/>
        <family val="2"/>
      </rPr>
      <t>Firedex:</t>
    </r>
    <r>
      <rPr>
        <b/>
        <sz val="11"/>
        <color theme="1"/>
        <rFont val="Aptos Narrow"/>
        <family val="2"/>
      </rPr>
      <t xml:space="preserve"> Total of 696  pairs</t>
    </r>
  </si>
  <si>
    <t xml:space="preserve">Brunt:  ST 864  pairs </t>
  </si>
  <si>
    <t>Brunt: Total of 11352</t>
  </si>
  <si>
    <t xml:space="preserve">Brunt: CT 1440 pairs </t>
  </si>
  <si>
    <t xml:space="preserve">Brunt:  CT 480 pairs </t>
  </si>
  <si>
    <t xml:space="preserve">Brunt:  CT 3000 pairs </t>
  </si>
  <si>
    <t xml:space="preserve">Brunt:  CT 1200  pairs </t>
  </si>
  <si>
    <t xml:space="preserve">Brunt:  CT 1800  pairs </t>
  </si>
  <si>
    <t xml:space="preserve">Brunt:  CT 1632  pairs </t>
  </si>
  <si>
    <t xml:space="preserve">USB: Handler 600 pairs &amp; Alpha 600 pairs </t>
  </si>
  <si>
    <t>N/A</t>
  </si>
  <si>
    <t>339472-00</t>
  </si>
  <si>
    <t>Firedex- Total 2502  pairs</t>
  </si>
  <si>
    <r>
      <rPr>
        <b/>
        <sz val="11"/>
        <color rgb="FFFF0000"/>
        <rFont val="Aptos Narrow"/>
        <family val="2"/>
      </rPr>
      <t>Firedex:</t>
    </r>
    <r>
      <rPr>
        <b/>
        <sz val="11"/>
        <color theme="1"/>
        <rFont val="Aptos Narrow"/>
        <family val="2"/>
      </rPr>
      <t xml:space="preserve"> Total of 660  pairs (Air Shipping)</t>
    </r>
  </si>
  <si>
    <t>11/21//2025</t>
  </si>
  <si>
    <r>
      <rPr>
        <b/>
        <sz val="11"/>
        <color rgb="FFFF0000"/>
        <rFont val="Aptos Narrow"/>
        <family val="2"/>
      </rPr>
      <t>Firedex:</t>
    </r>
    <r>
      <rPr>
        <b/>
        <sz val="11"/>
        <color theme="1"/>
        <rFont val="Aptos Narrow"/>
        <family val="2"/>
      </rPr>
      <t xml:space="preserve"> Total of 624  pairs</t>
    </r>
  </si>
  <si>
    <r>
      <rPr>
        <b/>
        <sz val="11"/>
        <color rgb="FFFF0000"/>
        <rFont val="Aptos Narrow"/>
        <family val="2"/>
      </rPr>
      <t>Firedex:</t>
    </r>
    <r>
      <rPr>
        <b/>
        <sz val="11"/>
        <color theme="1"/>
        <rFont val="Aptos Narrow"/>
        <family val="2"/>
      </rPr>
      <t xml:space="preserve"> Total of 1218  pairs</t>
    </r>
  </si>
  <si>
    <t xml:space="preserve">Barebone </t>
  </si>
  <si>
    <t xml:space="preserve">Barebone: 600 pairs </t>
  </si>
  <si>
    <t>US Boot</t>
  </si>
  <si>
    <t>USB: Western Steel Toe 318 pairs (Air Shipping)</t>
  </si>
  <si>
    <t>USB: James 60 pairs (Air Shipping)</t>
  </si>
  <si>
    <t>USB: Logan 282 pairs (Air Shipping)</t>
  </si>
  <si>
    <t>USB: Western Steel Toe 282 pairs</t>
  </si>
  <si>
    <t xml:space="preserve">USB: James 144  pairs </t>
  </si>
  <si>
    <t>USB: Logan 318  pairs</t>
  </si>
  <si>
    <t>641564..etc</t>
  </si>
  <si>
    <t xml:space="preserve">Weinbrenner: Total of 3164 pairs </t>
  </si>
  <si>
    <t>Weinbrenner: 1304   pairs</t>
  </si>
  <si>
    <t>Weinbrenner: 676  pairs</t>
  </si>
  <si>
    <t>Weinbrenner: 1184 pairs</t>
  </si>
  <si>
    <t>Harley Davidson</t>
  </si>
  <si>
    <t xml:space="preserve">Harley Davidson: 1080 pairs </t>
  </si>
  <si>
    <t xml:space="preserve">Brunt </t>
  </si>
  <si>
    <t>Brunt ST 1512 pairs</t>
  </si>
  <si>
    <t xml:space="preserve">Brunt Unlined ST 606 pairs </t>
  </si>
  <si>
    <t xml:space="preserve">Brunt Unlined CT 612 pairs </t>
  </si>
  <si>
    <t>Brunt Toe  CT 600 pairs</t>
  </si>
  <si>
    <t>Brunt CT: 2676 pairs</t>
  </si>
  <si>
    <r>
      <rPr>
        <b/>
        <sz val="11"/>
        <color rgb="FFFF0000"/>
        <rFont val="Aptos Narrow"/>
        <family val="2"/>
      </rPr>
      <t>Firedex:</t>
    </r>
    <r>
      <rPr>
        <b/>
        <sz val="11"/>
        <color theme="1"/>
        <rFont val="Aptos Narrow"/>
        <family val="2"/>
      </rPr>
      <t xml:space="preserve"> Total of 2310  pairs</t>
    </r>
  </si>
  <si>
    <r>
      <rPr>
        <b/>
        <sz val="11"/>
        <color rgb="FFFF0000"/>
        <rFont val="Aptos Narrow"/>
        <family val="2"/>
      </rPr>
      <t>Firedex:</t>
    </r>
    <r>
      <rPr>
        <b/>
        <sz val="11"/>
        <color theme="1"/>
        <rFont val="Aptos Narrow"/>
        <family val="2"/>
      </rPr>
      <t xml:space="preserve"> Total of 1938  pairs</t>
    </r>
  </si>
  <si>
    <t>Manufacturing Plan</t>
  </si>
  <si>
    <t>Target/Day</t>
  </si>
  <si>
    <t>PAIRS PER DAY</t>
  </si>
  <si>
    <t>PO #</t>
  </si>
  <si>
    <t xml:space="preserve">Style </t>
  </si>
  <si>
    <t xml:space="preserve">Recieved Date </t>
  </si>
  <si>
    <t xml:space="preserve">Ex-Factory Date </t>
  </si>
  <si>
    <t xml:space="preserve">Brand </t>
  </si>
  <si>
    <t xml:space="preserve">Order Quantity </t>
  </si>
  <si>
    <t>Target/Week</t>
  </si>
  <si>
    <t xml:space="preserve">Remaining </t>
  </si>
  <si>
    <t>DL</t>
  </si>
  <si>
    <t>Brunt 8" 918 Pair (CT)</t>
  </si>
  <si>
    <t xml:space="preserve">8" CT </t>
  </si>
  <si>
    <t>4500230403 &amp;450023040 &amp; 4500230409</t>
  </si>
  <si>
    <t xml:space="preserve">SL5405E- 1980  Pairs  -1 St container   </t>
  </si>
  <si>
    <t xml:space="preserve">SL5405 E </t>
  </si>
  <si>
    <t>SL5405E-786  Pairs   -2nd container</t>
  </si>
  <si>
    <t xml:space="preserve">SL5405EEE-720  Pairs - 3rd contaner      </t>
  </si>
  <si>
    <t>Sl5405 EEE</t>
  </si>
  <si>
    <t xml:space="preserve">Dane  720 Pair </t>
  </si>
  <si>
    <t xml:space="preserve">USB </t>
  </si>
  <si>
    <t>Brunt 1698 Pair (CT)</t>
  </si>
  <si>
    <t xml:space="preserve">CT </t>
  </si>
  <si>
    <t xml:space="preserve">FireDex- 1128 pairs </t>
  </si>
  <si>
    <t>FDXL 200</t>
  </si>
  <si>
    <t xml:space="preserve">Firedex </t>
  </si>
  <si>
    <t>4500230409 &amp; 4500230410</t>
  </si>
  <si>
    <t xml:space="preserve">SL5410 E-1764  Pairs  - 2nd and 3rd container      </t>
  </si>
  <si>
    <t xml:space="preserve">SL5410 E </t>
  </si>
  <si>
    <t xml:space="preserve">FireDex- 2226 pairs </t>
  </si>
  <si>
    <t>339265-00</t>
  </si>
  <si>
    <t>FireDex- 2430 pairs</t>
  </si>
  <si>
    <t>12/3/2025 &amp; 12/14/2025</t>
  </si>
  <si>
    <t xml:space="preserve">USB- Driftlock </t>
  </si>
  <si>
    <t xml:space="preserve"> US Boot </t>
  </si>
  <si>
    <t xml:space="preserve">USB- Condor Wellington </t>
  </si>
  <si>
    <r>
      <rPr>
        <b/>
        <sz val="11"/>
        <color rgb="FFFF0000"/>
        <rFont val="Aptos Narrow (Body)"/>
      </rPr>
      <t>Barebone-</t>
    </r>
    <r>
      <rPr>
        <b/>
        <sz val="11"/>
        <color theme="1"/>
        <rFont val="Aptos Narrow"/>
        <family val="2"/>
        <scheme val="minor"/>
      </rPr>
      <t xml:space="preserve"> BBWDKB </t>
    </r>
  </si>
  <si>
    <t>Barebone</t>
  </si>
  <si>
    <t xml:space="preserve"> </t>
  </si>
  <si>
    <t xml:space="preserve">USB - Alpha </t>
  </si>
  <si>
    <t xml:space="preserve">11/21/2025 &amp; 12/15/2025 </t>
  </si>
  <si>
    <t xml:space="preserve">USB- Western Steel Toe </t>
  </si>
  <si>
    <t>12/21/2025 &amp; 1/20/2026</t>
  </si>
  <si>
    <t xml:space="preserve">USB - Logan </t>
  </si>
  <si>
    <t>USB -James</t>
  </si>
  <si>
    <t xml:space="preserve">USB- 6" Handler </t>
  </si>
  <si>
    <t xml:space="preserve">Weinbrenner 252 pairs </t>
  </si>
  <si>
    <t>November</t>
  </si>
  <si>
    <t>SL5407E 702 Pairs-  6th container</t>
  </si>
  <si>
    <t xml:space="preserve">SL5407E </t>
  </si>
  <si>
    <t>SL5407EEE- 738 Pairs- 6th and 7th container</t>
  </si>
  <si>
    <t>SL5407EEE</t>
  </si>
  <si>
    <t xml:space="preserve">SL5408E-786 pairs- 7th container </t>
  </si>
  <si>
    <t xml:space="preserve">SL5408 E </t>
  </si>
  <si>
    <t>4500230407 &amp; 4500230408</t>
  </si>
  <si>
    <t>SL5408 EEE- 810 Pairs- 8th container</t>
  </si>
  <si>
    <t xml:space="preserve">SL5408 EEE </t>
  </si>
  <si>
    <t>SL5410EEE-168  Pairs- 8th container</t>
  </si>
  <si>
    <t>SL5410 EEE</t>
  </si>
  <si>
    <t>Brunt Unlined  612 pairs (CT)</t>
  </si>
  <si>
    <t>Brunt Unlined  1254 pairs (CT)</t>
  </si>
  <si>
    <t>CT</t>
  </si>
  <si>
    <t xml:space="preserve"> Brunt 1566 pairs (CT)</t>
  </si>
  <si>
    <t>12/1/2025 &amp; 12/8/2025</t>
  </si>
  <si>
    <t>Brunt 2568 pairs (ST)</t>
  </si>
  <si>
    <t xml:space="preserve">ST </t>
  </si>
  <si>
    <t>Brunt- 864 pairs (ST)</t>
  </si>
  <si>
    <t>Brunt- 11352  pairs (CT)</t>
  </si>
  <si>
    <t>1/2/2026-2/6/2026</t>
  </si>
  <si>
    <t>Harely Davidson: 480  pairs</t>
  </si>
  <si>
    <t>Harley - W</t>
  </si>
  <si>
    <t>Harely Davidson: 600 pairs</t>
  </si>
  <si>
    <t>Harley -M</t>
  </si>
  <si>
    <t>SL5405EEE-2604  Pairs- 4th and 5th container</t>
  </si>
  <si>
    <t>SL5405 EEE</t>
  </si>
  <si>
    <t xml:space="preserve">SL5410EEE-684 Pairs- 6th container </t>
  </si>
  <si>
    <t xml:space="preserve">SL5410 EEE </t>
  </si>
  <si>
    <t xml:space="preserve">SL5410EEE-1038 Pairs- 5th container        </t>
  </si>
  <si>
    <t>Firedex- 2502 pairs</t>
  </si>
  <si>
    <t xml:space="preserve">Weinbrenner- 3164 pairs </t>
  </si>
  <si>
    <t xml:space="preserve">1/16/2026-2/13/2026 </t>
  </si>
  <si>
    <t xml:space="preserve">Brunt 2676 Pairs (CT) </t>
  </si>
  <si>
    <t xml:space="preserve">Brunt 1512 Pairs (ST) </t>
  </si>
  <si>
    <t xml:space="preserve">Brunt 612 Pairs (NWP- CT) </t>
  </si>
  <si>
    <t xml:space="preserve">NWP- CT </t>
  </si>
  <si>
    <t xml:space="preserve">Brunt 606 Pairs (NWP- ST) </t>
  </si>
  <si>
    <t>NWP-ST</t>
  </si>
  <si>
    <t xml:space="preserve">Brunt 600 Pairs (CTBT) </t>
  </si>
  <si>
    <t xml:space="preserve">CTBT </t>
  </si>
  <si>
    <t>339840-00</t>
  </si>
  <si>
    <t xml:space="preserve">Firedex- 2310 pairs </t>
  </si>
  <si>
    <t>339842-01</t>
  </si>
  <si>
    <t xml:space="preserve">Firedex- 1938 pairs </t>
  </si>
  <si>
    <t xml:space="preserve">Brunt  624  Pairs (ST) </t>
  </si>
  <si>
    <t>ST</t>
  </si>
  <si>
    <t xml:space="preserve">Brunt 648  Pairs (CT) </t>
  </si>
  <si>
    <t xml:space="preserve">Brunt 654 Pairs (NWP- CT) </t>
  </si>
  <si>
    <t xml:space="preserve">Brunt 642 Pairs (NWP- ST) </t>
  </si>
  <si>
    <t xml:space="preserve">NWP-ST </t>
  </si>
  <si>
    <t xml:space="preserve">Brunt 2508  Pairs (CTBT) </t>
  </si>
  <si>
    <t>Brunt 8"930  pairs (CT)</t>
  </si>
  <si>
    <t xml:space="preserve">Brunt 684Pairs (CT) </t>
  </si>
  <si>
    <t xml:space="preserve">Brunt 684 Pairs (ST) </t>
  </si>
  <si>
    <t xml:space="preserve">Brunt 684 Pairs (NWP- CT) </t>
  </si>
  <si>
    <t xml:space="preserve">Brunt 624 Pairs (NWP- ST) </t>
  </si>
  <si>
    <t>Brunt 696 8" (CT)</t>
  </si>
  <si>
    <t xml:space="preserve">Brunt 2628 Pairs (CTBT) </t>
  </si>
  <si>
    <t>December  Buy</t>
  </si>
  <si>
    <t xml:space="preserve">Brunt 2566 Pairs (CT) </t>
  </si>
  <si>
    <t xml:space="preserve">Brunt 1167 Pairs (ST) </t>
  </si>
  <si>
    <t xml:space="preserve">Brunt 1067 Pairs (NWP- CT) </t>
  </si>
  <si>
    <t xml:space="preserve">Brunt 600 Pairs (NWP- ST) </t>
  </si>
  <si>
    <t>Brunt 8"600 pairs (CT)</t>
  </si>
  <si>
    <t xml:space="preserve">Firedex- 1572 pairs + 1560 pairs </t>
  </si>
  <si>
    <t>FDX 200</t>
  </si>
  <si>
    <t>5/1/2026 &amp; 6/1/2026</t>
  </si>
  <si>
    <t xml:space="preserve">Wienbrenner- 2052 pairs + 100 pairs </t>
  </si>
  <si>
    <t xml:space="preserve">Forecast </t>
  </si>
  <si>
    <t>WWW</t>
  </si>
  <si>
    <t>USB</t>
  </si>
  <si>
    <t>January  Buy</t>
  </si>
  <si>
    <t xml:space="preserve">Brunt 2390 Pairs (CT) </t>
  </si>
  <si>
    <t xml:space="preserve">Brunt 1148 Pairs (ST) </t>
  </si>
  <si>
    <t xml:space="preserve">Brunt 1029 Pairs (NWP- CT) </t>
  </si>
  <si>
    <t>FORECASTS</t>
  </si>
  <si>
    <t>February 2026  Buy</t>
  </si>
  <si>
    <t xml:space="preserve">Brunt 3137 Pairs (CT) </t>
  </si>
  <si>
    <t xml:space="preserve">Brunt 1070 Pairs (ST) </t>
  </si>
  <si>
    <t xml:space="preserve">Brunt 600 Pairs (NWP- CT) </t>
  </si>
  <si>
    <t xml:space="preserve">Brunt Ohman ST 600 pairs </t>
  </si>
  <si>
    <t xml:space="preserve">Ohman ST </t>
  </si>
  <si>
    <t xml:space="preserve">Brunt Ohman CT 600 pairs </t>
  </si>
  <si>
    <t xml:space="preserve">Ohman CT </t>
  </si>
  <si>
    <t>March 2026  Buy</t>
  </si>
  <si>
    <t xml:space="preserve">Brunt 3793 Pairs (CT) </t>
  </si>
  <si>
    <t xml:space="preserve">Brunt 1063 Pairs (ST) </t>
  </si>
  <si>
    <t>April  2026  Buy</t>
  </si>
  <si>
    <t xml:space="preserve">Brunt 3747 Pairs (CT) </t>
  </si>
  <si>
    <t xml:space="preserve">Brunt 1286 Pairs (ST) </t>
  </si>
  <si>
    <t>Brunt 8" 997 pairs (CT)</t>
  </si>
  <si>
    <t xml:space="preserve">Ariat </t>
  </si>
  <si>
    <t>Ariat</t>
  </si>
  <si>
    <t>May  2026  Buy</t>
  </si>
  <si>
    <t xml:space="preserve">Brunt 4170 Pairs (CT) </t>
  </si>
  <si>
    <t xml:space="preserve">Brunt 1749 Pairs (ST) </t>
  </si>
  <si>
    <t xml:space="preserve">Brunt 900 Pairs (NWP- CT) </t>
  </si>
  <si>
    <t xml:space="preserve">Brunt 1084 Pairs (CTBT) </t>
  </si>
  <si>
    <t>Brunt 8" 600 pairs (CT)</t>
  </si>
  <si>
    <t xml:space="preserve">Brunt Ohman ST 1026 pairs </t>
  </si>
  <si>
    <t xml:space="preserve">Brunt Ohman CT 1433 pairs </t>
  </si>
  <si>
    <t>June   2026  Buy</t>
  </si>
  <si>
    <t xml:space="preserve">Brunt 4937 Pairs (CT) </t>
  </si>
  <si>
    <t xml:space="preserve">Brunt 2489 Pairs (ST) </t>
  </si>
  <si>
    <t xml:space="preserve">Brunt 1000 Pairs (NWP- CT) </t>
  </si>
  <si>
    <t xml:space="preserve">Brunt 847 Pairs (NWP- ST) </t>
  </si>
  <si>
    <t xml:space="preserve">Brunt 1576 Pairs (CTBT) </t>
  </si>
  <si>
    <t xml:space="preserve">Brunt Ohman ST 1447 pairs </t>
  </si>
  <si>
    <t xml:space="preserve">Brunt Ohman CT 1809 pairs </t>
  </si>
  <si>
    <t>July 2026  Buy</t>
  </si>
  <si>
    <t xml:space="preserve">Brunt 3789 Pairs (CT) </t>
  </si>
  <si>
    <t xml:space="preserve">Brunt 1995 Pairs (ST) </t>
  </si>
  <si>
    <t xml:space="preserve">Brunt 1100 Pairs (NWP- CT) </t>
  </si>
  <si>
    <t xml:space="preserve">Brunt 1232 Pairs (CTBT) </t>
  </si>
  <si>
    <t xml:space="preserve">Brunt Ohman ST 1098 pairs </t>
  </si>
  <si>
    <t xml:space="preserve">Brunt Ohman CT 1373 pairs </t>
  </si>
  <si>
    <t>Orders</t>
  </si>
  <si>
    <t>PAIRS PER WEEK</t>
  </si>
  <si>
    <t>Capacity 30/08</t>
  </si>
  <si>
    <t>Shortfall</t>
  </si>
  <si>
    <t>Cost Per Pair Landed SA</t>
  </si>
  <si>
    <t>Completed USD US Boot</t>
  </si>
  <si>
    <t>Completed USD Others</t>
  </si>
  <si>
    <t>Monthly USD</t>
  </si>
  <si>
    <t>Total Capital</t>
  </si>
  <si>
    <t>JULY</t>
  </si>
  <si>
    <t>August</t>
  </si>
  <si>
    <t>September</t>
  </si>
  <si>
    <t>October</t>
  </si>
  <si>
    <t>December</t>
  </si>
  <si>
    <t xml:space="preserve">January </t>
  </si>
  <si>
    <t>February</t>
  </si>
  <si>
    <t>March</t>
  </si>
  <si>
    <t>April</t>
  </si>
  <si>
    <t>May</t>
  </si>
  <si>
    <t>June</t>
  </si>
  <si>
    <t>July</t>
  </si>
  <si>
    <t>Ocotober</t>
  </si>
  <si>
    <t>January</t>
  </si>
  <si>
    <t>USD</t>
  </si>
  <si>
    <t xml:space="preserve">Ocotober </t>
  </si>
  <si>
    <t xml:space="preserve">November </t>
  </si>
  <si>
    <t xml:space="preserve">Total </t>
  </si>
  <si>
    <t>Company</t>
  </si>
  <si>
    <t>Style</t>
  </si>
  <si>
    <t>Marin Welted USA 8"(Comp Toe)  
Waterproof</t>
  </si>
  <si>
    <t>8" CT</t>
  </si>
  <si>
    <t>Marin Welted USA 8"(Comp Toe)</t>
  </si>
  <si>
    <t>Marin Welted USA (Comp Toe) Brunt Toe</t>
  </si>
  <si>
    <t>CTBT</t>
  </si>
  <si>
    <t>Marin Welted USA (Comp Toe)
Waterproof</t>
  </si>
  <si>
    <t>Marin Welted USA (Soft Toe)
Waterproof</t>
  </si>
  <si>
    <t>Ohman Welted USA (Comp Toe)</t>
  </si>
  <si>
    <t>Ohman CT</t>
  </si>
  <si>
    <t>Ohman Welted USA (Soft Toe)</t>
  </si>
  <si>
    <t>Ohman ST</t>
  </si>
  <si>
    <t>Marin Unlined Welted USA (Comp Toe)</t>
  </si>
  <si>
    <t>Marin Unlined Welted USA (Soft Toe)</t>
  </si>
  <si>
    <t>Marin Unlined Welted USA (Comp Toe)
Dark BRN</t>
  </si>
  <si>
    <t>SL5405E</t>
  </si>
  <si>
    <t>SL5405EEE</t>
  </si>
  <si>
    <t>SL5410E</t>
  </si>
  <si>
    <t>SL5410EEE</t>
  </si>
  <si>
    <t>FDXL200
Waterproof</t>
  </si>
  <si>
    <t>FDXL90 
Waterproof</t>
  </si>
  <si>
    <t>Alpha</t>
  </si>
  <si>
    <t>Condor Wellington Waterproof</t>
  </si>
  <si>
    <t>Condor Wellington</t>
  </si>
  <si>
    <t>Dane</t>
  </si>
  <si>
    <t>6'' Driftlock (Bravo Soft toe ) Waterproof</t>
  </si>
  <si>
    <t>Driftlock</t>
  </si>
  <si>
    <t>6' Ironmaster-Copper</t>
  </si>
  <si>
    <t>Ironmaster Copper</t>
  </si>
  <si>
    <t>6' Ironmaster-Black</t>
  </si>
  <si>
    <t>Ironmaster Black</t>
  </si>
  <si>
    <t>James</t>
  </si>
  <si>
    <t>Logan</t>
  </si>
  <si>
    <t>Western</t>
  </si>
  <si>
    <t>504/804-6301
Waterproof</t>
  </si>
  <si>
    <t>V Force</t>
  </si>
  <si>
    <t>CAT</t>
  </si>
  <si>
    <t>P91875
Waterproof</t>
  </si>
  <si>
    <t>D87321</t>
  </si>
  <si>
    <t>D96331</t>
  </si>
  <si>
    <t>Wolverine</t>
  </si>
  <si>
    <t>W260098
Waterproof</t>
  </si>
  <si>
    <t>W261123
Waterproof</t>
  </si>
  <si>
    <t>Brand</t>
  </si>
  <si>
    <t>Pairs</t>
  </si>
  <si>
    <t>lh_xf</t>
  </si>
  <si>
    <t>eta_fac</t>
  </si>
  <si>
    <t>Note</t>
  </si>
  <si>
    <t>PO1123</t>
  </si>
  <si>
    <t>BRUNT</t>
  </si>
  <si>
    <t>PO175</t>
  </si>
  <si>
    <t>USBOOT</t>
  </si>
  <si>
    <t>PO1124</t>
  </si>
  <si>
    <t>PO1125</t>
  </si>
  <si>
    <t>PO1126</t>
  </si>
  <si>
    <t>Fire-Dex</t>
  </si>
  <si>
    <t>671558</t>
  </si>
  <si>
    <t>339842-00</t>
  </si>
  <si>
    <t>PO1172</t>
  </si>
  <si>
    <t>PO1173</t>
  </si>
  <si>
    <t>340055-00</t>
  </si>
  <si>
    <t>PO1224</t>
  </si>
  <si>
    <t>PO1225</t>
  </si>
  <si>
    <t>PO1226</t>
  </si>
  <si>
    <t>PO1227</t>
  </si>
  <si>
    <t>PO1228</t>
  </si>
  <si>
    <t>4700635198</t>
  </si>
  <si>
    <t>4700635176</t>
  </si>
  <si>
    <t>4700641372</t>
  </si>
  <si>
    <t>PO1232</t>
  </si>
  <si>
    <t>PO1233</t>
  </si>
  <si>
    <t>PO1229</t>
  </si>
  <si>
    <t>PO1230</t>
  </si>
  <si>
    <t>PO1231</t>
  </si>
  <si>
    <t>340057-00</t>
  </si>
  <si>
    <t>4500233920</t>
  </si>
  <si>
    <t>4500233921</t>
  </si>
  <si>
    <t>4500233922</t>
  </si>
  <si>
    <t>4500233923</t>
  </si>
  <si>
    <t>674703</t>
  </si>
  <si>
    <t>674705</t>
  </si>
  <si>
    <t>340244-00</t>
  </si>
  <si>
    <t>340420-00</t>
  </si>
  <si>
    <t>340386-00</t>
  </si>
  <si>
    <t>PO1333</t>
  </si>
  <si>
    <t>Marin Unlined Welted USA (Soft Toe)
Dark BRN</t>
  </si>
  <si>
    <t>PO1334</t>
  </si>
  <si>
    <t>Marin Welted USA (Soft Toe)</t>
  </si>
  <si>
    <t>PO1335</t>
  </si>
  <si>
    <t>PO1336</t>
  </si>
  <si>
    <t>PO1337</t>
  </si>
  <si>
    <t>Marin Welted USA  Brunt Toe(Comp Toe)</t>
  </si>
  <si>
    <t>340390-00</t>
  </si>
  <si>
    <t>676431</t>
  </si>
  <si>
    <t>4700641424</t>
  </si>
  <si>
    <t>4700645432</t>
  </si>
  <si>
    <t>676997</t>
  </si>
  <si>
    <t>676998</t>
  </si>
  <si>
    <t>340644-00</t>
  </si>
  <si>
    <t>340839-00</t>
  </si>
  <si>
    <t>CTN Received  Date</t>
  </si>
  <si>
    <t>Customer Requested Xf</t>
  </si>
  <si>
    <t xml:space="preserve">175 + DR Order </t>
  </si>
  <si>
    <t>Logan (LH order + DR order)</t>
  </si>
  <si>
    <t>James (LH order + DR order )</t>
  </si>
  <si>
    <t>PO/2026/0175</t>
  </si>
  <si>
    <t>Air Freight</t>
  </si>
  <si>
    <t>6" Handler</t>
  </si>
  <si>
    <t>USB March 2026  Buy</t>
  </si>
  <si>
    <t>Forecast</t>
  </si>
  <si>
    <t>PO/2026/0176</t>
  </si>
  <si>
    <t>PO/2026/0177</t>
  </si>
  <si>
    <t>Western 300/James 300</t>
  </si>
  <si>
    <t>PO/2026/0021</t>
  </si>
  <si>
    <t>8" Bravo</t>
  </si>
  <si>
    <t>Forecasts</t>
  </si>
  <si>
    <t>Filson</t>
  </si>
  <si>
    <t>June 2026  Buy</t>
  </si>
  <si>
    <t>Nov 16 2026</t>
  </si>
  <si>
    <t>Production Targets By Month</t>
  </si>
  <si>
    <t>Order Total</t>
  </si>
  <si>
    <t>Total</t>
  </si>
  <si>
    <t>Pairs/Day</t>
  </si>
  <si>
    <t>Cumulative Pairs</t>
  </si>
  <si>
    <t>Days</t>
  </si>
  <si>
    <t>Jan</t>
  </si>
  <si>
    <t>Feb</t>
  </si>
  <si>
    <t>Mar</t>
  </si>
  <si>
    <t>Apr</t>
  </si>
  <si>
    <t>Aug</t>
  </si>
  <si>
    <t>Sept</t>
  </si>
  <si>
    <t>Oct</t>
  </si>
  <si>
    <t>Nov</t>
  </si>
  <si>
    <t>Dec</t>
  </si>
  <si>
    <t>Month</t>
  </si>
  <si>
    <t>Latest Ship Quantity</t>
  </si>
  <si>
    <t>JAN</t>
  </si>
  <si>
    <t>ANO 1</t>
  </si>
  <si>
    <t>ANO 2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</si>
  <si>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</si>
  <si>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</si>
  <si>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</si>
  <si>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</si>
  <si>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</si>
  <si>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</si>
  <si>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</si>
  <si>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</si>
  <si>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</si>
  <si>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</si>
  <si>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</si>
  <si>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Av GM</t>
  </si>
  <si>
    <t>Total Pairs</t>
  </si>
  <si>
    <t>Total GM</t>
  </si>
  <si>
    <t>WB</t>
  </si>
  <si>
    <t>TOTAL</t>
  </si>
  <si>
    <t>Av Tariff/Duty/Shipping</t>
  </si>
  <si>
    <t>Direct</t>
  </si>
  <si>
    <t>Indirect</t>
  </si>
  <si>
    <t>Other</t>
  </si>
  <si>
    <t>TOTAL COST</t>
  </si>
  <si>
    <t xml:space="preserve">NET </t>
  </si>
  <si>
    <t xml:space="preserve">Table A. Summary of Gantt Chart </t>
  </si>
  <si>
    <t xml:space="preserve">Year/ Quarter </t>
  </si>
  <si>
    <t>2026 Q1</t>
  </si>
  <si>
    <t xml:space="preserve">2026 Q2 </t>
  </si>
  <si>
    <t>2026 Q 3</t>
  </si>
  <si>
    <t>2026 Q 4</t>
  </si>
  <si>
    <t>CHECK</t>
  </si>
  <si>
    <t>Total Monthly Capacity and Orders</t>
  </si>
  <si>
    <t>Jun</t>
  </si>
  <si>
    <t>Sep</t>
  </si>
  <si>
    <t>Double Line</t>
  </si>
  <si>
    <t>Capacity</t>
  </si>
  <si>
    <t>Free Cap</t>
  </si>
  <si>
    <t xml:space="preserve">Order Received </t>
  </si>
  <si>
    <t xml:space="preserve">Customer </t>
  </si>
  <si>
    <t>Wienbrenner</t>
  </si>
  <si>
    <t>Customer with Margin</t>
  </si>
  <si>
    <t xml:space="preserve">AS Tariffs (20% ) </t>
  </si>
  <si>
    <t xml:space="preserve">FOB Cost </t>
  </si>
  <si>
    <t xml:space="preserve">Sale Price </t>
  </si>
  <si>
    <t>Gorss Margin</t>
  </si>
  <si>
    <t xml:space="preserve">Quantity </t>
  </si>
  <si>
    <t>Total Gross Margin</t>
  </si>
  <si>
    <t>Q1</t>
  </si>
  <si>
    <t>Q2</t>
  </si>
  <si>
    <t>Q3</t>
  </si>
  <si>
    <t>Q4</t>
  </si>
  <si>
    <t>Av Tariff</t>
  </si>
  <si>
    <t>Brunt NWP- CT</t>
  </si>
  <si>
    <t>Brunt NWP- ST</t>
  </si>
  <si>
    <t>Brunt CTBT</t>
  </si>
  <si>
    <t xml:space="preserve">Harley Davidson-W </t>
  </si>
  <si>
    <t>Harley Davidson-M</t>
  </si>
  <si>
    <t xml:space="preserve">Future- Chippewa </t>
  </si>
  <si>
    <t>Q1 26</t>
  </si>
  <si>
    <t>Q2 26</t>
  </si>
  <si>
    <t>Q3 26</t>
  </si>
  <si>
    <t>Q4 26</t>
  </si>
  <si>
    <t>Gross Margin</t>
  </si>
  <si>
    <t>Expenses</t>
  </si>
  <si>
    <t>Total Other Expense                                  (Include container shipping  )</t>
  </si>
  <si>
    <t>Total Other Expense</t>
  </si>
  <si>
    <t xml:space="preserve">Adjusted for increase in salaries and additional bonus </t>
  </si>
  <si>
    <t>7.5% Duty &amp; Tariffs</t>
  </si>
  <si>
    <t xml:space="preserve">Total Direct Labor Cost </t>
  </si>
  <si>
    <t xml:space="preserve">Total Indirect Labor Cost </t>
  </si>
  <si>
    <t xml:space="preserve">Total Expense </t>
  </si>
  <si>
    <t>Cash Flow by Quarter: AS GM Net of Tunlit Costs</t>
  </si>
  <si>
    <t>Tunlit</t>
  </si>
  <si>
    <t>AS</t>
  </si>
  <si>
    <t>Total GM after Tunlit Costs</t>
  </si>
  <si>
    <t>Business Cost AS</t>
  </si>
  <si>
    <t>Net Profit</t>
  </si>
  <si>
    <t>Made</t>
  </si>
  <si>
    <t>GM</t>
  </si>
  <si>
    <t>Costs</t>
  </si>
  <si>
    <t>Running Costs</t>
  </si>
  <si>
    <t>Duty/Tariffs</t>
  </si>
  <si>
    <t>Direct Labor</t>
  </si>
  <si>
    <t>In Direct</t>
  </si>
  <si>
    <t>Machinery</t>
  </si>
  <si>
    <t>Total Costs</t>
  </si>
  <si>
    <t>NET Profit</t>
  </si>
  <si>
    <t>Loan Replace Lee</t>
  </si>
  <si>
    <t>Loan Replace JK</t>
  </si>
  <si>
    <t>WTF Fund</t>
  </si>
  <si>
    <t>Month Start</t>
  </si>
  <si>
    <t>Month End</t>
  </si>
  <si>
    <t xml:space="preserve">Brunt - ST </t>
  </si>
  <si>
    <t xml:space="preserve">Brunt - CT </t>
  </si>
  <si>
    <t>Brunt - 8"</t>
  </si>
  <si>
    <t xml:space="preserve">Brunt Ohman ST </t>
  </si>
  <si>
    <t>Brunt Ohman CT</t>
  </si>
  <si>
    <t>Chippewa- SL5405 E / EEE</t>
  </si>
  <si>
    <t>Chippewa- SL5410 E / EEE</t>
  </si>
  <si>
    <t>Chippewa- SL5407 E / EEE</t>
  </si>
  <si>
    <t>Chippewa- SL5408 E / EEE</t>
  </si>
  <si>
    <t>USB (Dane)</t>
  </si>
  <si>
    <t xml:space="preserve">Weinbrenner </t>
  </si>
  <si>
    <t>BY SHIPMENT DATE</t>
  </si>
  <si>
    <t>BY PAYMENT DATE</t>
  </si>
  <si>
    <t>ALREADY INVOICED</t>
  </si>
  <si>
    <t>TUNLIT DUES</t>
  </si>
  <si>
    <t>Current Tunlit Debt</t>
  </si>
  <si>
    <t>Tunlit Dues</t>
  </si>
  <si>
    <t>END 25</t>
  </si>
  <si>
    <t>START 26</t>
  </si>
  <si>
    <t xml:space="preserve">Payment Term </t>
  </si>
  <si>
    <t>RECON</t>
  </si>
  <si>
    <t xml:space="preserve">After AS Exf </t>
  </si>
  <si>
    <t>Bank Balance</t>
  </si>
  <si>
    <t>Duty/Tariff</t>
  </si>
  <si>
    <t>Loan Rep/WTF</t>
  </si>
  <si>
    <t>BALANCE</t>
  </si>
  <si>
    <t>USB Costs</t>
  </si>
  <si>
    <t>NET BALANCE</t>
  </si>
  <si>
    <t>60% China Onboard</t>
  </si>
  <si>
    <t>TL 1</t>
  </si>
  <si>
    <t xml:space="preserve">Balance </t>
  </si>
  <si>
    <t>Days after AS EX F</t>
  </si>
  <si>
    <t>TL2</t>
  </si>
  <si>
    <t>AS USB to Tunlit</t>
  </si>
  <si>
    <t>60 Days after On boarding Date</t>
  </si>
  <si>
    <t>USB to AS</t>
  </si>
  <si>
    <t>6 months after AS completion date</t>
  </si>
  <si>
    <t>60% with Order which we pay LH 7 days after receipt</t>
  </si>
  <si>
    <t>Feb 9</t>
  </si>
  <si>
    <t>90 Days after XF</t>
  </si>
  <si>
    <t>Can draw down</t>
  </si>
  <si>
    <t>Days after AS Exf</t>
  </si>
  <si>
    <t>Repay USB to AS</t>
  </si>
  <si>
    <t>Pay USB May Orders</t>
  </si>
  <si>
    <t>Repay USB to AS on Sales</t>
  </si>
  <si>
    <t>Pay USB Sept Orders</t>
  </si>
  <si>
    <t>Name</t>
  </si>
  <si>
    <t>Job Title</t>
  </si>
  <si>
    <t>Grade</t>
  </si>
  <si>
    <t>Luxor Hourly Cost</t>
  </si>
  <si>
    <t>Monthly Average Cost</t>
  </si>
  <si>
    <t xml:space="preserve">Insert the last </t>
  </si>
  <si>
    <t>Line Lead/ Cement</t>
  </si>
  <si>
    <t>Cement &amp; Primer</t>
  </si>
  <si>
    <t xml:space="preserve">Sole Attach </t>
  </si>
  <si>
    <t xml:space="preserve">Sole Attach &amp; Welt Beating </t>
  </si>
  <si>
    <t xml:space="preserve">Sole Attach &amp; Jupiter </t>
  </si>
  <si>
    <t xml:space="preserve">Take off Last </t>
  </si>
  <si>
    <t xml:space="preserve">Sole Buffing &amp; Sole Stitching  </t>
  </si>
  <si>
    <t xml:space="preserve">Sole Trimming </t>
  </si>
  <si>
    <t>Maria Jimenez</t>
  </si>
  <si>
    <t xml:space="preserve">New Sole Trimming </t>
  </si>
  <si>
    <t>Packing</t>
  </si>
  <si>
    <t xml:space="preserve">Packing </t>
  </si>
  <si>
    <t xml:space="preserve">Trimming </t>
  </si>
  <si>
    <t>Merlyn Vasquez</t>
  </si>
  <si>
    <t xml:space="preserve">Pena Bladimir </t>
  </si>
  <si>
    <t>Isai Garcia Molina</t>
  </si>
  <si>
    <t>Ana Esther Merino</t>
  </si>
  <si>
    <t>Stephanie Berudez Gutierrez</t>
  </si>
  <si>
    <t>Total DL Worker Cost</t>
  </si>
  <si>
    <t>Hours Worked</t>
  </si>
  <si>
    <t>Average Hourly Cost</t>
  </si>
  <si>
    <t xml:space="preserve">Alejandro Rodriguez, Rodriguez </t>
  </si>
  <si>
    <t xml:space="preserve">Jesus, Robledo </t>
  </si>
  <si>
    <t xml:space="preserve">Insert the Last </t>
  </si>
  <si>
    <t xml:space="preserve">Natalia, Garcia Hernadez </t>
  </si>
  <si>
    <t>Hole Filling</t>
  </si>
  <si>
    <t xml:space="preserve">Martiza, Durado De Lapaz </t>
  </si>
  <si>
    <t>Lenor, Romero Monteagudo</t>
  </si>
  <si>
    <t xml:space="preserve">Yanifer, Garcia Hernadez </t>
  </si>
  <si>
    <t xml:space="preserve">Roger, Marquez Montilla </t>
  </si>
  <si>
    <t>Ivan, Gonzalez</t>
  </si>
  <si>
    <t xml:space="preserve">Jose, Molina Dominguez </t>
  </si>
  <si>
    <t xml:space="preserve">Jean, Aguilar Sandino </t>
  </si>
  <si>
    <t xml:space="preserve">Josue, Monlina </t>
  </si>
  <si>
    <t xml:space="preserve">Ani, Morera, Rabelo </t>
  </si>
  <si>
    <t>Trimming &amp; Sole Buffing</t>
  </si>
  <si>
    <t xml:space="preserve">Yanet, Estevez </t>
  </si>
  <si>
    <t>Mirna, Oineda Juarez</t>
  </si>
  <si>
    <t xml:space="preserve">Carlo, Fernadez Simon </t>
  </si>
  <si>
    <t>De- Last</t>
  </si>
  <si>
    <t>Karla, Periche Sanchez</t>
  </si>
  <si>
    <t>Jennifer Zeroa soto</t>
  </si>
  <si>
    <t xml:space="preserve">Packing/ Cement </t>
  </si>
  <si>
    <t xml:space="preserve">Agueda Serrano Ortega </t>
  </si>
  <si>
    <t xml:space="preserve">Keylin, Palma  </t>
  </si>
  <si>
    <t xml:space="preserve">Packing/ Janitor </t>
  </si>
  <si>
    <t xml:space="preserve">Yur, Frometa Lambert </t>
  </si>
  <si>
    <t>Overtime Hour Work</t>
  </si>
  <si>
    <t xml:space="preserve">OT Rate </t>
  </si>
  <si>
    <t xml:space="preserve">Luxor Rate </t>
  </si>
  <si>
    <t xml:space="preserve">Ani, Morera Rabelo </t>
  </si>
  <si>
    <t xml:space="preserve">Yordon, Sablon Guzman </t>
  </si>
  <si>
    <t xml:space="preserve">Warehouse </t>
  </si>
  <si>
    <t xml:space="preserve">Yunier, Tamayo Rodriges </t>
  </si>
  <si>
    <t xml:space="preserve">Alex, Paizon Villalon </t>
  </si>
  <si>
    <t xml:space="preserve">Jaime, Valtierra Hernandez </t>
  </si>
  <si>
    <t xml:space="preserve">Echo Eyelet </t>
  </si>
  <si>
    <t xml:space="preserve">Fabian, Gonzalez </t>
  </si>
  <si>
    <t xml:space="preserve">Elian </t>
  </si>
  <si>
    <t xml:space="preserve">Warehouse- Temp </t>
  </si>
  <si>
    <t xml:space="preserve">Mar,Fernadez Arias </t>
  </si>
  <si>
    <t xml:space="preserve">Marili, Oduardo Soto </t>
  </si>
  <si>
    <t xml:space="preserve">Chr, Lechuga Ledesma </t>
  </si>
  <si>
    <t xml:space="preserve">Alcantara, Maldonando </t>
  </si>
  <si>
    <t>Total Indirect Worker Cost</t>
  </si>
  <si>
    <t>Cost Centre</t>
  </si>
  <si>
    <t>Accounts Code</t>
  </si>
  <si>
    <t>Description</t>
  </si>
  <si>
    <t>Monthly Average</t>
  </si>
  <si>
    <t>Consultant Fee</t>
  </si>
  <si>
    <t>Software</t>
  </si>
  <si>
    <t>Bank Fee</t>
  </si>
  <si>
    <t>Interest Fees</t>
  </si>
  <si>
    <t>Accounting Fee</t>
  </si>
  <si>
    <t xml:space="preserve">Total Management Salary </t>
  </si>
  <si>
    <t xml:space="preserve">Labor- General and Administrative </t>
  </si>
  <si>
    <t xml:space="preserve">Building Rent </t>
  </si>
  <si>
    <t>611060</t>
  </si>
  <si>
    <t>Advertising &amp; Marketing</t>
  </si>
  <si>
    <t xml:space="preserve">Car and Truck Expense </t>
  </si>
  <si>
    <t>Shipping, Delivery, Freight and Postage</t>
  </si>
  <si>
    <t>611200</t>
  </si>
  <si>
    <t>Equipment and Supplies under $2,500</t>
  </si>
  <si>
    <t xml:space="preserve">Equipment Rental </t>
  </si>
  <si>
    <t>611230</t>
  </si>
  <si>
    <t>Housing</t>
  </si>
  <si>
    <t>611250</t>
  </si>
  <si>
    <t>Insurance Expense</t>
  </si>
  <si>
    <t>611260</t>
  </si>
  <si>
    <t>Internet Service</t>
  </si>
  <si>
    <t xml:space="preserve">Telephone </t>
  </si>
  <si>
    <t>611310</t>
  </si>
  <si>
    <t>Licenses and Subscriptions</t>
  </si>
  <si>
    <t>611300</t>
  </si>
  <si>
    <t>Legal Services</t>
  </si>
  <si>
    <t>611560</t>
  </si>
  <si>
    <t>Repairs and Maintenance</t>
  </si>
  <si>
    <t>611350</t>
  </si>
  <si>
    <t>Meals (Lunch &amp; Dinner)</t>
  </si>
  <si>
    <t>611400</t>
  </si>
  <si>
    <t>Office and General Supplies</t>
  </si>
  <si>
    <t>611580</t>
  </si>
  <si>
    <t>Travel-Air, Hotel and Transportation</t>
  </si>
  <si>
    <t>611585</t>
  </si>
  <si>
    <t>Travel - Meals</t>
  </si>
  <si>
    <t>Travel - Incidentals</t>
  </si>
  <si>
    <t>611586</t>
  </si>
  <si>
    <t>Security Service</t>
  </si>
  <si>
    <t>611600</t>
  </si>
  <si>
    <t>Utilities-Electricity</t>
  </si>
  <si>
    <t>613040</t>
  </si>
  <si>
    <t>Utilities-Trash Removal</t>
  </si>
  <si>
    <t>Dues and Memberships</t>
  </si>
  <si>
    <t>Samples</t>
  </si>
  <si>
    <t>Cost of Goods Sold</t>
  </si>
  <si>
    <t>500000</t>
  </si>
  <si>
    <t>Shoe Component</t>
  </si>
  <si>
    <t>500070</t>
  </si>
  <si>
    <t xml:space="preserve">Glue &amp; Primer &amp; Thread &amp; Ink </t>
  </si>
  <si>
    <t>500030</t>
  </si>
  <si>
    <t>Assembly Supplies (Tools and Machine Parts)</t>
  </si>
  <si>
    <t>COGS- Machine (All Production Machine and Lab Machine)</t>
  </si>
  <si>
    <t>500040</t>
  </si>
  <si>
    <t xml:space="preserve">Freight and Delivery (Container Fee) </t>
  </si>
  <si>
    <t>Total Outflow</t>
  </si>
  <si>
    <t>Duty and Tariff Charge                               (Including 7.5% and Tariff)</t>
  </si>
  <si>
    <t xml:space="preserve">Total For the Contaienr </t>
  </si>
  <si>
    <t>Stuart</t>
  </si>
  <si>
    <t>Venke</t>
  </si>
  <si>
    <t>Mr Lee</t>
  </si>
  <si>
    <t>5th</t>
  </si>
  <si>
    <t xml:space="preserve">Kai </t>
  </si>
  <si>
    <t>Chip</t>
  </si>
  <si>
    <t>Hy Test</t>
  </si>
  <si>
    <t>WeinB</t>
  </si>
  <si>
    <t>HD</t>
  </si>
  <si>
    <t xml:space="preserve">Kyle Warrick </t>
  </si>
  <si>
    <t xml:space="preserve">Office </t>
  </si>
  <si>
    <t>Lisa Bernal</t>
  </si>
  <si>
    <t xml:space="preserve">Rick Ortiz </t>
  </si>
  <si>
    <t xml:space="preserve">Total AS Office Cost </t>
  </si>
  <si>
    <t>Customer</t>
  </si>
  <si>
    <t>YTD Daily Average Pairs Packed</t>
  </si>
  <si>
    <t>Marin Welted CT</t>
  </si>
  <si>
    <t xml:space="preserve">Marin Welted CT 8"                                                               </t>
  </si>
  <si>
    <t xml:space="preserve">Marin Welted ST                                                                 </t>
  </si>
  <si>
    <t xml:space="preserve">Marin Welted ST 8"                                                                </t>
  </si>
  <si>
    <t xml:space="preserve">Marin Welted Unlined  CT (Brown)                                                             </t>
  </si>
  <si>
    <t xml:space="preserve">Marin Welted Unlined  ST (Brown)                                                             </t>
  </si>
  <si>
    <t>SL5405</t>
  </si>
  <si>
    <t>SL5406</t>
  </si>
  <si>
    <t>SL5407</t>
  </si>
  <si>
    <t>SL5408</t>
  </si>
  <si>
    <t>SL5410</t>
  </si>
  <si>
    <t>Dewalt</t>
  </si>
  <si>
    <t>Hytest</t>
  </si>
  <si>
    <t>Echo Met Dane</t>
  </si>
  <si>
    <t>Bravo</t>
  </si>
  <si>
    <t xml:space="preserve">Echo </t>
  </si>
  <si>
    <t>V force</t>
  </si>
  <si>
    <t xml:space="preserve">Alpha </t>
  </si>
  <si>
    <t xml:space="preserve">Handler </t>
  </si>
  <si>
    <t xml:space="preserve">Condor Wellington </t>
  </si>
  <si>
    <t>Total Pairs Packed</t>
  </si>
  <si>
    <t>Daily Average</t>
  </si>
  <si>
    <t>Mon</t>
  </si>
  <si>
    <t>Tues</t>
  </si>
  <si>
    <t>Wed</t>
  </si>
  <si>
    <t>Thur</t>
  </si>
  <si>
    <t>Fri</t>
  </si>
  <si>
    <t>Week   1</t>
  </si>
  <si>
    <t>Week   2</t>
  </si>
  <si>
    <t>Week   3</t>
  </si>
  <si>
    <t>Week   4</t>
  </si>
  <si>
    <t xml:space="preserve">Marin Welted ST 8"                                                          </t>
  </si>
  <si>
    <t>Week 5</t>
  </si>
  <si>
    <t xml:space="preserve">Driftlock </t>
  </si>
  <si>
    <t xml:space="preserve">James </t>
  </si>
  <si>
    <t>4700646180</t>
  </si>
  <si>
    <t>4700646240</t>
  </si>
  <si>
    <t>Caterpillar Waterproof P91875</t>
  </si>
  <si>
    <t>V-Force Bunker Boot Extra Wide Width</t>
  </si>
  <si>
    <t>804-6301 XW</t>
  </si>
  <si>
    <t>V-Force Bunker Boot Wide Width</t>
  </si>
  <si>
    <t>804-6301 W</t>
  </si>
  <si>
    <t>V-Force Bunker Boot Medium Width</t>
  </si>
  <si>
    <t>804-6301 M</t>
  </si>
  <si>
    <t>V-Force Bunker Boot Women's Wide Width</t>
  </si>
  <si>
    <t>504-6301 W</t>
  </si>
  <si>
    <t>V-Force Bunker Boot Women's Medium Width</t>
  </si>
  <si>
    <t>504-6301 M</t>
  </si>
  <si>
    <t>F21009-EEE</t>
  </si>
  <si>
    <t>F21009-D</t>
  </si>
  <si>
    <t>Vanish Shiny</t>
  </si>
  <si>
    <t>826474-02</t>
  </si>
  <si>
    <t>Vanish Black Nubuck</t>
  </si>
  <si>
    <t>826474-01</t>
  </si>
  <si>
    <t>Fade</t>
  </si>
  <si>
    <t>Style Fade Industrial</t>
  </si>
  <si>
    <t>3233-02</t>
  </si>
  <si>
    <t>6" James - Chelsea Soft Toe</t>
  </si>
  <si>
    <t>27293</t>
  </si>
  <si>
    <t>27292</t>
  </si>
  <si>
    <t>Condor</t>
  </si>
  <si>
    <t>27291</t>
  </si>
  <si>
    <t>27290</t>
  </si>
  <si>
    <t>27289</t>
  </si>
  <si>
    <t>27288</t>
  </si>
  <si>
    <t>27287</t>
  </si>
  <si>
    <t>Bravo Composite Safety Toe Men</t>
  </si>
  <si>
    <t>27286</t>
  </si>
  <si>
    <t xml:space="preserve">6" Ironmaster - Internal Metatarsal Guard Color: Black </t>
  </si>
  <si>
    <t>5250</t>
  </si>
  <si>
    <t>6" Ironmaster - Internal Metatarsal Guard Color: Copper</t>
  </si>
  <si>
    <t>5249</t>
  </si>
  <si>
    <t>8" Handler</t>
  </si>
  <si>
    <t>3248</t>
  </si>
  <si>
    <t>3247</t>
  </si>
  <si>
    <t>Echo</t>
  </si>
  <si>
    <t>Style Echo Men</t>
  </si>
  <si>
    <t>3246</t>
  </si>
  <si>
    <t>FDXL90</t>
  </si>
  <si>
    <t>FDXL90-XW-AS ( Width: Medium)</t>
  </si>
  <si>
    <t>FDXL-90</t>
  </si>
  <si>
    <t>FDXL200-XW-AS ( Width: Extra Wide)</t>
  </si>
  <si>
    <t>FDXL-200-XW-AS</t>
  </si>
  <si>
    <t>FDXL200-WOS-M-AS (Women)</t>
  </si>
  <si>
    <t>FDXL-200-WOS-M-AS</t>
  </si>
  <si>
    <t>FDXL200-W-AS ( Width: Wide)</t>
  </si>
  <si>
    <t>FDXL-200-W-AS</t>
  </si>
  <si>
    <t>FDXL200-M-AS ( Width: Medium)</t>
  </si>
  <si>
    <t>FDXL-200-M-AS</t>
  </si>
  <si>
    <t>SL5410-E</t>
  </si>
  <si>
    <t>Super Loger Steel Toe 5410-E</t>
  </si>
  <si>
    <t>SL5408-EEE</t>
  </si>
  <si>
    <t>Super Logger Soft Toe 5408-EEE Brown</t>
  </si>
  <si>
    <t>SL5408-E</t>
  </si>
  <si>
    <t>Super Logger Soft Toe 5408-E Brown</t>
  </si>
  <si>
    <t>SL5407-E</t>
  </si>
  <si>
    <t>Super Logger Steel Toe 5407-E</t>
  </si>
  <si>
    <t>SL5406-EEE</t>
  </si>
  <si>
    <t>Super Logger Soft Toe 5406-EEE</t>
  </si>
  <si>
    <t>SL5406-E</t>
  </si>
  <si>
    <t>Super Logger Soft Toe 5406-E</t>
  </si>
  <si>
    <t>SL5405-E</t>
  </si>
  <si>
    <t>Super Logger Steel Toe 5405-E</t>
  </si>
  <si>
    <t>BRF60005-004</t>
  </si>
  <si>
    <t>BRF60004-004</t>
  </si>
  <si>
    <t>BRF50018-004</t>
  </si>
  <si>
    <t>BRF50016-004</t>
  </si>
  <si>
    <t>NWP CT</t>
  </si>
  <si>
    <t>BRF50014-004</t>
  </si>
  <si>
    <t>NWP ST</t>
  </si>
  <si>
    <t>BRF50013-004</t>
  </si>
  <si>
    <t>BRF50004-004</t>
  </si>
  <si>
    <t>BRF50003-004</t>
  </si>
  <si>
    <t>Style Name Short</t>
  </si>
  <si>
    <t>Style Name Long</t>
  </si>
  <si>
    <t>Syle Number</t>
  </si>
  <si>
    <t>Brand Style Name Options</t>
  </si>
  <si>
    <t>671614</t>
  </si>
  <si>
    <t>671566</t>
  </si>
  <si>
    <t>671564</t>
  </si>
  <si>
    <t>FDXL200</t>
  </si>
  <si>
    <t>Year</t>
  </si>
  <si>
    <t>First Friday Date</t>
  </si>
  <si>
    <t>SL5405-EEE</t>
  </si>
  <si>
    <t>SL5407-EEE</t>
  </si>
  <si>
    <t>SL5410-EEE</t>
  </si>
  <si>
    <t>Super Logger Steel Toe SL 5405-EEE</t>
  </si>
  <si>
    <t>Super Logger Steel Toe SL 5407-EEE</t>
  </si>
  <si>
    <t>Super Logger Steel Toe SL 5410-EEE</t>
  </si>
  <si>
    <t>HD-Women</t>
  </si>
  <si>
    <t>HD-Men</t>
  </si>
  <si>
    <t>Caterpillar</t>
  </si>
  <si>
    <t>CAT P91875</t>
  </si>
  <si>
    <t>USA Marin Welted 6” WP Soft Toe Color Dark Brown</t>
  </si>
  <si>
    <t>USA Marin Welted 6” WP Comp Toe Color Dark Brown</t>
  </si>
  <si>
    <t>USA Marin Welted 8” WP Comp Toe</t>
  </si>
  <si>
    <t>USA Marin Welted 6" WP Comp Toe Brunt Toe</t>
  </si>
  <si>
    <t>BRF10009-001</t>
  </si>
  <si>
    <t>Perkins 6" WP Comp Toe</t>
  </si>
  <si>
    <t>BRF30000-002</t>
  </si>
  <si>
    <t>BRF30001-002</t>
  </si>
  <si>
    <t>Ryng 6" NWP Comp Toe</t>
  </si>
  <si>
    <t>Ryng 4" NWP Comp Toe</t>
  </si>
  <si>
    <t>Perkins CT</t>
  </si>
  <si>
    <t>Ryng 6" CT</t>
  </si>
  <si>
    <t>Ryng 4" CT</t>
  </si>
  <si>
    <t>USA Ohman Welted 6" NWP Soft Toe</t>
  </si>
  <si>
    <t>USA Ohman Welted 6" NWP Comp Toe</t>
  </si>
  <si>
    <t>USA Marin Welted 6” NWP Soft Toe Color Dark Brown</t>
  </si>
  <si>
    <t>USA Marin Welted 6” NWP Comp Toe Color Dark Brown</t>
  </si>
  <si>
    <t>DXWP99990M</t>
  </si>
  <si>
    <t>Weatherby USA Moc Toe</t>
  </si>
  <si>
    <t>Dane-D Width</t>
  </si>
  <si>
    <t>Dane-EEE Width</t>
  </si>
  <si>
    <t>6" Handler Comp Toe Waterproof</t>
  </si>
  <si>
    <t>8" Bravo Waterproof</t>
  </si>
  <si>
    <t>6" Driftlock - Moc Toe Soft Toe, Waterproof</t>
  </si>
  <si>
    <t>6" Logan - Chelsea Comp Toe</t>
  </si>
  <si>
    <t>6" Alpha - Moc Toe Defined Heel Comp Toe</t>
  </si>
  <si>
    <t>10" Condor Wellington - Wellington, Comp Toe, Waterproof</t>
  </si>
  <si>
    <t>Western Steel Toe - Square Toe Steel Toe,  Waterproof</t>
  </si>
  <si>
    <t>Harley Davidson Lbrty Lace-Stock #D87321</t>
  </si>
  <si>
    <t>Harley Davidson Lbrty Lace-Stock #D96331</t>
  </si>
  <si>
    <t>Today</t>
  </si>
  <si>
    <t>Barebones-BBWDKB</t>
  </si>
  <si>
    <t>Barebones</t>
  </si>
  <si>
    <t>W261123</t>
  </si>
  <si>
    <t>W260098</t>
  </si>
  <si>
    <t>Wolverine Loader USA DS Soft Toe</t>
  </si>
  <si>
    <t>Wolverine Loader USA DS CompToe</t>
  </si>
  <si>
    <t>Loader ST</t>
  </si>
  <si>
    <t>Loader CT</t>
  </si>
  <si>
    <t>Grand Total</t>
  </si>
  <si>
    <t>Last Ship Quantity</t>
  </si>
  <si>
    <t>Last Shipment Date</t>
  </si>
  <si>
    <t>PO1080</t>
  </si>
  <si>
    <t>PO1081</t>
  </si>
  <si>
    <t>PO1083</t>
  </si>
  <si>
    <t>PO1082</t>
  </si>
  <si>
    <t>PO1047</t>
  </si>
  <si>
    <t>PO1048</t>
  </si>
  <si>
    <t>PO1049</t>
  </si>
  <si>
    <t xml:space="preserve">Order 
Quantity </t>
  </si>
  <si>
    <t>LH XF</t>
  </si>
  <si>
    <t>PO950</t>
  </si>
  <si>
    <t>PO949</t>
  </si>
  <si>
    <t>PO979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</si>
</sst>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(&quot;$&quot;* #,##0.00_);_(&quot;$&quot;* \(#,##0.00\);_(&quot;$&quot;* &quot;-&quot;??_);_(@_)"/>
    <numFmt numFmtId="164" formatCode="0.0_ ;[Red]\-0.0\ "/>
    <numFmt numFmtId="165" formatCode="[$$-409]#,##0"/>
    <numFmt numFmtId="166" formatCode="_(&quot;$&quot;* #,##0_);_(&quot;$&quot;* \(#,##0\);_(&quot;$&quot;* &quot;-&quot;??_);_(@_)"/>
    <numFmt numFmtId="167" formatCode="[$$-409]#,##0.00"/>
    <numFmt numFmtId="168" formatCode="[$-409]d\-mmm;@"/>
    <numFmt numFmtId="169" formatCode="dd/mm/yy;@"/>
    <numFmt numFmtId="170" formatCode="[$$-409]#,##0_ ;[Red]\-[$$-409]#,##0\ "/>
    <numFmt numFmtId="171" formatCode="yyyy\-mm\-dd;@"/>
    <numFmt numFmtId="172" formatCode="[$-809]dd\ mmmm\ yyyy;@"/>
    <numFmt numFmtId="173" formatCode="[$$-409]#,##0.00_ ;[Red]\-[$$-409]#,##0.00\ "/>
    <numFmt numFmtId="174" formatCode="mmm\ d\ yyyy"/>
    <numFmt numFmtId="175" formatCode="m/d;@"/>
    <numFmt numFmtId="176" formatCode="dd/mm/yyyy;@"/>
  </numFmts>
  <fonts count="71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Narrow"/>
      <family val="2"/>
    </font>
    <font>
      <b/>
      <sz val="11"/>
      <color rgb="FFFF0000"/>
      <name val="Aptos Narrow"/>
      <family val="2"/>
    </font>
    <font>
      <b/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1"/>
      <color theme="1" tint="4.9989318521683403E-2"/>
      <name val="Aptos Narrow"/>
      <family val="2"/>
      <scheme val="minor"/>
    </font>
    <font>
      <b/>
      <sz val="11"/>
      <color theme="9" tint="-0.499984740745262"/>
      <name val="Aptos Narrow"/>
      <family val="2"/>
    </font>
    <font>
      <b/>
      <sz val="11"/>
      <color theme="9" tint="-0.249977111117893"/>
      <name val="Aptos Narrow"/>
      <family val="2"/>
    </font>
    <font>
      <b/>
      <sz val="11"/>
      <color rgb="FF00B050"/>
      <name val="Aptos Narrow"/>
      <family val="2"/>
    </font>
    <font>
      <sz val="11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4"/>
      <color rgb="FF666666"/>
      <name val="Arial"/>
      <family val="2"/>
    </font>
    <font>
      <b/>
      <sz val="14"/>
      <color theme="1"/>
      <name val="Aptos Narrow"/>
      <family val="2"/>
    </font>
    <font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0000"/>
      <name val="Aptos Narrow (Body)"/>
    </font>
    <font>
      <b/>
      <sz val="12"/>
      <color rgb="FF000000"/>
      <name val="Aptos Narrow"/>
      <family val="2"/>
      <scheme val="minor"/>
    </font>
    <font>
      <sz val="11"/>
      <color theme="1"/>
      <name val="Calibri"/>
      <family val="2"/>
    </font>
    <font>
      <b/>
      <sz val="12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4"/>
      <color rgb="FF000000"/>
      <name val="Arial"/>
      <family val="2"/>
    </font>
    <font>
      <b/>
      <sz val="14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1"/>
      <color rgb="FFFF0000"/>
      <name val="Aptos Narrow"/>
      <scheme val="minor"/>
    </font>
    <font>
      <b/>
      <sz val="11"/>
      <color theme="1"/>
      <name val="Aptos Narrow (Body)"/>
    </font>
    <font>
      <b/>
      <sz val="10"/>
      <color theme="0"/>
      <name val="Aptos Narrow (Body)"/>
    </font>
    <font>
      <b/>
      <sz val="10"/>
      <color theme="1"/>
      <name val="Aptos Narrow (Body)"/>
    </font>
    <font>
      <sz val="10"/>
      <color theme="1"/>
      <name val="Aptos Narrow (Body)"/>
    </font>
    <font>
      <b/>
      <sz val="11"/>
      <color rgb="FF000000"/>
      <name val="Aptos Narrow"/>
      <scheme val="minor"/>
    </font>
    <font>
      <b/>
      <sz val="11"/>
      <color theme="5"/>
      <name val="Aptos Narrow"/>
      <scheme val="minor"/>
    </font>
    <font>
      <sz val="11"/>
      <color theme="5"/>
      <name val="Aptos Narrow"/>
      <scheme val="minor"/>
    </font>
    <font>
      <b/>
      <sz val="11"/>
      <color theme="4"/>
      <name val="Aptos Narrow"/>
      <scheme val="minor"/>
    </font>
    <font>
      <sz val="11"/>
      <color theme="4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1"/>
      <color theme="9" tint="-0.499984740745262"/>
      <name val="Aptos Narrow"/>
      <scheme val="minor"/>
    </font>
    <font>
      <b/>
      <sz val="11"/>
      <color theme="1" tint="4.9989318521683403E-2"/>
      <name val="Aptos Narrow"/>
      <scheme val="minor"/>
    </font>
    <font>
      <b/>
      <sz val="11"/>
      <name val="Aptos Narrow"/>
      <scheme val="minor"/>
    </font>
    <font>
      <b/>
      <sz val="12"/>
      <name val="Arial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1"/>
      <color theme="1"/>
      <name val="Aptos Narrow"/>
      <scheme val="minor"/>
    </font>
    <font>
      <b/>
      <sz val="12"/>
      <color rgb="FF000000"/>
      <name val="Aptos Narrow"/>
    </font>
  </fonts>
  <fills count="3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196B2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4" tint="-0.499984740745262"/>
        <bgColor indexed="64"/>
      </patternFill>
    </fill>
  </fills>
  <borders count="1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theme="1"/>
      </right>
      <top style="medium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/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/>
      <top style="medium">
        <color rgb="FF000000"/>
      </top>
      <bottom style="thin">
        <color indexed="64"/>
      </bottom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26" fillId="13" borderId="0" applyNumberFormat="0" applyBorder="0" applyAlignment="0" applyProtection="0"/>
    <xf numFmtId="44" fontId="28" fillId="0" borderId="0" applyFont="0" applyFill="0" applyBorder="0" applyAlignment="0" applyProtection="0"/>
    <xf numFmtId="0" fontId="10" fillId="0" borderId="0"/>
    <xf numFmtId="44" fontId="28" fillId="0" borderId="0" applyFont="0" applyFill="0" applyBorder="0" applyAlignment="0" applyProtection="0"/>
    <xf numFmtId="0" fontId="41" fillId="0" borderId="0"/>
    <xf numFmtId="0" fontId="28" fillId="0" borderId="0"/>
    <xf numFmtId="0" fontId="9" fillId="0" borderId="0"/>
    <xf numFmtId="0" fontId="8" fillId="0" borderId="0"/>
    <xf numFmtId="44" fontId="24" fillId="0" borderId="0" applyFont="0" applyFill="0" applyBorder="0" applyAlignment="0" applyProtection="0"/>
    <xf numFmtId="0" fontId="6" fillId="0" borderId="0"/>
  </cellStyleXfs>
  <cellXfs count="1263">
    <xf numFmtId="0" fontId="0" fillId="0" borderId="0" xfId="0"/>
    <xf numFmtId="0" fontId="11" fillId="2" borderId="1" xfId="0" applyFont="1" applyFill="1" applyBorder="1" applyAlignment="1">
      <alignment horizontal="center" vertical="center"/>
    </xf>
    <xf numFmtId="16" fontId="12" fillId="0" borderId="2" xfId="0" applyNumberFormat="1" applyFont="1" applyBorder="1" applyAlignment="1">
      <alignment horizontal="center" vertical="center"/>
    </xf>
    <xf numFmtId="16" fontId="12" fillId="0" borderId="3" xfId="0" applyNumberFormat="1" applyFont="1" applyBorder="1" applyAlignment="1">
      <alignment horizontal="center" vertical="center"/>
    </xf>
    <xf numFmtId="16" fontId="12" fillId="0" borderId="4" xfId="0" applyNumberFormat="1" applyFont="1" applyBorder="1" applyAlignment="1">
      <alignment horizontal="center" vertical="center"/>
    </xf>
    <xf numFmtId="16" fontId="12" fillId="0" borderId="5" xfId="0" applyNumberFormat="1" applyFont="1" applyBorder="1" applyAlignment="1">
      <alignment horizontal="center" vertical="center"/>
    </xf>
    <xf numFmtId="16" fontId="12" fillId="0" borderId="6" xfId="0" applyNumberFormat="1" applyFont="1" applyBorder="1" applyAlignment="1">
      <alignment horizontal="center" vertical="center"/>
    </xf>
    <xf numFmtId="16" fontId="12" fillId="3" borderId="6" xfId="0" applyNumberFormat="1" applyFont="1" applyFill="1" applyBorder="1" applyAlignment="1">
      <alignment horizontal="center" vertical="center"/>
    </xf>
    <xf numFmtId="16" fontId="12" fillId="4" borderId="6" xfId="0" applyNumberFormat="1" applyFont="1" applyFill="1" applyBorder="1" applyAlignment="1">
      <alignment horizontal="center" vertical="center"/>
    </xf>
    <xf numFmtId="16" fontId="12" fillId="0" borderId="7" xfId="0" applyNumberFormat="1" applyFont="1" applyBorder="1" applyAlignment="1">
      <alignment horizontal="center" vertical="center"/>
    </xf>
    <xf numFmtId="16" fontId="12" fillId="0" borderId="8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" fontId="12" fillId="0" borderId="0" xfId="0" applyNumberFormat="1" applyFont="1" applyAlignment="1">
      <alignment horizontal="center" vertical="center"/>
    </xf>
    <xf numFmtId="0" fontId="0" fillId="0" borderId="10" xfId="0" applyBorder="1"/>
    <xf numFmtId="0" fontId="0" fillId="0" borderId="9" xfId="0" applyBorder="1"/>
    <xf numFmtId="0" fontId="12" fillId="7" borderId="9" xfId="0" applyFont="1" applyFill="1" applyBorder="1" applyAlignment="1">
      <alignment horizontal="center" vertical="center"/>
    </xf>
    <xf numFmtId="17" fontId="12" fillId="0" borderId="0" xfId="0" applyNumberFormat="1" applyFont="1" applyAlignment="1">
      <alignment horizontal="center" vertical="center"/>
    </xf>
    <xf numFmtId="17" fontId="12" fillId="0" borderId="10" xfId="0" applyNumberFormat="1" applyFont="1" applyBorder="1" applyAlignment="1">
      <alignment horizontal="center" vertical="center"/>
    </xf>
    <xf numFmtId="1" fontId="12" fillId="0" borderId="10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14" fontId="17" fillId="9" borderId="0" xfId="0" applyNumberFormat="1" applyFont="1" applyFill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14" fontId="17" fillId="0" borderId="0" xfId="0" applyNumberFormat="1" applyFont="1" applyAlignment="1">
      <alignment vertical="center"/>
    </xf>
    <xf numFmtId="14" fontId="17" fillId="0" borderId="0" xfId="0" applyNumberFormat="1" applyFont="1" applyAlignment="1">
      <alignment horizontal="center" vertical="center"/>
    </xf>
    <xf numFmtId="14" fontId="17" fillId="9" borderId="10" xfId="0" applyNumberFormat="1" applyFont="1" applyFill="1" applyBorder="1" applyAlignment="1">
      <alignment horizontal="center" vertical="center"/>
    </xf>
    <xf numFmtId="14" fontId="17" fillId="0" borderId="10" xfId="0" applyNumberFormat="1" applyFont="1" applyBorder="1" applyAlignment="1">
      <alignment horizontal="center" vertical="center"/>
    </xf>
    <xf numFmtId="14" fontId="17" fillId="0" borderId="9" xfId="0" applyNumberFormat="1" applyFont="1" applyBorder="1" applyAlignment="1">
      <alignment horizontal="center" vertical="center"/>
    </xf>
    <xf numFmtId="14" fontId="17" fillId="7" borderId="0" xfId="0" applyNumberFormat="1" applyFont="1" applyFill="1" applyAlignment="1">
      <alignment horizontal="center" vertical="center"/>
    </xf>
    <xf numFmtId="14" fontId="17" fillId="10" borderId="0" xfId="0" applyNumberFormat="1" applyFont="1" applyFill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4" xfId="0" applyBorder="1"/>
    <xf numFmtId="0" fontId="19" fillId="0" borderId="0" xfId="0" applyFont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16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8" xfId="0" applyBorder="1"/>
    <xf numFmtId="0" fontId="12" fillId="7" borderId="10" xfId="0" applyFont="1" applyFill="1" applyBorder="1" applyAlignment="1">
      <alignment horizontal="center" vertical="center"/>
    </xf>
    <xf numFmtId="0" fontId="19" fillId="7" borderId="10" xfId="0" applyFont="1" applyFill="1" applyBorder="1"/>
    <xf numFmtId="0" fontId="23" fillId="7" borderId="10" xfId="0" applyFont="1" applyFill="1" applyBorder="1"/>
    <xf numFmtId="0" fontId="23" fillId="7" borderId="9" xfId="0" applyFont="1" applyFill="1" applyBorder="1"/>
    <xf numFmtId="0" fontId="12" fillId="0" borderId="19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0" fillId="7" borderId="10" xfId="0" applyFill="1" applyBorder="1"/>
    <xf numFmtId="0" fontId="24" fillId="7" borderId="10" xfId="0" applyFont="1" applyFill="1" applyBorder="1"/>
    <xf numFmtId="0" fontId="24" fillId="11" borderId="10" xfId="0" applyFont="1" applyFill="1" applyBorder="1"/>
    <xf numFmtId="0" fontId="0" fillId="7" borderId="10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23" fillId="7" borderId="13" xfId="0" applyFont="1" applyFill="1" applyBorder="1"/>
    <xf numFmtId="0" fontId="23" fillId="7" borderId="14" xfId="0" applyFont="1" applyFill="1" applyBorder="1"/>
    <xf numFmtId="0" fontId="23" fillId="7" borderId="15" xfId="0" applyFont="1" applyFill="1" applyBorder="1"/>
    <xf numFmtId="0" fontId="12" fillId="0" borderId="21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5" fontId="12" fillId="0" borderId="5" xfId="0" applyNumberFormat="1" applyFont="1" applyBorder="1" applyAlignment="1">
      <alignment horizontal="center" vertical="center"/>
    </xf>
    <xf numFmtId="165" fontId="12" fillId="0" borderId="6" xfId="0" applyNumberFormat="1" applyFont="1" applyBorder="1" applyAlignment="1">
      <alignment horizontal="center" vertical="center"/>
    </xf>
    <xf numFmtId="165" fontId="12" fillId="0" borderId="8" xfId="0" applyNumberFormat="1" applyFont="1" applyBorder="1" applyAlignment="1">
      <alignment horizontal="center" vertical="center"/>
    </xf>
    <xf numFmtId="165" fontId="12" fillId="0" borderId="17" xfId="0" applyNumberFormat="1" applyFont="1" applyBorder="1" applyAlignment="1">
      <alignment horizontal="center" vertical="center"/>
    </xf>
    <xf numFmtId="165" fontId="12" fillId="0" borderId="4" xfId="0" applyNumberFormat="1" applyFont="1" applyBorder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165" fontId="12" fillId="0" borderId="2" xfId="0" applyNumberFormat="1" applyFont="1" applyBorder="1" applyAlignment="1">
      <alignment horizontal="center" vertical="center"/>
    </xf>
    <xf numFmtId="165" fontId="0" fillId="0" borderId="0" xfId="0" applyNumberFormat="1"/>
    <xf numFmtId="165" fontId="12" fillId="0" borderId="7" xfId="0" applyNumberFormat="1" applyFont="1" applyBorder="1" applyAlignment="1">
      <alignment horizontal="center" vertical="center"/>
    </xf>
    <xf numFmtId="165" fontId="0" fillId="0" borderId="10" xfId="0" applyNumberFormat="1" applyBorder="1" applyAlignment="1">
      <alignment vertical="center"/>
    </xf>
    <xf numFmtId="165" fontId="12" fillId="0" borderId="0" xfId="0" applyNumberFormat="1" applyFont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12" fillId="0" borderId="24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5" fontId="0" fillId="0" borderId="33" xfId="0" applyNumberFormat="1" applyBorder="1" applyAlignment="1">
      <alignment horizontal="center" vertical="center"/>
    </xf>
    <xf numFmtId="165" fontId="12" fillId="0" borderId="21" xfId="0" applyNumberFormat="1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5" fontId="0" fillId="0" borderId="34" xfId="0" applyNumberFormat="1" applyBorder="1" applyAlignment="1">
      <alignment horizontal="center" vertical="center"/>
    </xf>
    <xf numFmtId="165" fontId="12" fillId="0" borderId="23" xfId="0" applyNumberFormat="1" applyFont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165" fontId="0" fillId="4" borderId="35" xfId="0" applyNumberFormat="1" applyFill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65" fontId="12" fillId="5" borderId="30" xfId="0" applyNumberFormat="1" applyFont="1" applyFill="1" applyBorder="1" applyAlignment="1">
      <alignment horizontal="center" vertical="center"/>
    </xf>
    <xf numFmtId="16" fontId="12" fillId="0" borderId="17" xfId="0" applyNumberFormat="1" applyFont="1" applyBorder="1" applyAlignment="1">
      <alignment horizontal="center" vertical="center"/>
    </xf>
    <xf numFmtId="16" fontId="12" fillId="0" borderId="9" xfId="0" applyNumberFormat="1" applyFont="1" applyBorder="1" applyAlignment="1">
      <alignment horizontal="center" vertic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12" fillId="0" borderId="17" xfId="0" applyFont="1" applyBorder="1" applyAlignment="1">
      <alignment horizontal="center" vertical="center"/>
    </xf>
    <xf numFmtId="0" fontId="12" fillId="7" borderId="6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0" fontId="19" fillId="11" borderId="6" xfId="0" applyFont="1" applyFill="1" applyBorder="1"/>
    <xf numFmtId="0" fontId="19" fillId="7" borderId="6" xfId="0" applyFont="1" applyFill="1" applyBorder="1"/>
    <xf numFmtId="0" fontId="19" fillId="7" borderId="5" xfId="0" applyFont="1" applyFill="1" applyBorder="1"/>
    <xf numFmtId="0" fontId="23" fillId="7" borderId="6" xfId="0" applyFont="1" applyFill="1" applyBorder="1" applyAlignment="1">
      <alignment horizontal="center" vertical="center"/>
    </xf>
    <xf numFmtId="0" fontId="23" fillId="7" borderId="5" xfId="0" applyFont="1" applyFill="1" applyBorder="1"/>
    <xf numFmtId="0" fontId="23" fillId="7" borderId="6" xfId="0" applyFont="1" applyFill="1" applyBorder="1"/>
    <xf numFmtId="0" fontId="23" fillId="7" borderId="8" xfId="0" applyFont="1" applyFill="1" applyBorder="1"/>
    <xf numFmtId="0" fontId="12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3" fillId="7" borderId="0" xfId="0" applyFont="1" applyFill="1"/>
    <xf numFmtId="0" fontId="0" fillId="6" borderId="0" xfId="0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9" fillId="11" borderId="0" xfId="0" applyFont="1" applyFill="1"/>
    <xf numFmtId="0" fontId="19" fillId="7" borderId="0" xfId="0" applyFont="1" applyFill="1"/>
    <xf numFmtId="0" fontId="23" fillId="7" borderId="0" xfId="0" applyFont="1" applyFill="1" applyAlignment="1">
      <alignment horizontal="center" vertical="center"/>
    </xf>
    <xf numFmtId="0" fontId="24" fillId="7" borderId="0" xfId="0" applyFont="1" applyFill="1" applyAlignment="1">
      <alignment horizontal="center" vertical="center"/>
    </xf>
    <xf numFmtId="0" fontId="24" fillId="7" borderId="0" xfId="0" applyFont="1" applyFill="1"/>
    <xf numFmtId="0" fontId="0" fillId="11" borderId="0" xfId="0" applyFill="1"/>
    <xf numFmtId="1" fontId="0" fillId="0" borderId="0" xfId="0" applyNumberFormat="1"/>
    <xf numFmtId="0" fontId="19" fillId="0" borderId="6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16" fontId="12" fillId="6" borderId="2" xfId="0" applyNumberFormat="1" applyFont="1" applyFill="1" applyBorder="1" applyAlignment="1">
      <alignment horizontal="center" vertical="center"/>
    </xf>
    <xf numFmtId="0" fontId="0" fillId="0" borderId="1" xfId="0" applyBorder="1"/>
    <xf numFmtId="38" fontId="12" fillId="0" borderId="0" xfId="0" applyNumberFormat="1" applyFont="1"/>
    <xf numFmtId="0" fontId="12" fillId="0" borderId="0" xfId="0" applyFont="1"/>
    <xf numFmtId="0" fontId="23" fillId="0" borderId="0" xfId="0" applyFont="1"/>
    <xf numFmtId="0" fontId="16" fillId="0" borderId="0" xfId="0" applyFont="1" applyAlignment="1">
      <alignment horizontal="center"/>
    </xf>
    <xf numFmtId="0" fontId="23" fillId="0" borderId="9" xfId="0" applyFont="1" applyBorder="1"/>
    <xf numFmtId="0" fontId="16" fillId="0" borderId="10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6" fillId="7" borderId="10" xfId="0" applyFont="1" applyFill="1" applyBorder="1" applyAlignment="1">
      <alignment horizontal="center" vertical="center"/>
    </xf>
    <xf numFmtId="0" fontId="16" fillId="7" borderId="9" xfId="0" applyFont="1" applyFill="1" applyBorder="1" applyAlignment="1">
      <alignment horizontal="center" vertical="center"/>
    </xf>
    <xf numFmtId="0" fontId="23" fillId="7" borderId="10" xfId="0" applyFont="1" applyFill="1" applyBorder="1" applyAlignment="1">
      <alignment horizontal="center" vertical="center"/>
    </xf>
    <xf numFmtId="0" fontId="16" fillId="7" borderId="0" xfId="0" applyFont="1" applyFill="1" applyAlignment="1">
      <alignment vertical="center"/>
    </xf>
    <xf numFmtId="0" fontId="16" fillId="7" borderId="0" xfId="0" applyFont="1" applyFill="1" applyAlignment="1">
      <alignment horizontal="center"/>
    </xf>
    <xf numFmtId="0" fontId="16" fillId="0" borderId="10" xfId="0" applyFont="1" applyBorder="1" applyAlignment="1">
      <alignment vertical="center"/>
    </xf>
    <xf numFmtId="0" fontId="23" fillId="0" borderId="10" xfId="0" applyFont="1" applyBorder="1"/>
    <xf numFmtId="0" fontId="0" fillId="8" borderId="5" xfId="0" applyFill="1" applyBorder="1"/>
    <xf numFmtId="0" fontId="0" fillId="8" borderId="10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0" xfId="0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4" fontId="17" fillId="10" borderId="10" xfId="0" applyNumberFormat="1" applyFont="1" applyFill="1" applyBorder="1" applyAlignment="1">
      <alignment horizontal="center" vertical="center"/>
    </xf>
    <xf numFmtId="14" fontId="27" fillId="15" borderId="0" xfId="0" applyNumberFormat="1" applyFont="1" applyFill="1" applyAlignment="1">
      <alignment horizontal="center" vertical="center"/>
    </xf>
    <xf numFmtId="16" fontId="12" fillId="4" borderId="2" xfId="0" applyNumberFormat="1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 wrapText="1"/>
    </xf>
    <xf numFmtId="14" fontId="17" fillId="9" borderId="9" xfId="0" applyNumberFormat="1" applyFont="1" applyFill="1" applyBorder="1" applyAlignment="1">
      <alignment horizontal="center" vertical="center"/>
    </xf>
    <xf numFmtId="14" fontId="17" fillId="7" borderId="10" xfId="0" applyNumberFormat="1" applyFont="1" applyFill="1" applyBorder="1" applyAlignment="1">
      <alignment horizontal="center" vertical="center"/>
    </xf>
    <xf numFmtId="16" fontId="12" fillId="6" borderId="52" xfId="0" applyNumberFormat="1" applyFont="1" applyFill="1" applyBorder="1" applyAlignment="1">
      <alignment horizontal="center" vertical="center"/>
    </xf>
    <xf numFmtId="0" fontId="16" fillId="0" borderId="50" xfId="0" applyFont="1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 vertical="center"/>
    </xf>
    <xf numFmtId="16" fontId="12" fillId="6" borderId="4" xfId="0" applyNumberFormat="1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2" fillId="0" borderId="0" xfId="0" applyFont="1" applyAlignment="1">
      <alignment horizontal="center"/>
    </xf>
    <xf numFmtId="38" fontId="12" fillId="0" borderId="0" xfId="0" applyNumberFormat="1" applyFont="1" applyAlignment="1">
      <alignment horizontal="center"/>
    </xf>
    <xf numFmtId="0" fontId="0" fillId="6" borderId="1" xfId="0" applyFill="1" applyBorder="1" applyAlignment="1">
      <alignment horizontal="center"/>
    </xf>
    <xf numFmtId="38" fontId="12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38" fontId="12" fillId="0" borderId="1" xfId="0" applyNumberFormat="1" applyFont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/>
    </xf>
    <xf numFmtId="0" fontId="12" fillId="7" borderId="13" xfId="0" applyFont="1" applyFill="1" applyBorder="1" applyAlignment="1">
      <alignment horizontal="center" vertical="center"/>
    </xf>
    <xf numFmtId="0" fontId="12" fillId="7" borderId="15" xfId="0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4" xfId="0" applyFill="1" applyBorder="1"/>
    <xf numFmtId="0" fontId="0" fillId="7" borderId="13" xfId="0" applyFill="1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1" fontId="12" fillId="0" borderId="26" xfId="0" applyNumberFormat="1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0" fontId="12" fillId="0" borderId="14" xfId="0" applyFont="1" applyBorder="1" applyAlignment="1">
      <alignment horizontal="right" vertical="center"/>
    </xf>
    <xf numFmtId="0" fontId="12" fillId="0" borderId="16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4" fontId="0" fillId="0" borderId="0" xfId="0" applyNumberFormat="1"/>
    <xf numFmtId="44" fontId="0" fillId="0" borderId="21" xfId="0" applyNumberFormat="1" applyBorder="1" applyAlignment="1">
      <alignment horizontal="center" vertical="center"/>
    </xf>
    <xf numFmtId="44" fontId="0" fillId="0" borderId="23" xfId="0" applyNumberFormat="1" applyBorder="1" applyAlignment="1">
      <alignment horizontal="center" vertical="center"/>
    </xf>
    <xf numFmtId="44" fontId="29" fillId="0" borderId="2" xfId="0" applyNumberFormat="1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16" fontId="12" fillId="6" borderId="6" xfId="0" applyNumberFormat="1" applyFont="1" applyFill="1" applyBorder="1" applyAlignment="1">
      <alignment horizontal="center" vertical="center"/>
    </xf>
    <xf numFmtId="0" fontId="0" fillId="12" borderId="0" xfId="0" applyFill="1"/>
    <xf numFmtId="0" fontId="33" fillId="18" borderId="61" xfId="0" applyFont="1" applyFill="1" applyBorder="1" applyAlignment="1">
      <alignment horizontal="center" vertical="center"/>
    </xf>
    <xf numFmtId="0" fontId="33" fillId="18" borderId="62" xfId="0" applyFont="1" applyFill="1" applyBorder="1" applyAlignment="1">
      <alignment horizontal="center" vertical="center"/>
    </xf>
    <xf numFmtId="0" fontId="33" fillId="18" borderId="62" xfId="0" applyFont="1" applyFill="1" applyBorder="1" applyAlignment="1">
      <alignment horizontal="center" vertical="center" wrapText="1"/>
    </xf>
    <xf numFmtId="0" fontId="33" fillId="18" borderId="63" xfId="0" applyFont="1" applyFill="1" applyBorder="1" applyAlignment="1">
      <alignment horizontal="center" vertical="center"/>
    </xf>
    <xf numFmtId="4" fontId="34" fillId="19" borderId="64" xfId="0" applyNumberFormat="1" applyFont="1" applyFill="1" applyBorder="1" applyAlignment="1">
      <alignment vertical="center"/>
    </xf>
    <xf numFmtId="0" fontId="34" fillId="0" borderId="65" xfId="3" applyFont="1" applyBorder="1" applyAlignment="1">
      <alignment horizontal="center" vertical="center"/>
    </xf>
    <xf numFmtId="166" fontId="33" fillId="20" borderId="65" xfId="4" applyNumberFormat="1" applyFont="1" applyFill="1" applyBorder="1" applyAlignment="1">
      <alignment horizontal="center" vertical="center"/>
    </xf>
    <xf numFmtId="166" fontId="34" fillId="19" borderId="65" xfId="0" applyNumberFormat="1" applyFont="1" applyFill="1" applyBorder="1" applyAlignment="1">
      <alignment horizontal="center" vertical="center"/>
    </xf>
    <xf numFmtId="166" fontId="33" fillId="21" borderId="66" xfId="0" applyNumberFormat="1" applyFont="1" applyFill="1" applyBorder="1" applyAlignment="1">
      <alignment horizontal="center" vertical="center"/>
    </xf>
    <xf numFmtId="166" fontId="34" fillId="19" borderId="65" xfId="0" applyNumberFormat="1" applyFont="1" applyFill="1" applyBorder="1" applyAlignment="1">
      <alignment horizontal="center" vertical="center" wrapText="1"/>
    </xf>
    <xf numFmtId="166" fontId="34" fillId="19" borderId="65" xfId="4" applyNumberFormat="1" applyFont="1" applyFill="1" applyBorder="1" applyAlignment="1">
      <alignment horizontal="center" vertical="center"/>
    </xf>
    <xf numFmtId="4" fontId="34" fillId="19" borderId="64" xfId="0" applyNumberFormat="1" applyFont="1" applyFill="1" applyBorder="1" applyAlignment="1">
      <alignment vertical="center" wrapText="1"/>
    </xf>
    <xf numFmtId="0" fontId="35" fillId="0" borderId="65" xfId="3" applyFont="1" applyBorder="1" applyAlignment="1">
      <alignment horizontal="center" vertical="center"/>
    </xf>
    <xf numFmtId="44" fontId="34" fillId="19" borderId="65" xfId="2" applyFont="1" applyFill="1" applyBorder="1" applyAlignment="1">
      <alignment horizontal="center" vertical="center"/>
    </xf>
    <xf numFmtId="166" fontId="33" fillId="20" borderId="68" xfId="0" applyNumberFormat="1" applyFont="1" applyFill="1" applyBorder="1" applyAlignment="1">
      <alignment horizontal="center" vertical="center"/>
    </xf>
    <xf numFmtId="166" fontId="33" fillId="20" borderId="69" xfId="0" applyNumberFormat="1" applyFont="1" applyFill="1" applyBorder="1" applyAlignment="1">
      <alignment horizontal="center" vertical="center"/>
    </xf>
    <xf numFmtId="0" fontId="0" fillId="5" borderId="0" xfId="0" applyFill="1"/>
    <xf numFmtId="0" fontId="34" fillId="18" borderId="70" xfId="0" applyFont="1" applyFill="1" applyBorder="1" applyAlignment="1">
      <alignment horizontal="center" vertical="center"/>
    </xf>
    <xf numFmtId="0" fontId="34" fillId="18" borderId="70" xfId="0" applyFont="1" applyFill="1" applyBorder="1" applyAlignment="1">
      <alignment horizontal="center" vertical="center" wrapText="1"/>
    </xf>
    <xf numFmtId="4" fontId="34" fillId="21" borderId="70" xfId="0" applyNumberFormat="1" applyFont="1" applyFill="1" applyBorder="1" applyAlignment="1">
      <alignment horizontal="center" vertical="center"/>
    </xf>
    <xf numFmtId="3" fontId="34" fillId="0" borderId="70" xfId="0" applyNumberFormat="1" applyFont="1" applyBorder="1" applyAlignment="1">
      <alignment horizontal="center" vertical="center"/>
    </xf>
    <xf numFmtId="3" fontId="34" fillId="0" borderId="70" xfId="0" applyNumberFormat="1" applyFont="1" applyBorder="1" applyAlignment="1">
      <alignment horizontal="center" vertical="center" wrapText="1"/>
    </xf>
    <xf numFmtId="3" fontId="33" fillId="20" borderId="70" xfId="0" applyNumberFormat="1" applyFont="1" applyFill="1" applyBorder="1" applyAlignment="1">
      <alignment horizontal="center" vertical="center"/>
    </xf>
    <xf numFmtId="16" fontId="12" fillId="0" borderId="70" xfId="0" applyNumberFormat="1" applyFont="1" applyBorder="1" applyAlignment="1">
      <alignment horizontal="center" vertical="center"/>
    </xf>
    <xf numFmtId="16" fontId="12" fillId="6" borderId="70" xfId="0" applyNumberFormat="1" applyFont="1" applyFill="1" applyBorder="1" applyAlignment="1">
      <alignment horizontal="center" vertical="center"/>
    </xf>
    <xf numFmtId="16" fontId="12" fillId="7" borderId="75" xfId="0" applyNumberFormat="1" applyFont="1" applyFill="1" applyBorder="1" applyAlignment="1">
      <alignment horizontal="center" vertical="center"/>
    </xf>
    <xf numFmtId="16" fontId="12" fillId="0" borderId="78" xfId="0" applyNumberFormat="1" applyFont="1" applyBorder="1" applyAlignment="1">
      <alignment horizontal="center" vertical="center"/>
    </xf>
    <xf numFmtId="0" fontId="12" fillId="8" borderId="74" xfId="0" applyFont="1" applyFill="1" applyBorder="1" applyAlignment="1">
      <alignment horizontal="center" vertical="center"/>
    </xf>
    <xf numFmtId="16" fontId="12" fillId="0" borderId="76" xfId="0" applyNumberFormat="1" applyFont="1" applyBorder="1" applyAlignment="1">
      <alignment horizontal="center" vertical="center"/>
    </xf>
    <xf numFmtId="16" fontId="12" fillId="0" borderId="71" xfId="0" applyNumberFormat="1" applyFont="1" applyBorder="1" applyAlignment="1">
      <alignment horizontal="center" vertical="center"/>
    </xf>
    <xf numFmtId="16" fontId="12" fillId="0" borderId="72" xfId="0" applyNumberFormat="1" applyFont="1" applyBorder="1" applyAlignment="1">
      <alignment horizontal="center" vertical="center"/>
    </xf>
    <xf numFmtId="16" fontId="12" fillId="0" borderId="73" xfId="0" applyNumberFormat="1" applyFont="1" applyBorder="1" applyAlignment="1">
      <alignment horizontal="center" vertical="center"/>
    </xf>
    <xf numFmtId="16" fontId="12" fillId="6" borderId="72" xfId="0" applyNumberFormat="1" applyFont="1" applyFill="1" applyBorder="1" applyAlignment="1">
      <alignment horizontal="center" vertical="center"/>
    </xf>
    <xf numFmtId="16" fontId="12" fillId="7" borderId="73" xfId="0" applyNumberFormat="1" applyFont="1" applyFill="1" applyBorder="1" applyAlignment="1">
      <alignment horizontal="center" vertical="center"/>
    </xf>
    <xf numFmtId="16" fontId="12" fillId="6" borderId="7" xfId="0" applyNumberFormat="1" applyFont="1" applyFill="1" applyBorder="1" applyAlignment="1">
      <alignment horizontal="center" vertical="center"/>
    </xf>
    <xf numFmtId="0" fontId="38" fillId="0" borderId="1" xfId="1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38" fillId="13" borderId="19" xfId="1" applyFont="1" applyBorder="1" applyAlignment="1">
      <alignment horizontal="center" vertical="center"/>
    </xf>
    <xf numFmtId="0" fontId="38" fillId="13" borderId="1" xfId="1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65" fontId="12" fillId="0" borderId="0" xfId="0" applyNumberFormat="1" applyFont="1"/>
    <xf numFmtId="165" fontId="12" fillId="0" borderId="0" xfId="0" applyNumberFormat="1" applyFont="1" applyAlignment="1">
      <alignment horizontal="center"/>
    </xf>
    <xf numFmtId="165" fontId="0" fillId="0" borderId="1" xfId="0" applyNumberFormat="1" applyBorder="1" applyAlignment="1">
      <alignment horizontal="center" vertical="center"/>
    </xf>
    <xf numFmtId="166" fontId="34" fillId="0" borderId="65" xfId="4" applyNumberFormat="1" applyFont="1" applyBorder="1" applyAlignment="1">
      <alignment horizontal="center" vertical="center"/>
    </xf>
    <xf numFmtId="166" fontId="34" fillId="19" borderId="88" xfId="0" applyNumberFormat="1" applyFont="1" applyFill="1" applyBorder="1" applyAlignment="1">
      <alignment horizontal="center" vertical="center"/>
    </xf>
    <xf numFmtId="3" fontId="45" fillId="25" borderId="64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4" fontId="34" fillId="19" borderId="65" xfId="0" applyNumberFormat="1" applyFont="1" applyFill="1" applyBorder="1" applyAlignment="1">
      <alignment horizontal="center" vertical="center" wrapText="1"/>
    </xf>
    <xf numFmtId="4" fontId="34" fillId="19" borderId="64" xfId="0" applyNumberFormat="1" applyFont="1" applyFill="1" applyBorder="1" applyAlignment="1">
      <alignment horizontal="center" vertical="center"/>
    </xf>
    <xf numFmtId="0" fontId="34" fillId="23" borderId="70" xfId="0" applyFont="1" applyFill="1" applyBorder="1" applyAlignment="1">
      <alignment horizontal="center" vertical="center" wrapText="1"/>
    </xf>
    <xf numFmtId="0" fontId="23" fillId="7" borderId="10" xfId="0" applyFont="1" applyFill="1" applyBorder="1" applyAlignment="1">
      <alignment horizontal="center"/>
    </xf>
    <xf numFmtId="0" fontId="23" fillId="7" borderId="0" xfId="0" applyFont="1" applyFill="1" applyAlignment="1">
      <alignment horizontal="center"/>
    </xf>
    <xf numFmtId="0" fontId="23" fillId="7" borderId="9" xfId="0" applyFont="1" applyFill="1" applyBorder="1" applyAlignment="1">
      <alignment horizontal="center"/>
    </xf>
    <xf numFmtId="0" fontId="23" fillId="7" borderId="13" xfId="0" applyFont="1" applyFill="1" applyBorder="1" applyAlignment="1">
      <alignment horizontal="center"/>
    </xf>
    <xf numFmtId="0" fontId="23" fillId="7" borderId="14" xfId="0" applyFont="1" applyFill="1" applyBorder="1" applyAlignment="1">
      <alignment horizontal="center"/>
    </xf>
    <xf numFmtId="0" fontId="23" fillId="7" borderId="15" xfId="0" applyFon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34" fillId="0" borderId="68" xfId="3" applyFont="1" applyBorder="1" applyAlignment="1">
      <alignment horizontal="center" vertical="center" wrapText="1"/>
    </xf>
    <xf numFmtId="44" fontId="34" fillId="0" borderId="69" xfId="2" applyFont="1" applyBorder="1" applyAlignment="1">
      <alignment horizontal="center" vertical="center" wrapText="1"/>
    </xf>
    <xf numFmtId="44" fontId="34" fillId="0" borderId="68" xfId="2" applyFont="1" applyBorder="1" applyAlignment="1">
      <alignment horizontal="center" vertical="center" wrapText="1"/>
    </xf>
    <xf numFmtId="165" fontId="0" fillId="0" borderId="21" xfId="0" applyNumberFormat="1" applyBorder="1" applyAlignment="1">
      <alignment horizontal="center" vertical="center"/>
    </xf>
    <xf numFmtId="166" fontId="33" fillId="20" borderId="68" xfId="4" applyNumberFormat="1" applyFont="1" applyFill="1" applyBorder="1" applyAlignment="1">
      <alignment horizontal="center" vertical="center"/>
    </xf>
    <xf numFmtId="166" fontId="34" fillId="0" borderId="65" xfId="0" applyNumberFormat="1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 wrapText="1"/>
    </xf>
    <xf numFmtId="44" fontId="34" fillId="0" borderId="0" xfId="2" applyFont="1" applyBorder="1" applyAlignment="1">
      <alignment horizontal="center" vertical="center"/>
    </xf>
    <xf numFmtId="14" fontId="34" fillId="0" borderId="0" xfId="2" applyNumberFormat="1" applyFont="1" applyBorder="1" applyAlignment="1">
      <alignment horizontal="center" vertical="center"/>
    </xf>
    <xf numFmtId="14" fontId="34" fillId="0" borderId="0" xfId="3" applyNumberFormat="1" applyFont="1" applyAlignment="1">
      <alignment horizontal="center" vertical="center" wrapText="1"/>
    </xf>
    <xf numFmtId="0" fontId="0" fillId="0" borderId="54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38" fillId="0" borderId="20" xfId="0" applyFont="1" applyBorder="1" applyAlignment="1">
      <alignment horizontal="center" vertical="center" wrapText="1"/>
    </xf>
    <xf numFmtId="165" fontId="38" fillId="4" borderId="20" xfId="0" applyNumberFormat="1" applyFont="1" applyFill="1" applyBorder="1" applyAlignment="1">
      <alignment horizontal="center" vertical="center" wrapText="1"/>
    </xf>
    <xf numFmtId="165" fontId="38" fillId="14" borderId="20" xfId="0" applyNumberFormat="1" applyFont="1" applyFill="1" applyBorder="1" applyAlignment="1">
      <alignment horizontal="center" vertical="center" wrapText="1"/>
    </xf>
    <xf numFmtId="0" fontId="38" fillId="0" borderId="18" xfId="0" applyFont="1" applyBorder="1" applyAlignment="1">
      <alignment horizontal="center" vertical="center"/>
    </xf>
    <xf numFmtId="0" fontId="34" fillId="0" borderId="93" xfId="0" applyFont="1" applyBorder="1" applyAlignment="1">
      <alignment horizontal="center" vertical="center" wrapText="1"/>
    </xf>
    <xf numFmtId="0" fontId="34" fillId="0" borderId="65" xfId="0" applyFont="1" applyBorder="1" applyAlignment="1">
      <alignment horizontal="center" vertical="center" wrapText="1"/>
    </xf>
    <xf numFmtId="3" fontId="34" fillId="19" borderId="64" xfId="0" applyNumberFormat="1" applyFont="1" applyFill="1" applyBorder="1" applyAlignment="1">
      <alignment horizontal="center" vertical="center"/>
    </xf>
    <xf numFmtId="4" fontId="34" fillId="19" borderId="65" xfId="0" applyNumberFormat="1" applyFont="1" applyFill="1" applyBorder="1" applyAlignment="1">
      <alignment horizontal="center" vertical="center"/>
    </xf>
    <xf numFmtId="3" fontId="33" fillId="20" borderId="68" xfId="0" applyNumberFormat="1" applyFont="1" applyFill="1" applyBorder="1" applyAlignment="1">
      <alignment horizontal="center" vertical="center"/>
    </xf>
    <xf numFmtId="0" fontId="34" fillId="18" borderId="102" xfId="0" applyFont="1" applyFill="1" applyBorder="1" applyAlignment="1">
      <alignment horizontal="center" vertical="center"/>
    </xf>
    <xf numFmtId="0" fontId="34" fillId="18" borderId="62" xfId="0" applyFont="1" applyFill="1" applyBorder="1" applyAlignment="1">
      <alignment horizontal="center" vertical="center"/>
    </xf>
    <xf numFmtId="168" fontId="34" fillId="18" borderId="104" xfId="0" applyNumberFormat="1" applyFont="1" applyFill="1" applyBorder="1" applyAlignment="1">
      <alignment horizontal="center" vertical="center"/>
    </xf>
    <xf numFmtId="168" fontId="34" fillId="18" borderId="92" xfId="0" applyNumberFormat="1" applyFont="1" applyFill="1" applyBorder="1" applyAlignment="1">
      <alignment horizontal="center" vertical="center"/>
    </xf>
    <xf numFmtId="3" fontId="34" fillId="19" borderId="65" xfId="4" applyNumberFormat="1" applyFont="1" applyFill="1" applyBorder="1" applyAlignment="1">
      <alignment vertical="center"/>
    </xf>
    <xf numFmtId="3" fontId="34" fillId="19" borderId="65" xfId="0" applyNumberFormat="1" applyFont="1" applyFill="1" applyBorder="1" applyAlignment="1">
      <alignment horizontal="center" vertical="center"/>
    </xf>
    <xf numFmtId="3" fontId="34" fillId="21" borderId="66" xfId="0" applyNumberFormat="1" applyFont="1" applyFill="1" applyBorder="1" applyAlignment="1">
      <alignment horizontal="center" vertical="center"/>
    </xf>
    <xf numFmtId="3" fontId="34" fillId="19" borderId="105" xfId="0" applyNumberFormat="1" applyFont="1" applyFill="1" applyBorder="1" applyAlignment="1">
      <alignment horizontal="center" vertical="center"/>
    </xf>
    <xf numFmtId="3" fontId="34" fillId="21" borderId="106" xfId="0" applyNumberFormat="1" applyFont="1" applyFill="1" applyBorder="1" applyAlignment="1">
      <alignment horizontal="center" vertical="center"/>
    </xf>
    <xf numFmtId="3" fontId="34" fillId="19" borderId="64" xfId="4" applyNumberFormat="1" applyFont="1" applyFill="1" applyBorder="1" applyAlignment="1">
      <alignment vertical="center"/>
    </xf>
    <xf numFmtId="3" fontId="34" fillId="19" borderId="65" xfId="0" applyNumberFormat="1" applyFont="1" applyFill="1" applyBorder="1" applyAlignment="1">
      <alignment horizontal="center" vertical="center" wrapText="1"/>
    </xf>
    <xf numFmtId="3" fontId="34" fillId="19" borderId="105" xfId="0" applyNumberFormat="1" applyFont="1" applyFill="1" applyBorder="1" applyAlignment="1">
      <alignment horizontal="center" vertical="center" wrapText="1"/>
    </xf>
    <xf numFmtId="3" fontId="34" fillId="19" borderId="65" xfId="4" applyNumberFormat="1" applyFont="1" applyFill="1" applyBorder="1" applyAlignment="1">
      <alignment horizontal="center" vertical="center"/>
    </xf>
    <xf numFmtId="3" fontId="34" fillId="19" borderId="105" xfId="4" applyNumberFormat="1" applyFont="1" applyFill="1" applyBorder="1" applyAlignment="1">
      <alignment horizontal="center" vertical="center"/>
    </xf>
    <xf numFmtId="3" fontId="34" fillId="19" borderId="64" xfId="4" applyNumberFormat="1" applyFont="1" applyFill="1" applyBorder="1" applyAlignment="1">
      <alignment horizontal="center" vertical="center"/>
    </xf>
    <xf numFmtId="3" fontId="33" fillId="20" borderId="69" xfId="0" applyNumberFormat="1" applyFont="1" applyFill="1" applyBorder="1" applyAlignment="1">
      <alignment horizontal="center" vertical="center"/>
    </xf>
    <xf numFmtId="3" fontId="33" fillId="20" borderId="67" xfId="0" applyNumberFormat="1" applyFont="1" applyFill="1" applyBorder="1" applyAlignment="1">
      <alignment horizontal="center" vertical="center"/>
    </xf>
    <xf numFmtId="3" fontId="33" fillId="20" borderId="107" xfId="0" applyNumberFormat="1" applyFont="1" applyFill="1" applyBorder="1" applyAlignment="1">
      <alignment horizontal="center" vertical="center"/>
    </xf>
    <xf numFmtId="3" fontId="33" fillId="20" borderId="108" xfId="0" applyNumberFormat="1" applyFont="1" applyFill="1" applyBorder="1" applyAlignment="1">
      <alignment horizontal="center" vertical="center"/>
    </xf>
    <xf numFmtId="14" fontId="17" fillId="0" borderId="6" xfId="0" applyNumberFormat="1" applyFont="1" applyBorder="1" applyAlignment="1">
      <alignment horizontal="center" vertical="center"/>
    </xf>
    <xf numFmtId="14" fontId="0" fillId="0" borderId="0" xfId="0" applyNumberFormat="1"/>
    <xf numFmtId="14" fontId="17" fillId="7" borderId="9" xfId="0" applyNumberFormat="1" applyFont="1" applyFill="1" applyBorder="1" applyAlignment="1">
      <alignment horizontal="center" vertical="center"/>
    </xf>
    <xf numFmtId="16" fontId="12" fillId="6" borderId="110" xfId="0" applyNumberFormat="1" applyFont="1" applyFill="1" applyBorder="1" applyAlignment="1">
      <alignment horizontal="center" vertical="center"/>
    </xf>
    <xf numFmtId="14" fontId="17" fillId="0" borderId="10" xfId="0" applyNumberFormat="1" applyFont="1" applyBorder="1" applyAlignment="1">
      <alignment vertic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14" fontId="18" fillId="8" borderId="1" xfId="0" applyNumberFormat="1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 wrapText="1"/>
    </xf>
    <xf numFmtId="14" fontId="17" fillId="10" borderId="6" xfId="0" applyNumberFormat="1" applyFont="1" applyFill="1" applyBorder="1" applyAlignment="1">
      <alignment horizontal="center" vertical="center"/>
    </xf>
    <xf numFmtId="1" fontId="38" fillId="0" borderId="1" xfId="1" applyNumberFormat="1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38" fillId="0" borderId="19" xfId="1" applyFont="1" applyFill="1" applyBorder="1" applyAlignment="1">
      <alignment horizontal="center" vertical="center"/>
    </xf>
    <xf numFmtId="0" fontId="11" fillId="2" borderId="111" xfId="0" applyFont="1" applyFill="1" applyBorder="1" applyAlignment="1">
      <alignment horizontal="center" vertical="center"/>
    </xf>
    <xf numFmtId="0" fontId="11" fillId="2" borderId="112" xfId="0" applyFont="1" applyFill="1" applyBorder="1" applyAlignment="1">
      <alignment horizontal="center" vertical="center"/>
    </xf>
    <xf numFmtId="0" fontId="19" fillId="0" borderId="114" xfId="0" applyFont="1" applyBorder="1" applyAlignment="1">
      <alignment horizontal="center" vertical="center"/>
    </xf>
    <xf numFmtId="0" fontId="0" fillId="0" borderId="114" xfId="0" applyBorder="1" applyAlignment="1">
      <alignment horizontal="center" vertical="center" wrapText="1"/>
    </xf>
    <xf numFmtId="0" fontId="19" fillId="16" borderId="114" xfId="0" applyFont="1" applyFill="1" applyBorder="1" applyAlignment="1">
      <alignment horizontal="center" vertical="center"/>
    </xf>
    <xf numFmtId="0" fontId="19" fillId="0" borderId="116" xfId="0" applyFont="1" applyBorder="1" applyAlignment="1">
      <alignment horizontal="center" vertical="center"/>
    </xf>
    <xf numFmtId="0" fontId="19" fillId="0" borderId="117" xfId="0" applyFont="1" applyBorder="1" applyAlignment="1">
      <alignment horizontal="center" vertical="center"/>
    </xf>
    <xf numFmtId="0" fontId="19" fillId="0" borderId="123" xfId="0" applyFont="1" applyBorder="1" applyAlignment="1">
      <alignment horizontal="center" vertical="center"/>
    </xf>
    <xf numFmtId="0" fontId="38" fillId="13" borderId="25" xfId="1" applyFont="1" applyBorder="1" applyAlignment="1">
      <alignment horizontal="center" vertical="center"/>
    </xf>
    <xf numFmtId="14" fontId="38" fillId="0" borderId="1" xfId="1" applyNumberFormat="1" applyFont="1" applyFill="1" applyBorder="1" applyAlignment="1">
      <alignment horizontal="center" vertical="center"/>
    </xf>
    <xf numFmtId="0" fontId="0" fillId="3" borderId="10" xfId="0" applyFill="1" applyBorder="1"/>
    <xf numFmtId="0" fontId="0" fillId="3" borderId="10" xfId="0" applyFill="1" applyBorder="1" applyAlignment="1">
      <alignment horizontal="center"/>
    </xf>
    <xf numFmtId="0" fontId="0" fillId="3" borderId="13" xfId="0" applyFill="1" applyBorder="1"/>
    <xf numFmtId="0" fontId="34" fillId="0" borderId="97" xfId="0" applyFont="1" applyBorder="1" applyAlignment="1">
      <alignment horizontal="center" vertical="center"/>
    </xf>
    <xf numFmtId="0" fontId="34" fillId="0" borderId="64" xfId="0" applyFont="1" applyBorder="1" applyAlignment="1">
      <alignment horizontal="center" vertical="center"/>
    </xf>
    <xf numFmtId="4" fontId="45" fillId="25" borderId="105" xfId="0" applyNumberFormat="1" applyFont="1" applyFill="1" applyBorder="1" applyAlignment="1">
      <alignment horizontal="center" vertical="center"/>
    </xf>
    <xf numFmtId="3" fontId="34" fillId="8" borderId="65" xfId="0" applyNumberFormat="1" applyFont="1" applyFill="1" applyBorder="1" applyAlignment="1">
      <alignment horizontal="center" vertical="center"/>
    </xf>
    <xf numFmtId="3" fontId="34" fillId="8" borderId="65" xfId="0" applyNumberFormat="1" applyFont="1" applyFill="1" applyBorder="1" applyAlignment="1">
      <alignment horizontal="center" vertical="center" wrapText="1"/>
    </xf>
    <xf numFmtId="3" fontId="34" fillId="8" borderId="65" xfId="4" applyNumberFormat="1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14" fontId="18" fillId="3" borderId="1" xfId="0" applyNumberFormat="1" applyFont="1" applyFill="1" applyBorder="1" applyAlignment="1">
      <alignment horizontal="center" vertical="center"/>
    </xf>
    <xf numFmtId="0" fontId="0" fillId="5" borderId="9" xfId="0" applyFill="1" applyBorder="1"/>
    <xf numFmtId="0" fontId="0" fillId="5" borderId="10" xfId="0" applyFill="1" applyBorder="1" applyAlignment="1">
      <alignment horizontal="center"/>
    </xf>
    <xf numFmtId="0" fontId="23" fillId="5" borderId="0" xfId="0" applyFont="1" applyFill="1"/>
    <xf numFmtId="0" fontId="16" fillId="5" borderId="0" xfId="0" applyFont="1" applyFill="1" applyAlignment="1">
      <alignment horizontal="center"/>
    </xf>
    <xf numFmtId="0" fontId="23" fillId="5" borderId="9" xfId="0" applyFont="1" applyFill="1" applyBorder="1"/>
    <xf numFmtId="0" fontId="38" fillId="7" borderId="1" xfId="1" applyFont="1" applyFill="1" applyBorder="1" applyAlignment="1">
      <alignment horizontal="center" vertical="center"/>
    </xf>
    <xf numFmtId="0" fontId="38" fillId="7" borderId="19" xfId="1" applyFont="1" applyFill="1" applyBorder="1" applyAlignment="1">
      <alignment horizontal="center" vertical="center"/>
    </xf>
    <xf numFmtId="169" fontId="12" fillId="0" borderId="0" xfId="0" applyNumberFormat="1" applyFont="1"/>
    <xf numFmtId="165" fontId="16" fillId="0" borderId="85" xfId="0" applyNumberFormat="1" applyFont="1" applyBorder="1" applyAlignment="1">
      <alignment horizontal="center"/>
    </xf>
    <xf numFmtId="0" fontId="12" fillId="5" borderId="0" xfId="0" applyFont="1" applyFill="1"/>
    <xf numFmtId="165" fontId="0" fillId="0" borderId="10" xfId="0" applyNumberFormat="1" applyBorder="1"/>
    <xf numFmtId="165" fontId="0" fillId="0" borderId="9" xfId="0" applyNumberFormat="1" applyBorder="1"/>
    <xf numFmtId="165" fontId="0" fillId="0" borderId="5" xfId="0" applyNumberFormat="1" applyBorder="1"/>
    <xf numFmtId="165" fontId="0" fillId="0" borderId="8" xfId="0" applyNumberFormat="1" applyBorder="1"/>
    <xf numFmtId="169" fontId="12" fillId="0" borderId="10" xfId="0" applyNumberFormat="1" applyFont="1" applyBorder="1"/>
    <xf numFmtId="169" fontId="12" fillId="12" borderId="9" xfId="0" applyNumberFormat="1" applyFont="1" applyFill="1" applyBorder="1"/>
    <xf numFmtId="0" fontId="0" fillId="0" borderId="19" xfId="0" applyBorder="1" applyAlignment="1">
      <alignment horizontal="center" vertical="center"/>
    </xf>
    <xf numFmtId="0" fontId="16" fillId="0" borderId="51" xfId="0" applyFont="1" applyBorder="1" applyAlignment="1">
      <alignment horizontal="center" vertical="center"/>
    </xf>
    <xf numFmtId="14" fontId="38" fillId="0" borderId="19" xfId="1" applyNumberFormat="1" applyFont="1" applyFill="1" applyBorder="1" applyAlignment="1">
      <alignment horizontal="center" vertical="center"/>
    </xf>
    <xf numFmtId="14" fontId="38" fillId="0" borderId="25" xfId="1" applyNumberFormat="1" applyFont="1" applyFill="1" applyBorder="1" applyAlignment="1">
      <alignment horizontal="center" vertical="center"/>
    </xf>
    <xf numFmtId="14" fontId="38" fillId="0" borderId="26" xfId="1" applyNumberFormat="1" applyFont="1" applyFill="1" applyBorder="1" applyAlignment="1">
      <alignment horizontal="center" vertical="center"/>
    </xf>
    <xf numFmtId="0" fontId="0" fillId="0" borderId="133" xfId="0" applyBorder="1" applyAlignment="1">
      <alignment horizontal="center"/>
    </xf>
    <xf numFmtId="1" fontId="0" fillId="0" borderId="134" xfId="0" applyNumberFormat="1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135" xfId="0" applyBorder="1" applyAlignment="1">
      <alignment horizontal="center"/>
    </xf>
    <xf numFmtId="165" fontId="0" fillId="0" borderId="20" xfId="0" applyNumberFormat="1" applyBorder="1" applyAlignment="1">
      <alignment horizontal="center" vertical="center"/>
    </xf>
    <xf numFmtId="165" fontId="29" fillId="0" borderId="28" xfId="0" applyNumberFormat="1" applyFont="1" applyBorder="1" applyAlignment="1">
      <alignment horizontal="center" vertical="center"/>
    </xf>
    <xf numFmtId="165" fontId="29" fillId="0" borderId="29" xfId="0" applyNumberFormat="1" applyFont="1" applyBorder="1" applyAlignment="1">
      <alignment horizontal="center" vertical="center"/>
    </xf>
    <xf numFmtId="165" fontId="29" fillId="0" borderId="30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7" borderId="7" xfId="0" applyFill="1" applyBorder="1"/>
    <xf numFmtId="165" fontId="12" fillId="0" borderId="20" xfId="0" applyNumberFormat="1" applyFon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165" fontId="0" fillId="5" borderId="20" xfId="2" applyNumberFormat="1" applyFont="1" applyFill="1" applyBorder="1" applyAlignment="1">
      <alignment horizontal="center" vertical="center"/>
    </xf>
    <xf numFmtId="165" fontId="0" fillId="5" borderId="20" xfId="0" applyNumberFormat="1" applyFill="1" applyBorder="1" applyAlignment="1">
      <alignment horizontal="center" vertical="center"/>
    </xf>
    <xf numFmtId="44" fontId="0" fillId="0" borderId="20" xfId="0" applyNumberFormat="1" applyBorder="1" applyAlignment="1">
      <alignment horizontal="center" vertical="center"/>
    </xf>
    <xf numFmtId="0" fontId="25" fillId="0" borderId="0" xfId="0" applyFont="1"/>
    <xf numFmtId="0" fontId="25" fillId="0" borderId="7" xfId="0" applyFont="1" applyBorder="1"/>
    <xf numFmtId="0" fontId="0" fillId="0" borderId="138" xfId="0" applyBorder="1" applyAlignment="1">
      <alignment horizontal="center" vertical="center"/>
    </xf>
    <xf numFmtId="0" fontId="12" fillId="0" borderId="139" xfId="0" applyFont="1" applyBorder="1" applyAlignment="1">
      <alignment horizontal="center" vertical="center" wrapText="1"/>
    </xf>
    <xf numFmtId="0" fontId="12" fillId="0" borderId="140" xfId="0" applyFont="1" applyBorder="1" applyAlignment="1">
      <alignment horizontal="center" vertical="center" wrapText="1"/>
    </xf>
    <xf numFmtId="0" fontId="12" fillId="0" borderId="141" xfId="0" applyFont="1" applyBorder="1" applyAlignment="1">
      <alignment horizontal="center" vertical="center" wrapText="1"/>
    </xf>
    <xf numFmtId="44" fontId="25" fillId="0" borderId="2" xfId="0" applyNumberFormat="1" applyFont="1" applyBorder="1"/>
    <xf numFmtId="44" fontId="25" fillId="0" borderId="0" xfId="0" applyNumberFormat="1" applyFont="1"/>
    <xf numFmtId="16" fontId="12" fillId="0" borderId="1" xfId="0" applyNumberFormat="1" applyFont="1" applyBorder="1" applyAlignment="1">
      <alignment horizontal="center" vertical="center"/>
    </xf>
    <xf numFmtId="167" fontId="0" fillId="0" borderId="1" xfId="0" applyNumberFormat="1" applyBorder="1"/>
    <xf numFmtId="16" fontId="12" fillId="0" borderId="2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167" fontId="0" fillId="0" borderId="19" xfId="0" applyNumberFormat="1" applyBorder="1" applyAlignment="1">
      <alignment horizontal="center" vertical="center"/>
    </xf>
    <xf numFmtId="0" fontId="48" fillId="0" borderId="19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5" fontId="16" fillId="0" borderId="1" xfId="0" applyNumberFormat="1" applyFont="1" applyBorder="1" applyAlignment="1">
      <alignment horizontal="center"/>
    </xf>
    <xf numFmtId="0" fontId="0" fillId="2" borderId="1" xfId="0" applyFill="1" applyBorder="1"/>
    <xf numFmtId="167" fontId="0" fillId="2" borderId="1" xfId="0" applyNumberFormat="1" applyFill="1" applyBorder="1" applyAlignment="1">
      <alignment horizontal="center"/>
    </xf>
    <xf numFmtId="167" fontId="12" fillId="0" borderId="14" xfId="0" applyNumberFormat="1" applyFont="1" applyBorder="1" applyAlignment="1">
      <alignment horizontal="center" vertical="center"/>
    </xf>
    <xf numFmtId="167" fontId="12" fillId="0" borderId="1" xfId="0" applyNumberFormat="1" applyFont="1" applyBorder="1" applyAlignment="1">
      <alignment horizontal="center"/>
    </xf>
    <xf numFmtId="169" fontId="12" fillId="0" borderId="1" xfId="0" applyNumberFormat="1" applyFont="1" applyBorder="1"/>
    <xf numFmtId="165" fontId="0" fillId="0" borderId="1" xfId="0" applyNumberFormat="1" applyBorder="1"/>
    <xf numFmtId="165" fontId="0" fillId="5" borderId="1" xfId="0" applyNumberFormat="1" applyFill="1" applyBorder="1"/>
    <xf numFmtId="165" fontId="16" fillId="0" borderId="19" xfId="0" applyNumberFormat="1" applyFon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9" fontId="12" fillId="0" borderId="21" xfId="0" applyNumberFormat="1" applyFont="1" applyBorder="1"/>
    <xf numFmtId="165" fontId="0" fillId="0" borderId="21" xfId="0" applyNumberFormat="1" applyBorder="1"/>
    <xf numFmtId="165" fontId="12" fillId="0" borderId="29" xfId="0" applyNumberFormat="1" applyFont="1" applyBorder="1" applyAlignment="1">
      <alignment horizontal="center" vertical="center"/>
    </xf>
    <xf numFmtId="4" fontId="34" fillId="0" borderId="1" xfId="0" applyNumberFormat="1" applyFont="1" applyBorder="1" applyAlignment="1">
      <alignment horizontal="center" vertical="center"/>
    </xf>
    <xf numFmtId="16" fontId="12" fillId="4" borderId="3" xfId="0" applyNumberFormat="1" applyFont="1" applyFill="1" applyBorder="1" applyAlignment="1">
      <alignment horizontal="center" vertical="center"/>
    </xf>
    <xf numFmtId="0" fontId="40" fillId="28" borderId="1" xfId="0" applyFont="1" applyFill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38" fillId="27" borderId="1" xfId="1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horizontal="center" vertical="center" wrapText="1"/>
    </xf>
    <xf numFmtId="0" fontId="47" fillId="3" borderId="1" xfId="0" applyFont="1" applyFill="1" applyBorder="1" applyAlignment="1">
      <alignment horizontal="center" vertical="center"/>
    </xf>
    <xf numFmtId="0" fontId="38" fillId="19" borderId="1" xfId="1" applyFont="1" applyFill="1" applyBorder="1" applyAlignment="1">
      <alignment horizontal="center" vertical="center"/>
    </xf>
    <xf numFmtId="0" fontId="18" fillId="19" borderId="1" xfId="0" applyFont="1" applyFill="1" applyBorder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14" fontId="17" fillId="0" borderId="14" xfId="0" applyNumberFormat="1" applyFont="1" applyBorder="1" applyAlignment="1">
      <alignment horizontal="center" vertical="center"/>
    </xf>
    <xf numFmtId="14" fontId="17" fillId="19" borderId="0" xfId="0" applyNumberFormat="1" applyFont="1" applyFill="1" applyAlignment="1">
      <alignment horizontal="center" vertical="center"/>
    </xf>
    <xf numFmtId="14" fontId="17" fillId="0" borderId="9" xfId="0" applyNumberFormat="1" applyFont="1" applyBorder="1" applyAlignment="1">
      <alignment vertical="center"/>
    </xf>
    <xf numFmtId="14" fontId="17" fillId="6" borderId="0" xfId="0" applyNumberFormat="1" applyFont="1" applyFill="1" applyAlignment="1">
      <alignment horizontal="center" vertical="center"/>
    </xf>
    <xf numFmtId="14" fontId="17" fillId="10" borderId="9" xfId="0" applyNumberFormat="1" applyFont="1" applyFill="1" applyBorder="1" applyAlignment="1">
      <alignment horizontal="center" vertical="center"/>
    </xf>
    <xf numFmtId="0" fontId="38" fillId="6" borderId="1" xfId="1" applyFont="1" applyFill="1" applyBorder="1" applyAlignment="1">
      <alignment horizontal="center" vertical="center"/>
    </xf>
    <xf numFmtId="0" fontId="12" fillId="0" borderId="60" xfId="0" applyFont="1" applyBorder="1"/>
    <xf numFmtId="44" fontId="34" fillId="0" borderId="68" xfId="2" applyFont="1" applyFill="1" applyBorder="1" applyAlignment="1">
      <alignment horizontal="center" vertical="center" wrapText="1"/>
    </xf>
    <xf numFmtId="169" fontId="12" fillId="0" borderId="9" xfId="0" applyNumberFormat="1" applyFont="1" applyBorder="1"/>
    <xf numFmtId="165" fontId="0" fillId="0" borderId="14" xfId="0" applyNumberFormat="1" applyBorder="1"/>
    <xf numFmtId="165" fontId="0" fillId="0" borderId="15" xfId="0" applyNumberFormat="1" applyBorder="1"/>
    <xf numFmtId="166" fontId="34" fillId="0" borderId="65" xfId="4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165" fontId="38" fillId="0" borderId="20" xfId="0" applyNumberFormat="1" applyFont="1" applyBorder="1" applyAlignment="1">
      <alignment horizontal="center" vertical="center" wrapText="1"/>
    </xf>
    <xf numFmtId="4" fontId="34" fillId="0" borderId="65" xfId="0" applyNumberFormat="1" applyFont="1" applyBorder="1" applyAlignment="1">
      <alignment horizontal="center" vertical="center" wrapText="1"/>
    </xf>
    <xf numFmtId="3" fontId="34" fillId="19" borderId="155" xfId="0" applyNumberFormat="1" applyFont="1" applyFill="1" applyBorder="1" applyAlignment="1">
      <alignment horizontal="center" vertical="center"/>
    </xf>
    <xf numFmtId="4" fontId="34" fillId="19" borderId="156" xfId="0" applyNumberFormat="1" applyFont="1" applyFill="1" applyBorder="1" applyAlignment="1">
      <alignment horizontal="center" vertical="center"/>
    </xf>
    <xf numFmtId="3" fontId="34" fillId="19" borderId="157" xfId="4" applyNumberFormat="1" applyFont="1" applyFill="1" applyBorder="1" applyAlignment="1">
      <alignment vertical="center"/>
    </xf>
    <xf numFmtId="3" fontId="34" fillId="19" borderId="89" xfId="4" applyNumberFormat="1" applyFont="1" applyFill="1" applyBorder="1" applyAlignment="1">
      <alignment vertical="center"/>
    </xf>
    <xf numFmtId="3" fontId="34" fillId="19" borderId="89" xfId="4" applyNumberFormat="1" applyFont="1" applyFill="1" applyBorder="1" applyAlignment="1">
      <alignment horizontal="center" vertical="center"/>
    </xf>
    <xf numFmtId="3" fontId="34" fillId="21" borderId="94" xfId="0" applyNumberFormat="1" applyFont="1" applyFill="1" applyBorder="1" applyAlignment="1">
      <alignment horizontal="center" vertical="center"/>
    </xf>
    <xf numFmtId="3" fontId="34" fillId="21" borderId="158" xfId="0" applyNumberFormat="1" applyFont="1" applyFill="1" applyBorder="1" applyAlignment="1">
      <alignment horizontal="center" vertical="center"/>
    </xf>
    <xf numFmtId="3" fontId="34" fillId="19" borderId="159" xfId="4" applyNumberFormat="1" applyFont="1" applyFill="1" applyBorder="1" applyAlignment="1">
      <alignment vertical="center"/>
    </xf>
    <xf numFmtId="3" fontId="34" fillId="19" borderId="157" xfId="0" applyNumberFormat="1" applyFont="1" applyFill="1" applyBorder="1" applyAlignment="1">
      <alignment horizontal="center" vertical="center"/>
    </xf>
    <xf numFmtId="3" fontId="34" fillId="19" borderId="89" xfId="0" applyNumberFormat="1" applyFont="1" applyFill="1" applyBorder="1" applyAlignment="1">
      <alignment horizontal="center" vertical="center"/>
    </xf>
    <xf numFmtId="3" fontId="34" fillId="8" borderId="89" xfId="4" applyNumberFormat="1" applyFont="1" applyFill="1" applyBorder="1" applyAlignment="1">
      <alignment horizontal="center" vertical="center"/>
    </xf>
    <xf numFmtId="3" fontId="34" fillId="0" borderId="65" xfId="0" applyNumberFormat="1" applyFont="1" applyBorder="1" applyAlignment="1">
      <alignment horizontal="center" vertical="center"/>
    </xf>
    <xf numFmtId="3" fontId="34" fillId="0" borderId="65" xfId="0" applyNumberFormat="1" applyFont="1" applyBorder="1" applyAlignment="1">
      <alignment horizontal="center" vertical="center" wrapText="1"/>
    </xf>
    <xf numFmtId="3" fontId="34" fillId="0" borderId="89" xfId="0" applyNumberFormat="1" applyFont="1" applyBorder="1" applyAlignment="1">
      <alignment horizontal="center" vertical="center"/>
    </xf>
    <xf numFmtId="3" fontId="34" fillId="0" borderId="64" xfId="0" applyNumberFormat="1" applyFont="1" applyBorder="1" applyAlignment="1">
      <alignment horizontal="center" vertical="center"/>
    </xf>
    <xf numFmtId="3" fontId="34" fillId="0" borderId="64" xfId="0" applyNumberFormat="1" applyFont="1" applyBorder="1" applyAlignment="1">
      <alignment horizontal="center" vertical="center" wrapText="1"/>
    </xf>
    <xf numFmtId="3" fontId="34" fillId="0" borderId="64" xfId="4" applyNumberFormat="1" applyFont="1" applyFill="1" applyBorder="1" applyAlignment="1">
      <alignment horizontal="center" vertical="center"/>
    </xf>
    <xf numFmtId="3" fontId="34" fillId="0" borderId="159" xfId="0" applyNumberFormat="1" applyFont="1" applyBorder="1" applyAlignment="1">
      <alignment horizontal="center" vertical="center"/>
    </xf>
    <xf numFmtId="3" fontId="34" fillId="0" borderId="65" xfId="4" applyNumberFormat="1" applyFont="1" applyFill="1" applyBorder="1" applyAlignment="1">
      <alignment horizontal="center" vertical="center"/>
    </xf>
    <xf numFmtId="3" fontId="34" fillId="0" borderId="89" xfId="4" applyNumberFormat="1" applyFont="1" applyFill="1" applyBorder="1" applyAlignment="1">
      <alignment horizontal="center" vertical="center"/>
    </xf>
    <xf numFmtId="0" fontId="0" fillId="0" borderId="160" xfId="0" applyBorder="1"/>
    <xf numFmtId="0" fontId="0" fillId="0" borderId="161" xfId="0" applyBorder="1"/>
    <xf numFmtId="0" fontId="0" fillId="0" borderId="162" xfId="0" applyBorder="1"/>
    <xf numFmtId="0" fontId="0" fillId="0" borderId="163" xfId="0" applyBorder="1"/>
    <xf numFmtId="3" fontId="33" fillId="20" borderId="95" xfId="0" applyNumberFormat="1" applyFont="1" applyFill="1" applyBorder="1" applyAlignment="1">
      <alignment horizontal="center" vertical="center"/>
    </xf>
    <xf numFmtId="3" fontId="34" fillId="19" borderId="105" xfId="4" applyNumberFormat="1" applyFont="1" applyFill="1" applyBorder="1" applyAlignment="1">
      <alignment vertical="center"/>
    </xf>
    <xf numFmtId="3" fontId="33" fillId="20" borderId="66" xfId="4" applyNumberFormat="1" applyFont="1" applyFill="1" applyBorder="1" applyAlignment="1">
      <alignment horizontal="center" vertical="center"/>
    </xf>
    <xf numFmtId="3" fontId="34" fillId="19" borderId="86" xfId="0" applyNumberFormat="1" applyFont="1" applyFill="1" applyBorder="1" applyAlignment="1">
      <alignment horizontal="center" vertical="center"/>
    </xf>
    <xf numFmtId="4" fontId="34" fillId="19" borderId="87" xfId="0" applyNumberFormat="1" applyFont="1" applyFill="1" applyBorder="1" applyAlignment="1">
      <alignment horizontal="center" vertical="center"/>
    </xf>
    <xf numFmtId="3" fontId="33" fillId="20" borderId="69" xfId="4" applyNumberFormat="1" applyFont="1" applyFill="1" applyBorder="1" applyAlignment="1">
      <alignment horizontal="center" vertical="center"/>
    </xf>
    <xf numFmtId="0" fontId="11" fillId="26" borderId="4" xfId="0" applyFont="1" applyFill="1" applyBorder="1" applyAlignment="1">
      <alignment horizontal="center"/>
    </xf>
    <xf numFmtId="165" fontId="0" fillId="5" borderId="0" xfId="0" applyNumberFormat="1" applyFill="1"/>
    <xf numFmtId="167" fontId="0" fillId="12" borderId="0" xfId="0" applyNumberFormat="1" applyFill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left"/>
    </xf>
    <xf numFmtId="167" fontId="12" fillId="0" borderId="0" xfId="0" applyNumberFormat="1" applyFont="1" applyAlignment="1">
      <alignment horizontal="center"/>
    </xf>
    <xf numFmtId="167" fontId="12" fillId="0" borderId="0" xfId="0" applyNumberFormat="1" applyFont="1"/>
    <xf numFmtId="170" fontId="0" fillId="0" borderId="0" xfId="0" applyNumberFormat="1"/>
    <xf numFmtId="165" fontId="12" fillId="8" borderId="0" xfId="0" applyNumberFormat="1" applyFont="1" applyFill="1"/>
    <xf numFmtId="170" fontId="12" fillId="8" borderId="0" xfId="0" applyNumberFormat="1" applyFont="1" applyFill="1"/>
    <xf numFmtId="167" fontId="12" fillId="0" borderId="5" xfId="0" applyNumberFormat="1" applyFont="1" applyBorder="1"/>
    <xf numFmtId="167" fontId="0" fillId="0" borderId="6" xfId="0" applyNumberFormat="1" applyBorder="1"/>
    <xf numFmtId="165" fontId="0" fillId="0" borderId="6" xfId="0" applyNumberFormat="1" applyBorder="1"/>
    <xf numFmtId="170" fontId="0" fillId="0" borderId="6" xfId="0" applyNumberFormat="1" applyBorder="1"/>
    <xf numFmtId="167" fontId="12" fillId="0" borderId="10" xfId="0" applyNumberFormat="1" applyFont="1" applyBorder="1"/>
    <xf numFmtId="167" fontId="12" fillId="0" borderId="13" xfId="0" applyNumberFormat="1" applyFont="1" applyBorder="1"/>
    <xf numFmtId="167" fontId="12" fillId="8" borderId="14" xfId="0" applyNumberFormat="1" applyFont="1" applyFill="1" applyBorder="1"/>
    <xf numFmtId="165" fontId="12" fillId="8" borderId="14" xfId="0" applyNumberFormat="1" applyFont="1" applyFill="1" applyBorder="1"/>
    <xf numFmtId="170" fontId="12" fillId="8" borderId="14" xfId="0" applyNumberFormat="1" applyFont="1" applyFill="1" applyBorder="1"/>
    <xf numFmtId="167" fontId="0" fillId="0" borderId="3" xfId="0" applyNumberFormat="1" applyBorder="1"/>
    <xf numFmtId="167" fontId="0" fillId="0" borderId="4" xfId="0" applyNumberFormat="1" applyBorder="1"/>
    <xf numFmtId="0" fontId="0" fillId="0" borderId="4" xfId="0" applyBorder="1"/>
    <xf numFmtId="167" fontId="12" fillId="8" borderId="3" xfId="0" applyNumberFormat="1" applyFont="1" applyFill="1" applyBorder="1"/>
    <xf numFmtId="165" fontId="12" fillId="8" borderId="4" xfId="0" applyNumberFormat="1" applyFont="1" applyFill="1" applyBorder="1"/>
    <xf numFmtId="170" fontId="12" fillId="8" borderId="4" xfId="0" applyNumberFormat="1" applyFont="1" applyFill="1" applyBorder="1"/>
    <xf numFmtId="165" fontId="12" fillId="8" borderId="15" xfId="0" applyNumberFormat="1" applyFont="1" applyFill="1" applyBorder="1"/>
    <xf numFmtId="165" fontId="0" fillId="8" borderId="4" xfId="0" applyNumberFormat="1" applyFill="1" applyBorder="1"/>
    <xf numFmtId="165" fontId="12" fillId="8" borderId="2" xfId="0" applyNumberFormat="1" applyFont="1" applyFill="1" applyBorder="1"/>
    <xf numFmtId="165" fontId="12" fillId="0" borderId="6" xfId="0" applyNumberFormat="1" applyFont="1" applyBorder="1"/>
    <xf numFmtId="0" fontId="0" fillId="8" borderId="4" xfId="0" applyFill="1" applyBorder="1"/>
    <xf numFmtId="9" fontId="12" fillId="0" borderId="7" xfId="0" applyNumberFormat="1" applyFont="1" applyBorder="1" applyAlignment="1">
      <alignment horizontal="center" vertical="center"/>
    </xf>
    <xf numFmtId="0" fontId="0" fillId="0" borderId="2" xfId="0" applyBorder="1"/>
    <xf numFmtId="0" fontId="12" fillId="8" borderId="2" xfId="0" applyFont="1" applyFill="1" applyBorder="1"/>
    <xf numFmtId="0" fontId="12" fillId="8" borderId="15" xfId="0" applyFont="1" applyFill="1" applyBorder="1"/>
    <xf numFmtId="0" fontId="0" fillId="8" borderId="15" xfId="0" applyFill="1" applyBorder="1"/>
    <xf numFmtId="165" fontId="12" fillId="5" borderId="0" xfId="0" applyNumberFormat="1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" fontId="12" fillId="0" borderId="21" xfId="0" applyNumberFormat="1" applyFont="1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 vertical="center"/>
    </xf>
    <xf numFmtId="0" fontId="25" fillId="0" borderId="70" xfId="8" applyFont="1" applyBorder="1" applyAlignment="1">
      <alignment horizontal="center" vertical="center"/>
    </xf>
    <xf numFmtId="44" fontId="25" fillId="0" borderId="70" xfId="8" applyNumberFormat="1" applyFont="1" applyBorder="1" applyAlignment="1">
      <alignment horizontal="center" vertical="center"/>
    </xf>
    <xf numFmtId="166" fontId="33" fillId="20" borderId="70" xfId="9" applyNumberFormat="1" applyFont="1" applyFill="1" applyBorder="1" applyAlignment="1">
      <alignment horizontal="center" vertical="center"/>
    </xf>
    <xf numFmtId="166" fontId="34" fillId="21" borderId="70" xfId="9" applyNumberFormat="1" applyFont="1" applyFill="1" applyBorder="1" applyAlignment="1">
      <alignment vertical="center"/>
    </xf>
    <xf numFmtId="3" fontId="34" fillId="0" borderId="70" xfId="9" applyNumberFormat="1" applyFont="1" applyFill="1" applyBorder="1" applyAlignment="1">
      <alignment horizontal="center" vertical="center"/>
    </xf>
    <xf numFmtId="0" fontId="36" fillId="0" borderId="70" xfId="8" applyFont="1" applyBorder="1" applyAlignment="1">
      <alignment horizontal="center" vertical="center" wrapText="1"/>
    </xf>
    <xf numFmtId="0" fontId="25" fillId="0" borderId="1" xfId="8" applyFont="1" applyBorder="1" applyAlignment="1">
      <alignment horizontal="center" vertical="center"/>
    </xf>
    <xf numFmtId="0" fontId="36" fillId="0" borderId="1" xfId="8" applyFont="1" applyBorder="1" applyAlignment="1">
      <alignment horizontal="center" vertical="center" wrapText="1"/>
    </xf>
    <xf numFmtId="166" fontId="33" fillId="20" borderId="1" xfId="9" applyNumberFormat="1" applyFont="1" applyFill="1" applyBorder="1" applyAlignment="1">
      <alignment horizontal="center" vertical="center"/>
    </xf>
    <xf numFmtId="166" fontId="34" fillId="21" borderId="1" xfId="9" applyNumberFormat="1" applyFont="1" applyFill="1" applyBorder="1" applyAlignment="1">
      <alignment vertical="center"/>
    </xf>
    <xf numFmtId="0" fontId="34" fillId="0" borderId="1" xfId="8" applyFont="1" applyBorder="1" applyAlignment="1">
      <alignment horizontal="center" vertical="center" wrapText="1"/>
    </xf>
    <xf numFmtId="44" fontId="49" fillId="0" borderId="146" xfId="0" applyNumberFormat="1" applyFont="1" applyBorder="1" applyAlignment="1">
      <alignment horizontal="center" vertical="center"/>
    </xf>
    <xf numFmtId="44" fontId="49" fillId="0" borderId="147" xfId="0" applyNumberFormat="1" applyFont="1" applyBorder="1" applyAlignment="1">
      <alignment vertical="center"/>
    </xf>
    <xf numFmtId="0" fontId="16" fillId="0" borderId="142" xfId="0" applyFont="1" applyBorder="1" applyAlignment="1">
      <alignment horizontal="center"/>
    </xf>
    <xf numFmtId="1" fontId="16" fillId="0" borderId="142" xfId="0" applyNumberFormat="1" applyFont="1" applyBorder="1" applyAlignment="1">
      <alignment horizontal="center"/>
    </xf>
    <xf numFmtId="1" fontId="16" fillId="0" borderId="144" xfId="0" applyNumberFormat="1" applyFont="1" applyBorder="1" applyAlignment="1">
      <alignment horizontal="center"/>
    </xf>
    <xf numFmtId="167" fontId="0" fillId="0" borderId="0" xfId="0" quotePrefix="1" applyNumberFormat="1"/>
    <xf numFmtId="16" fontId="12" fillId="0" borderId="11" xfId="0" applyNumberFormat="1" applyFont="1" applyBorder="1" applyAlignment="1">
      <alignment horizontal="center" vertical="center"/>
    </xf>
    <xf numFmtId="16" fontId="12" fillId="0" borderId="12" xfId="0" applyNumberFormat="1" applyFont="1" applyBorder="1" applyAlignment="1">
      <alignment horizontal="center" vertical="center"/>
    </xf>
    <xf numFmtId="0" fontId="12" fillId="0" borderId="7" xfId="0" applyFont="1" applyBorder="1"/>
    <xf numFmtId="44" fontId="0" fillId="0" borderId="9" xfId="0" applyNumberFormat="1" applyBorder="1" applyAlignment="1">
      <alignment horizontal="center" vertical="center"/>
    </xf>
    <xf numFmtId="170" fontId="38" fillId="0" borderId="20" xfId="0" applyNumberFormat="1" applyFont="1" applyBorder="1" applyAlignment="1">
      <alignment horizontal="center" vertical="center" wrapText="1"/>
    </xf>
    <xf numFmtId="0" fontId="12" fillId="2" borderId="17" xfId="0" applyFont="1" applyFill="1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12" fillId="0" borderId="169" xfId="0" applyFont="1" applyBorder="1" applyAlignment="1">
      <alignment horizontal="center" vertical="center"/>
    </xf>
    <xf numFmtId="165" fontId="12" fillId="0" borderId="169" xfId="0" applyNumberFormat="1" applyFont="1" applyBorder="1" applyAlignment="1">
      <alignment horizontal="center" vertical="center"/>
    </xf>
    <xf numFmtId="165" fontId="0" fillId="0" borderId="169" xfId="0" applyNumberFormat="1" applyBorder="1" applyAlignment="1">
      <alignment horizontal="center" vertical="center"/>
    </xf>
    <xf numFmtId="165" fontId="12" fillId="0" borderId="16" xfId="0" applyNumberFormat="1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0" fillId="6" borderId="169" xfId="0" applyFill="1" applyBorder="1" applyAlignment="1">
      <alignment horizontal="center" vertical="center"/>
    </xf>
    <xf numFmtId="165" fontId="12" fillId="8" borderId="16" xfId="0" applyNumberFormat="1" applyFont="1" applyFill="1" applyBorder="1" applyAlignment="1">
      <alignment horizontal="center" vertical="center"/>
    </xf>
    <xf numFmtId="0" fontId="38" fillId="8" borderId="18" xfId="0" applyFont="1" applyFill="1" applyBorder="1" applyAlignment="1">
      <alignment horizontal="center" vertical="center"/>
    </xf>
    <xf numFmtId="165" fontId="38" fillId="0" borderId="1" xfId="0" applyNumberFormat="1" applyFont="1" applyBorder="1" applyAlignment="1">
      <alignment horizontal="center" vertical="center"/>
    </xf>
    <xf numFmtId="0" fontId="38" fillId="8" borderId="1" xfId="0" applyFont="1" applyFill="1" applyBorder="1" applyAlignment="1">
      <alignment horizontal="center" vertical="center"/>
    </xf>
    <xf numFmtId="165" fontId="38" fillId="8" borderId="1" xfId="0" applyNumberFormat="1" applyFont="1" applyFill="1" applyBorder="1" applyAlignment="1">
      <alignment horizontal="center" vertical="center"/>
    </xf>
    <xf numFmtId="170" fontId="38" fillId="8" borderId="1" xfId="0" applyNumberFormat="1" applyFont="1" applyFill="1" applyBorder="1" applyAlignment="1">
      <alignment horizontal="center" vertical="center"/>
    </xf>
    <xf numFmtId="17" fontId="0" fillId="0" borderId="0" xfId="0" applyNumberFormat="1"/>
    <xf numFmtId="17" fontId="0" fillId="0" borderId="0" xfId="0" applyNumberFormat="1" applyAlignment="1">
      <alignment horizontal="center"/>
    </xf>
    <xf numFmtId="167" fontId="0" fillId="0" borderId="11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48" fillId="0" borderId="46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" fontId="12" fillId="0" borderId="54" xfId="0" applyNumberFormat="1" applyFont="1" applyBorder="1" applyAlignment="1">
      <alignment horizontal="center" vertical="center"/>
    </xf>
    <xf numFmtId="16" fontId="12" fillId="0" borderId="18" xfId="0" applyNumberFormat="1" applyFont="1" applyBorder="1" applyAlignment="1">
      <alignment horizontal="center" vertical="center"/>
    </xf>
    <xf numFmtId="16" fontId="12" fillId="0" borderId="24" xfId="0" applyNumberFormat="1" applyFon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16" fillId="0" borderId="46" xfId="0" applyNumberFormat="1" applyFont="1" applyBorder="1" applyAlignment="1">
      <alignment horizontal="center"/>
    </xf>
    <xf numFmtId="165" fontId="0" fillId="0" borderId="12" xfId="0" applyNumberFormat="1" applyBorder="1" applyAlignment="1">
      <alignment horizontal="center" vertical="center"/>
    </xf>
    <xf numFmtId="165" fontId="16" fillId="0" borderId="27" xfId="0" applyNumberFormat="1" applyFont="1" applyBorder="1" applyAlignment="1">
      <alignment horizontal="center"/>
    </xf>
    <xf numFmtId="165" fontId="16" fillId="0" borderId="28" xfId="0" applyNumberFormat="1" applyFont="1" applyBorder="1" applyAlignment="1">
      <alignment horizontal="center"/>
    </xf>
    <xf numFmtId="165" fontId="16" fillId="0" borderId="29" xfId="0" applyNumberFormat="1" applyFont="1" applyBorder="1" applyAlignment="1">
      <alignment horizontal="center"/>
    </xf>
    <xf numFmtId="165" fontId="16" fillId="0" borderId="30" xfId="0" applyNumberFormat="1" applyFont="1" applyBorder="1" applyAlignment="1">
      <alignment horizontal="center"/>
    </xf>
    <xf numFmtId="165" fontId="0" fillId="5" borderId="11" xfId="0" applyNumberFormat="1" applyFill="1" applyBorder="1"/>
    <xf numFmtId="165" fontId="0" fillId="0" borderId="11" xfId="0" applyNumberFormat="1" applyBorder="1"/>
    <xf numFmtId="169" fontId="12" fillId="0" borderId="12" xfId="0" applyNumberFormat="1" applyFont="1" applyBorder="1"/>
    <xf numFmtId="165" fontId="0" fillId="0" borderId="12" xfId="0" applyNumberFormat="1" applyBorder="1"/>
    <xf numFmtId="169" fontId="12" fillId="0" borderId="54" xfId="0" applyNumberFormat="1" applyFont="1" applyBorder="1"/>
    <xf numFmtId="169" fontId="12" fillId="0" borderId="18" xfId="0" applyNumberFormat="1" applyFont="1" applyBorder="1"/>
    <xf numFmtId="169" fontId="12" fillId="0" borderId="24" xfId="0" applyNumberFormat="1" applyFont="1" applyBorder="1"/>
    <xf numFmtId="165" fontId="0" fillId="0" borderId="20" xfId="0" applyNumberFormat="1" applyBorder="1"/>
    <xf numFmtId="165" fontId="0" fillId="5" borderId="21" xfId="0" applyNumberFormat="1" applyFill="1" applyBorder="1"/>
    <xf numFmtId="16" fontId="12" fillId="0" borderId="27" xfId="0" applyNumberFormat="1" applyFont="1" applyBorder="1" applyAlignment="1">
      <alignment horizontal="center" vertical="center"/>
    </xf>
    <xf numFmtId="16" fontId="12" fillId="0" borderId="19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65" fontId="0" fillId="5" borderId="20" xfId="0" applyNumberFormat="1" applyFill="1" applyBorder="1"/>
    <xf numFmtId="170" fontId="0" fillId="8" borderId="4" xfId="0" applyNumberFormat="1" applyFill="1" applyBorder="1"/>
    <xf numFmtId="169" fontId="12" fillId="12" borderId="10" xfId="0" applyNumberFormat="1" applyFont="1" applyFill="1" applyBorder="1"/>
    <xf numFmtId="0" fontId="50" fillId="0" borderId="0" xfId="0" applyFont="1" applyAlignment="1">
      <alignment horizontal="center" vertical="center"/>
    </xf>
    <xf numFmtId="0" fontId="33" fillId="18" borderId="1" xfId="0" applyFont="1" applyFill="1" applyBorder="1" applyAlignment="1">
      <alignment horizontal="center" vertical="center"/>
    </xf>
    <xf numFmtId="0" fontId="36" fillId="0" borderId="19" xfId="8" applyFont="1" applyBorder="1" applyAlignment="1">
      <alignment horizontal="center" vertical="center" wrapText="1"/>
    </xf>
    <xf numFmtId="3" fontId="34" fillId="0" borderId="0" xfId="0" applyNumberFormat="1" applyFont="1" applyAlignment="1">
      <alignment horizontal="center" vertical="center"/>
    </xf>
    <xf numFmtId="3" fontId="34" fillId="19" borderId="0" xfId="0" applyNumberFormat="1" applyFont="1" applyFill="1" applyAlignment="1">
      <alignment horizontal="center" vertical="center"/>
    </xf>
    <xf numFmtId="4" fontId="34" fillId="21" borderId="166" xfId="0" applyNumberFormat="1" applyFont="1" applyFill="1" applyBorder="1" applyAlignment="1">
      <alignment horizontal="center" vertical="center"/>
    </xf>
    <xf numFmtId="44" fontId="33" fillId="21" borderId="21" xfId="9" applyFont="1" applyFill="1" applyBorder="1" applyAlignment="1">
      <alignment horizontal="center" vertical="center"/>
    </xf>
    <xf numFmtId="3" fontId="33" fillId="20" borderId="142" xfId="0" applyNumberFormat="1" applyFont="1" applyFill="1" applyBorder="1" applyAlignment="1">
      <alignment horizontal="center" vertical="center"/>
    </xf>
    <xf numFmtId="44" fontId="33" fillId="20" borderId="143" xfId="0" applyNumberFormat="1" applyFont="1" applyFill="1" applyBorder="1" applyAlignment="1">
      <alignment horizontal="center" vertical="center"/>
    </xf>
    <xf numFmtId="44" fontId="33" fillId="20" borderId="144" xfId="0" applyNumberFormat="1" applyFont="1" applyFill="1" applyBorder="1" applyAlignment="1">
      <alignment horizontal="center" vertical="center"/>
    </xf>
    <xf numFmtId="0" fontId="33" fillId="20" borderId="70" xfId="9" applyNumberFormat="1" applyFont="1" applyFill="1" applyBorder="1" applyAlignment="1">
      <alignment horizontal="center" vertical="center"/>
    </xf>
    <xf numFmtId="0" fontId="33" fillId="21" borderId="21" xfId="9" applyNumberFormat="1" applyFont="1" applyFill="1" applyBorder="1" applyAlignment="1">
      <alignment horizontal="center" vertical="center"/>
    </xf>
    <xf numFmtId="4" fontId="34" fillId="0" borderId="70" xfId="9" applyNumberFormat="1" applyFont="1" applyFill="1" applyBorder="1" applyAlignment="1">
      <alignment horizontal="center" vertical="center"/>
    </xf>
    <xf numFmtId="4" fontId="34" fillId="0" borderId="70" xfId="0" applyNumberFormat="1" applyFont="1" applyBorder="1" applyAlignment="1">
      <alignment horizontal="center" vertical="center" wrapText="1"/>
    </xf>
    <xf numFmtId="4" fontId="34" fillId="0" borderId="70" xfId="0" applyNumberFormat="1" applyFont="1" applyBorder="1" applyAlignment="1">
      <alignment horizontal="center" vertical="center"/>
    </xf>
    <xf numFmtId="1" fontId="33" fillId="20" borderId="70" xfId="9" applyNumberFormat="1" applyFont="1" applyFill="1" applyBorder="1" applyAlignment="1">
      <alignment horizontal="center" vertical="center"/>
    </xf>
    <xf numFmtId="0" fontId="25" fillId="0" borderId="109" xfId="8" applyFont="1" applyBorder="1" applyAlignment="1">
      <alignment horizontal="center" vertical="center"/>
    </xf>
    <xf numFmtId="44" fontId="25" fillId="0" borderId="0" xfId="8" applyNumberFormat="1" applyFont="1" applyAlignment="1">
      <alignment horizontal="center" vertical="center"/>
    </xf>
    <xf numFmtId="166" fontId="34" fillId="21" borderId="19" xfId="9" applyNumberFormat="1" applyFont="1" applyFill="1" applyBorder="1" applyAlignment="1">
      <alignment vertical="center"/>
    </xf>
    <xf numFmtId="0" fontId="34" fillId="22" borderId="152" xfId="0" applyFont="1" applyFill="1" applyBorder="1" applyAlignment="1">
      <alignment horizontal="center" vertical="center"/>
    </xf>
    <xf numFmtId="0" fontId="37" fillId="0" borderId="152" xfId="0" applyFont="1" applyBorder="1"/>
    <xf numFmtId="0" fontId="37" fillId="0" borderId="165" xfId="0" applyFont="1" applyBorder="1"/>
    <xf numFmtId="0" fontId="34" fillId="18" borderId="142" xfId="0" applyFont="1" applyFill="1" applyBorder="1" applyAlignment="1">
      <alignment horizontal="center" vertical="center"/>
    </xf>
    <xf numFmtId="0" fontId="25" fillId="0" borderId="166" xfId="8" applyFont="1" applyBorder="1" applyAlignment="1">
      <alignment horizontal="center" vertical="center" wrapText="1"/>
    </xf>
    <xf numFmtId="44" fontId="33" fillId="21" borderId="142" xfId="9" applyFont="1" applyFill="1" applyBorder="1" applyAlignment="1">
      <alignment horizontal="center" vertical="center"/>
    </xf>
    <xf numFmtId="0" fontId="25" fillId="0" borderId="166" xfId="8" applyFont="1" applyBorder="1" applyAlignment="1">
      <alignment horizontal="center" vertical="center"/>
    </xf>
    <xf numFmtId="0" fontId="25" fillId="0" borderId="20" xfId="8" applyFont="1" applyBorder="1" applyAlignment="1">
      <alignment horizontal="center" vertical="center"/>
    </xf>
    <xf numFmtId="0" fontId="25" fillId="0" borderId="10" xfId="8" applyFont="1" applyBorder="1" applyAlignment="1">
      <alignment horizontal="center" vertical="center"/>
    </xf>
    <xf numFmtId="166" fontId="33" fillId="20" borderId="29" xfId="0" applyNumberFormat="1" applyFont="1" applyFill="1" applyBorder="1" applyAlignment="1">
      <alignment horizontal="center" vertical="center"/>
    </xf>
    <xf numFmtId="166" fontId="33" fillId="20" borderId="30" xfId="0" applyNumberFormat="1" applyFont="1" applyFill="1" applyBorder="1" applyAlignment="1">
      <alignment horizontal="center" vertical="center"/>
    </xf>
    <xf numFmtId="44" fontId="33" fillId="20" borderId="30" xfId="2" applyFont="1" applyFill="1" applyBorder="1" applyAlignment="1">
      <alignment horizontal="center" vertical="center"/>
    </xf>
    <xf numFmtId="0" fontId="0" fillId="4" borderId="0" xfId="0" applyFill="1"/>
    <xf numFmtId="0" fontId="33" fillId="19" borderId="1" xfId="0" applyFont="1" applyFill="1" applyBorder="1" applyAlignment="1">
      <alignment horizontal="center" vertical="center"/>
    </xf>
    <xf numFmtId="3" fontId="33" fillId="21" borderId="1" xfId="0" applyNumberFormat="1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3" fontId="33" fillId="20" borderId="1" xfId="4" applyNumberFormat="1" applyFont="1" applyFill="1" applyBorder="1" applyAlignment="1">
      <alignment horizontal="center" vertical="center"/>
    </xf>
    <xf numFmtId="3" fontId="34" fillId="21" borderId="1" xfId="4" applyNumberFormat="1" applyFont="1" applyFill="1" applyBorder="1" applyAlignment="1">
      <alignment horizontal="center" vertical="center"/>
    </xf>
    <xf numFmtId="3" fontId="34" fillId="21" borderId="1" xfId="0" applyNumberFormat="1" applyFont="1" applyFill="1" applyBorder="1" applyAlignment="1">
      <alignment horizontal="center" vertical="center"/>
    </xf>
    <xf numFmtId="3" fontId="34" fillId="19" borderId="1" xfId="0" applyNumberFormat="1" applyFont="1" applyFill="1" applyBorder="1" applyAlignment="1">
      <alignment horizontal="center" vertical="center"/>
    </xf>
    <xf numFmtId="4" fontId="34" fillId="19" borderId="1" xfId="0" applyNumberFormat="1" applyFont="1" applyFill="1" applyBorder="1" applyAlignment="1">
      <alignment horizontal="center" vertical="center"/>
    </xf>
    <xf numFmtId="3" fontId="33" fillId="20" borderId="1" xfId="0" applyNumberFormat="1" applyFont="1" applyFill="1" applyBorder="1" applyAlignment="1">
      <alignment horizontal="center" vertical="center"/>
    </xf>
    <xf numFmtId="4" fontId="34" fillId="27" borderId="70" xfId="9" applyNumberFormat="1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165" fontId="54" fillId="0" borderId="0" xfId="0" applyNumberFormat="1" applyFont="1" applyAlignment="1">
      <alignment horizontal="center" vertical="center"/>
    </xf>
    <xf numFmtId="0" fontId="54" fillId="0" borderId="14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33" fillId="18" borderId="98" xfId="0" applyFont="1" applyFill="1" applyBorder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66" fontId="34" fillId="21" borderId="76" xfId="9" applyNumberFormat="1" applyFont="1" applyFill="1" applyBorder="1" applyAlignment="1">
      <alignment vertical="center"/>
    </xf>
    <xf numFmtId="0" fontId="34" fillId="18" borderId="83" xfId="0" applyFont="1" applyFill="1" applyBorder="1" applyAlignment="1">
      <alignment horizontal="center" vertical="center"/>
    </xf>
    <xf numFmtId="0" fontId="34" fillId="18" borderId="175" xfId="0" applyFont="1" applyFill="1" applyBorder="1" applyAlignment="1">
      <alignment horizontal="center" vertical="center"/>
    </xf>
    <xf numFmtId="1" fontId="34" fillId="23" borderId="70" xfId="0" applyNumberFormat="1" applyFont="1" applyFill="1" applyBorder="1" applyAlignment="1">
      <alignment horizontal="center" vertical="center" wrapText="1"/>
    </xf>
    <xf numFmtId="0" fontId="36" fillId="0" borderId="0" xfId="8" applyFont="1" applyAlignment="1">
      <alignment horizontal="center" vertical="center" wrapText="1"/>
    </xf>
    <xf numFmtId="0" fontId="25" fillId="0" borderId="0" xfId="8" applyFont="1" applyAlignment="1">
      <alignment horizontal="center" vertical="center"/>
    </xf>
    <xf numFmtId="1" fontId="33" fillId="20" borderId="143" xfId="9" applyNumberFormat="1" applyFont="1" applyFill="1" applyBorder="1" applyAlignment="1">
      <alignment horizontal="center" vertical="center"/>
    </xf>
    <xf numFmtId="0" fontId="50" fillId="0" borderId="0" xfId="0" applyFont="1" applyAlignment="1">
      <alignment horizontal="center"/>
    </xf>
    <xf numFmtId="1" fontId="0" fillId="0" borderId="0" xfId="0" applyNumberFormat="1" applyAlignment="1">
      <alignment horizontal="center" vertical="center"/>
    </xf>
    <xf numFmtId="169" fontId="12" fillId="12" borderId="0" xfId="0" applyNumberFormat="1" applyFont="1" applyFill="1"/>
    <xf numFmtId="165" fontId="0" fillId="5" borderId="169" xfId="0" applyNumberFormat="1" applyFill="1" applyBorder="1" applyAlignment="1">
      <alignment horizontal="center" vertical="center"/>
    </xf>
    <xf numFmtId="165" fontId="0" fillId="5" borderId="12" xfId="0" applyNumberFormat="1" applyFill="1" applyBorder="1"/>
    <xf numFmtId="0" fontId="12" fillId="27" borderId="1" xfId="0" applyFont="1" applyFill="1" applyBorder="1" applyAlignment="1">
      <alignment horizontal="center" vertical="center"/>
    </xf>
    <xf numFmtId="0" fontId="50" fillId="0" borderId="1" xfId="1" applyFont="1" applyFill="1" applyBorder="1" applyAlignment="1">
      <alignment horizontal="center" vertical="center"/>
    </xf>
    <xf numFmtId="171" fontId="0" fillId="0" borderId="0" xfId="0" applyNumberFormat="1"/>
    <xf numFmtId="0" fontId="0" fillId="0" borderId="142" xfId="0" applyBorder="1"/>
    <xf numFmtId="0" fontId="12" fillId="27" borderId="1" xfId="0" applyFont="1" applyFill="1" applyBorder="1" applyAlignment="1">
      <alignment horizontal="center" vertical="center" wrapText="1"/>
    </xf>
    <xf numFmtId="0" fontId="12" fillId="5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145" xfId="0" applyFont="1" applyFill="1" applyBorder="1" applyAlignment="1">
      <alignment horizontal="center" vertical="center"/>
    </xf>
    <xf numFmtId="0" fontId="11" fillId="2" borderId="146" xfId="0" applyFont="1" applyFill="1" applyBorder="1" applyAlignment="1">
      <alignment horizontal="center" vertical="center"/>
    </xf>
    <xf numFmtId="0" fontId="11" fillId="2" borderId="176" xfId="0" applyFont="1" applyFill="1" applyBorder="1" applyAlignment="1">
      <alignment horizontal="center" vertical="center"/>
    </xf>
    <xf numFmtId="0" fontId="11" fillId="2" borderId="147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Continuous" vertical="center"/>
    </xf>
    <xf numFmtId="0" fontId="50" fillId="0" borderId="136" xfId="0" applyFont="1" applyBorder="1" applyAlignment="1">
      <alignment vertical="center"/>
    </xf>
    <xf numFmtId="0" fontId="50" fillId="0" borderId="26" xfId="0" applyFont="1" applyBorder="1" applyAlignment="1">
      <alignment horizontal="center" vertical="center"/>
    </xf>
    <xf numFmtId="0" fontId="50" fillId="0" borderId="53" xfId="0" applyFont="1" applyBorder="1" applyAlignment="1">
      <alignment horizontal="center" vertical="center"/>
    </xf>
    <xf numFmtId="0" fontId="50" fillId="0" borderId="59" xfId="0" applyFont="1" applyBorder="1" applyAlignment="1">
      <alignment horizontal="center" vertical="center"/>
    </xf>
    <xf numFmtId="14" fontId="50" fillId="0" borderId="60" xfId="0" applyNumberFormat="1" applyFont="1" applyBorder="1" applyAlignment="1">
      <alignment horizontal="center" vertical="center"/>
    </xf>
    <xf numFmtId="0" fontId="64" fillId="0" borderId="11" xfId="0" applyFont="1" applyBorder="1" applyAlignment="1">
      <alignment horizontal="centerContinuous" vertical="center"/>
    </xf>
    <xf numFmtId="0" fontId="17" fillId="2" borderId="13" xfId="0" applyFont="1" applyFill="1" applyBorder="1" applyAlignment="1">
      <alignment horizontal="centerContinuous" vertical="center"/>
    </xf>
    <xf numFmtId="0" fontId="11" fillId="2" borderId="13" xfId="0" applyFont="1" applyFill="1" applyBorder="1" applyAlignment="1">
      <alignment horizontal="centerContinuous" vertical="center"/>
    </xf>
    <xf numFmtId="0" fontId="11" fillId="2" borderId="14" xfId="0" applyFont="1" applyFill="1" applyBorder="1" applyAlignment="1">
      <alignment horizontal="centerContinuous" vertical="center"/>
    </xf>
    <xf numFmtId="0" fontId="11" fillId="2" borderId="15" xfId="0" applyFont="1" applyFill="1" applyBorder="1" applyAlignment="1">
      <alignment horizontal="centerContinuous" vertical="center"/>
    </xf>
    <xf numFmtId="0" fontId="43" fillId="0" borderId="177" xfId="0" applyFont="1" applyBorder="1" applyAlignment="1">
      <alignment horizontal="center" vertical="center"/>
    </xf>
    <xf numFmtId="0" fontId="43" fillId="0" borderId="177" xfId="0" applyFont="1" applyBorder="1"/>
    <xf numFmtId="0" fontId="44" fillId="0" borderId="177" xfId="0" applyFont="1" applyBorder="1" applyAlignment="1">
      <alignment horizontal="center" vertical="center"/>
    </xf>
    <xf numFmtId="0" fontId="44" fillId="0" borderId="177" xfId="0" applyFont="1" applyBorder="1"/>
    <xf numFmtId="1" fontId="44" fillId="0" borderId="177" xfId="0" applyNumberFormat="1" applyFont="1" applyBorder="1" applyAlignment="1">
      <alignment horizontal="center" vertical="center"/>
    </xf>
    <xf numFmtId="1" fontId="56" fillId="0" borderId="177" xfId="0" applyNumberFormat="1" applyFont="1" applyBorder="1" applyAlignment="1">
      <alignment horizontal="center" vertical="center"/>
    </xf>
    <xf numFmtId="0" fontId="17" fillId="2" borderId="18" xfId="0" applyFont="1" applyFill="1" applyBorder="1" applyAlignment="1">
      <alignment horizontal="center" vertical="center"/>
    </xf>
    <xf numFmtId="0" fontId="0" fillId="0" borderId="136" xfId="0" applyBorder="1" applyAlignment="1">
      <alignment vertical="center"/>
    </xf>
    <xf numFmtId="0" fontId="0" fillId="0" borderId="26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14" fontId="0" fillId="0" borderId="60" xfId="0" applyNumberFormat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16" fontId="0" fillId="0" borderId="10" xfId="0" applyNumberFormat="1" applyBorder="1" applyAlignment="1">
      <alignment horizontal="center" vertical="center"/>
    </xf>
    <xf numFmtId="16" fontId="0" fillId="0" borderId="9" xfId="0" applyNumberFormat="1" applyBorder="1" applyAlignment="1">
      <alignment horizontal="center" vertical="center"/>
    </xf>
    <xf numFmtId="1" fontId="12" fillId="3" borderId="1" xfId="0" applyNumberFormat="1" applyFont="1" applyFill="1" applyBorder="1" applyAlignment="1">
      <alignment horizontal="center" vertical="center"/>
    </xf>
    <xf numFmtId="1" fontId="12" fillId="3" borderId="0" xfId="0" applyNumberFormat="1" applyFont="1" applyFill="1" applyAlignment="1">
      <alignment horizontal="center" vertical="center"/>
    </xf>
    <xf numFmtId="1" fontId="12" fillId="27" borderId="1" xfId="0" applyNumberFormat="1" applyFont="1" applyFill="1" applyBorder="1" applyAlignment="1">
      <alignment horizontal="center" vertical="center"/>
    </xf>
    <xf numFmtId="1" fontId="12" fillId="27" borderId="0" xfId="0" applyNumberFormat="1" applyFont="1" applyFill="1" applyAlignment="1">
      <alignment horizontal="center" vertical="center"/>
    </xf>
    <xf numFmtId="0" fontId="12" fillId="27" borderId="19" xfId="0" applyFont="1" applyFill="1" applyBorder="1" applyAlignment="1">
      <alignment horizontal="center" vertical="center"/>
    </xf>
    <xf numFmtId="1" fontId="12" fillId="0" borderId="11" xfId="0" applyNumberFormat="1" applyFont="1" applyBorder="1" applyAlignment="1">
      <alignment horizontal="center" vertical="center"/>
    </xf>
    <xf numFmtId="1" fontId="12" fillId="0" borderId="12" xfId="0" applyNumberFormat="1" applyFont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38" fillId="0" borderId="11" xfId="1" applyFont="1" applyFill="1" applyBorder="1" applyAlignment="1">
      <alignment horizontal="center" vertical="center"/>
    </xf>
    <xf numFmtId="1" fontId="38" fillId="0" borderId="0" xfId="1" applyNumberFormat="1" applyFont="1" applyFill="1" applyBorder="1" applyAlignment="1">
      <alignment horizontal="center" vertical="center"/>
    </xf>
    <xf numFmtId="0" fontId="7" fillId="0" borderId="11" xfId="1" applyFont="1" applyFill="1" applyBorder="1" applyAlignment="1">
      <alignment horizontal="center" vertical="center"/>
    </xf>
    <xf numFmtId="1" fontId="7" fillId="0" borderId="0" xfId="1" applyNumberFormat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1" fontId="7" fillId="0" borderId="1" xfId="1" applyNumberFormat="1" applyFont="1" applyFill="1" applyBorder="1" applyAlignment="1">
      <alignment horizontal="center" vertical="center"/>
    </xf>
    <xf numFmtId="1" fontId="7" fillId="0" borderId="0" xfId="1" applyNumberFormat="1" applyFont="1" applyFill="1" applyAlignment="1">
      <alignment horizontal="center" vertical="center"/>
    </xf>
    <xf numFmtId="0" fontId="12" fillId="0" borderId="50" xfId="0" applyFont="1" applyBorder="1" applyAlignment="1">
      <alignment horizontal="center"/>
    </xf>
    <xf numFmtId="0" fontId="7" fillId="0" borderId="19" xfId="1" applyFont="1" applyFill="1" applyBorder="1" applyAlignment="1">
      <alignment horizontal="center" vertical="center"/>
    </xf>
    <xf numFmtId="1" fontId="12" fillId="0" borderId="29" xfId="0" applyNumberFormat="1" applyFont="1" applyBorder="1" applyAlignment="1">
      <alignment horizontal="center" vertical="center"/>
    </xf>
    <xf numFmtId="1" fontId="12" fillId="0" borderId="1" xfId="0" applyNumberFormat="1" applyFont="1" applyBorder="1" applyAlignment="1">
      <alignment horizontal="center" vertical="center"/>
    </xf>
    <xf numFmtId="0" fontId="12" fillId="0" borderId="162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2" fillId="0" borderId="44" xfId="0" applyFont="1" applyBorder="1" applyAlignment="1">
      <alignment horizontal="center" vertical="center"/>
    </xf>
    <xf numFmtId="1" fontId="12" fillId="0" borderId="9" xfId="0" applyNumberFormat="1" applyFont="1" applyBorder="1" applyAlignment="1">
      <alignment horizontal="center" vertical="center"/>
    </xf>
    <xf numFmtId="1" fontId="12" fillId="0" borderId="40" xfId="0" applyNumberFormat="1" applyFont="1" applyBorder="1" applyAlignment="1">
      <alignment horizontal="center" vertical="center"/>
    </xf>
    <xf numFmtId="1" fontId="12" fillId="0" borderId="30" xfId="0" applyNumberFormat="1" applyFont="1" applyBorder="1" applyAlignment="1">
      <alignment horizontal="center" vertical="center"/>
    </xf>
    <xf numFmtId="1" fontId="12" fillId="0" borderId="15" xfId="0" applyNumberFormat="1" applyFont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4" fontId="12" fillId="0" borderId="1" xfId="0" applyNumberFormat="1" applyFont="1" applyBorder="1" applyAlignment="1">
      <alignment horizontal="center" vertical="center"/>
    </xf>
    <xf numFmtId="14" fontId="12" fillId="16" borderId="1" xfId="0" applyNumberFormat="1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12" fillId="0" borderId="114" xfId="0" applyFont="1" applyBorder="1" applyAlignment="1">
      <alignment horizontal="center" vertical="center" wrapText="1"/>
    </xf>
    <xf numFmtId="16" fontId="11" fillId="0" borderId="0" xfId="0" applyNumberFormat="1" applyFont="1" applyAlignment="1">
      <alignment horizontal="center" vertical="center"/>
    </xf>
    <xf numFmtId="0" fontId="12" fillId="0" borderId="9" xfId="0" applyFont="1" applyBorder="1" applyAlignment="1">
      <alignment horizontal="center"/>
    </xf>
    <xf numFmtId="0" fontId="12" fillId="0" borderId="114" xfId="0" applyFont="1" applyBorder="1" applyAlignment="1">
      <alignment horizontal="center" vertical="center"/>
    </xf>
    <xf numFmtId="0" fontId="12" fillId="16" borderId="114" xfId="0" applyFont="1" applyFill="1" applyBorder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14" fontId="23" fillId="0" borderId="9" xfId="0" applyNumberFormat="1" applyFont="1" applyBorder="1" applyAlignment="1">
      <alignment horizontal="center" vertical="center"/>
    </xf>
    <xf numFmtId="0" fontId="17" fillId="2" borderId="10" xfId="0" applyFont="1" applyFill="1" applyBorder="1" applyAlignment="1">
      <alignment vertical="center"/>
    </xf>
    <xf numFmtId="14" fontId="12" fillId="8" borderId="1" xfId="0" applyNumberFormat="1" applyFont="1" applyFill="1" applyBorder="1" applyAlignment="1">
      <alignment horizontal="center" vertical="center"/>
    </xf>
    <xf numFmtId="0" fontId="12" fillId="7" borderId="6" xfId="0" applyFont="1" applyFill="1" applyBorder="1" applyAlignment="1">
      <alignment vertical="center"/>
    </xf>
    <xf numFmtId="0" fontId="12" fillId="11" borderId="6" xfId="0" applyFont="1" applyFill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7" borderId="0" xfId="0" applyFont="1" applyFill="1" applyAlignment="1">
      <alignment vertical="center"/>
    </xf>
    <xf numFmtId="0" fontId="12" fillId="11" borderId="10" xfId="0" applyFont="1" applyFill="1" applyBorder="1" applyAlignment="1">
      <alignment horizontal="center"/>
    </xf>
    <xf numFmtId="0" fontId="12" fillId="7" borderId="0" xfId="0" applyFont="1" applyFill="1" applyAlignment="1">
      <alignment horizontal="center"/>
    </xf>
    <xf numFmtId="0" fontId="12" fillId="7" borderId="10" xfId="0" applyFont="1" applyFill="1" applyBorder="1" applyAlignment="1">
      <alignment horizontal="center"/>
    </xf>
    <xf numFmtId="0" fontId="12" fillId="0" borderId="10" xfId="0" applyFont="1" applyBorder="1" applyAlignment="1">
      <alignment vertical="center"/>
    </xf>
    <xf numFmtId="0" fontId="12" fillId="11" borderId="0" xfId="0" applyFont="1" applyFill="1" applyAlignment="1">
      <alignment horizontal="center"/>
    </xf>
    <xf numFmtId="14" fontId="12" fillId="14" borderId="1" xfId="0" applyNumberFormat="1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 vertical="center"/>
    </xf>
    <xf numFmtId="0" fontId="12" fillId="24" borderId="1" xfId="0" applyFont="1" applyFill="1" applyBorder="1" applyAlignment="1">
      <alignment horizontal="center" vertical="center"/>
    </xf>
    <xf numFmtId="14" fontId="12" fillId="24" borderId="1" xfId="0" applyNumberFormat="1" applyFont="1" applyFill="1" applyBorder="1" applyAlignment="1">
      <alignment horizontal="center" vertical="center"/>
    </xf>
    <xf numFmtId="1" fontId="12" fillId="24" borderId="1" xfId="0" applyNumberFormat="1" applyFont="1" applyFill="1" applyBorder="1" applyAlignment="1">
      <alignment horizontal="center" vertical="center"/>
    </xf>
    <xf numFmtId="0" fontId="12" fillId="0" borderId="10" xfId="0" applyFont="1" applyBorder="1" applyAlignment="1">
      <alignment horizontal="center"/>
    </xf>
    <xf numFmtId="0" fontId="12" fillId="5" borderId="9" xfId="0" applyFont="1" applyFill="1" applyBorder="1" applyAlignment="1">
      <alignment horizontal="center" vertical="center"/>
    </xf>
    <xf numFmtId="0" fontId="12" fillId="5" borderId="19" xfId="0" applyFont="1" applyFill="1" applyBorder="1" applyAlignment="1">
      <alignment horizontal="center" vertical="center"/>
    </xf>
    <xf numFmtId="14" fontId="12" fillId="14" borderId="19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/>
    </xf>
    <xf numFmtId="0" fontId="12" fillId="5" borderId="10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/>
    </xf>
    <xf numFmtId="0" fontId="12" fillId="0" borderId="37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4" fontId="12" fillId="12" borderId="25" xfId="0" applyNumberFormat="1" applyFont="1" applyFill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14" fontId="12" fillId="12" borderId="1" xfId="0" applyNumberFormat="1" applyFont="1" applyFill="1" applyBorder="1" applyAlignment="1">
      <alignment horizontal="center" vertical="center"/>
    </xf>
    <xf numFmtId="14" fontId="12" fillId="7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3" borderId="10" xfId="0" applyFont="1" applyFill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50" xfId="0" applyFont="1" applyBorder="1"/>
    <xf numFmtId="14" fontId="12" fillId="7" borderId="19" xfId="0" applyNumberFormat="1" applyFont="1" applyFill="1" applyBorder="1" applyAlignment="1">
      <alignment horizontal="center" vertical="center"/>
    </xf>
    <xf numFmtId="14" fontId="12" fillId="7" borderId="26" xfId="0" applyNumberFormat="1" applyFont="1" applyFill="1" applyBorder="1" applyAlignment="1">
      <alignment horizontal="center" vertical="center"/>
    </xf>
    <xf numFmtId="0" fontId="12" fillId="5" borderId="50" xfId="0" applyFont="1" applyFill="1" applyBorder="1"/>
    <xf numFmtId="0" fontId="7" fillId="13" borderId="19" xfId="1" applyFont="1" applyBorder="1" applyAlignment="1">
      <alignment horizontal="center" vertical="center"/>
    </xf>
    <xf numFmtId="1" fontId="7" fillId="13" borderId="1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7" fillId="19" borderId="19" xfId="1" applyFont="1" applyFill="1" applyBorder="1" applyAlignment="1">
      <alignment horizontal="center" vertical="center"/>
    </xf>
    <xf numFmtId="0" fontId="12" fillId="19" borderId="1" xfId="0" applyFont="1" applyFill="1" applyBorder="1" applyAlignment="1">
      <alignment horizontal="center" vertical="center"/>
    </xf>
    <xf numFmtId="1" fontId="7" fillId="19" borderId="1" xfId="1" applyNumberFormat="1" applyFont="1" applyFill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2" fillId="12" borderId="25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12" fillId="12" borderId="26" xfId="0" applyFont="1" applyFill="1" applyBorder="1" applyAlignment="1">
      <alignment vertical="center"/>
    </xf>
    <xf numFmtId="0" fontId="12" fillId="0" borderId="51" xfId="0" applyFont="1" applyBorder="1" applyAlignment="1">
      <alignment horizontal="center"/>
    </xf>
    <xf numFmtId="0" fontId="12" fillId="0" borderId="51" xfId="0" applyFont="1" applyBorder="1"/>
    <xf numFmtId="0" fontId="12" fillId="7" borderId="14" xfId="0" applyFont="1" applyFill="1" applyBorder="1" applyAlignment="1">
      <alignment vertical="center"/>
    </xf>
    <xf numFmtId="0" fontId="12" fillId="7" borderId="14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58" xfId="0" applyFont="1" applyBorder="1" applyAlignment="1">
      <alignment horizontal="center"/>
    </xf>
    <xf numFmtId="0" fontId="12" fillId="0" borderId="56" xfId="0" applyFont="1" applyBorder="1" applyAlignment="1">
      <alignment horizontal="center"/>
    </xf>
    <xf numFmtId="0" fontId="12" fillId="0" borderId="57" xfId="0" applyFont="1" applyBorder="1" applyAlignment="1">
      <alignment horizontal="center"/>
    </xf>
    <xf numFmtId="164" fontId="12" fillId="0" borderId="29" xfId="0" applyNumberFormat="1" applyFont="1" applyBorder="1" applyAlignment="1">
      <alignment horizontal="center" vertical="center"/>
    </xf>
    <xf numFmtId="164" fontId="12" fillId="0" borderId="30" xfId="0" applyNumberFormat="1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Continuous" vertical="center"/>
    </xf>
    <xf numFmtId="0" fontId="17" fillId="2" borderId="15" xfId="0" applyFont="1" applyFill="1" applyBorder="1" applyAlignment="1">
      <alignment horizontal="centerContinuous" vertical="center"/>
    </xf>
    <xf numFmtId="0" fontId="11" fillId="2" borderId="54" xfId="0" applyFont="1" applyFill="1" applyBorder="1" applyAlignment="1">
      <alignment horizontal="center"/>
    </xf>
    <xf numFmtId="0" fontId="11" fillId="2" borderId="18" xfId="0" applyFont="1" applyFill="1" applyBorder="1" applyAlignment="1">
      <alignment horizontal="center"/>
    </xf>
    <xf numFmtId="0" fontId="11" fillId="2" borderId="24" xfId="0" applyFont="1" applyFill="1" applyBorder="1" applyAlignment="1">
      <alignment horizontal="center"/>
    </xf>
    <xf numFmtId="0" fontId="12" fillId="0" borderId="21" xfId="0" applyFont="1" applyBorder="1" applyAlignment="1">
      <alignment horizontal="center"/>
    </xf>
    <xf numFmtId="38" fontId="12" fillId="0" borderId="29" xfId="0" applyNumberFormat="1" applyFont="1" applyBorder="1" applyAlignment="1">
      <alignment horizontal="center" vertical="center"/>
    </xf>
    <xf numFmtId="38" fontId="12" fillId="0" borderId="30" xfId="0" applyNumberFormat="1" applyFont="1" applyBorder="1" applyAlignment="1">
      <alignment horizontal="center" vertical="center"/>
    </xf>
    <xf numFmtId="0" fontId="11" fillId="2" borderId="43" xfId="0" applyFont="1" applyFill="1" applyBorder="1" applyAlignment="1">
      <alignment horizontal="center" vertical="center"/>
    </xf>
    <xf numFmtId="0" fontId="11" fillId="17" borderId="24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17" borderId="18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7" borderId="145" xfId="0" applyFont="1" applyFill="1" applyBorder="1" applyAlignment="1">
      <alignment horizontal="center" vertical="center"/>
    </xf>
    <xf numFmtId="0" fontId="11" fillId="17" borderId="146" xfId="0" applyFont="1" applyFill="1" applyBorder="1" applyAlignment="1">
      <alignment horizontal="center" vertical="center"/>
    </xf>
    <xf numFmtId="0" fontId="11" fillId="17" borderId="147" xfId="0" applyFont="1" applyFill="1" applyBorder="1" applyAlignment="1">
      <alignment horizontal="center" vertical="center"/>
    </xf>
    <xf numFmtId="0" fontId="12" fillId="0" borderId="81" xfId="0" applyFont="1" applyBorder="1" applyAlignment="1">
      <alignment horizontal="center" vertical="center" wrapText="1"/>
    </xf>
    <xf numFmtId="0" fontId="7" fillId="0" borderId="5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9" fontId="7" fillId="0" borderId="21" xfId="0" applyNumberFormat="1" applyFont="1" applyBorder="1" applyAlignment="1">
      <alignment horizontal="center" vertical="center"/>
    </xf>
    <xf numFmtId="165" fontId="7" fillId="0" borderId="20" xfId="0" applyNumberFormat="1" applyFont="1" applyBorder="1" applyAlignment="1">
      <alignment horizontal="center" vertical="center" wrapText="1"/>
    </xf>
    <xf numFmtId="165" fontId="7" fillId="0" borderId="21" xfId="0" applyNumberFormat="1" applyFont="1" applyBorder="1" applyAlignment="1">
      <alignment horizontal="center" vertical="center"/>
    </xf>
    <xf numFmtId="170" fontId="7" fillId="0" borderId="1" xfId="0" applyNumberFormat="1" applyFont="1" applyBorder="1" applyAlignment="1">
      <alignment horizontal="center" vertical="center"/>
    </xf>
    <xf numFmtId="170" fontId="7" fillId="0" borderId="21" xfId="0" applyNumberFormat="1" applyFont="1" applyBorder="1" applyAlignment="1">
      <alignment horizontal="center" vertical="center"/>
    </xf>
    <xf numFmtId="165" fontId="16" fillId="0" borderId="29" xfId="0" applyNumberFormat="1" applyFont="1" applyBorder="1" applyAlignment="1">
      <alignment horizontal="center" vertical="center"/>
    </xf>
    <xf numFmtId="165" fontId="16" fillId="0" borderId="99" xfId="0" applyNumberFormat="1" applyFont="1" applyBorder="1" applyAlignment="1">
      <alignment horizontal="center" vertical="center"/>
    </xf>
    <xf numFmtId="165" fontId="16" fillId="0" borderId="28" xfId="0" applyNumberFormat="1" applyFont="1" applyBorder="1" applyAlignment="1">
      <alignment horizontal="center" vertical="center"/>
    </xf>
    <xf numFmtId="165" fontId="16" fillId="0" borderId="30" xfId="0" applyNumberFormat="1" applyFont="1" applyBorder="1" applyAlignment="1">
      <alignment horizontal="center" vertical="center"/>
    </xf>
    <xf numFmtId="165" fontId="16" fillId="0" borderId="40" xfId="0" applyNumberFormat="1" applyFont="1" applyBorder="1" applyAlignment="1">
      <alignment horizontal="center" vertical="center"/>
    </xf>
    <xf numFmtId="0" fontId="25" fillId="0" borderId="65" xfId="3" applyFont="1" applyBorder="1" applyAlignment="1">
      <alignment horizontal="center" vertical="center"/>
    </xf>
    <xf numFmtId="174" fontId="12" fillId="0" borderId="1" xfId="0" applyNumberFormat="1" applyFont="1" applyBorder="1" applyAlignment="1">
      <alignment horizontal="center" vertical="center"/>
    </xf>
    <xf numFmtId="174" fontId="12" fillId="13" borderId="1" xfId="1" applyNumberFormat="1" applyFont="1" applyBorder="1" applyAlignment="1">
      <alignment horizontal="center" vertical="center"/>
    </xf>
    <xf numFmtId="174" fontId="12" fillId="0" borderId="1" xfId="0" quotePrefix="1" applyNumberFormat="1" applyFont="1" applyBorder="1" applyAlignment="1">
      <alignment horizontal="center" vertical="center"/>
    </xf>
    <xf numFmtId="174" fontId="12" fillId="0" borderId="1" xfId="1" applyNumberFormat="1" applyFont="1" applyFill="1" applyBorder="1" applyAlignment="1">
      <alignment horizontal="center" vertical="center"/>
    </xf>
    <xf numFmtId="174" fontId="52" fillId="0" borderId="1" xfId="1" applyNumberFormat="1" applyFont="1" applyFill="1" applyBorder="1" applyAlignment="1">
      <alignment horizontal="center" vertical="center"/>
    </xf>
    <xf numFmtId="0" fontId="50" fillId="13" borderId="1" xfId="1" applyFont="1" applyBorder="1" applyAlignment="1">
      <alignment horizontal="center" vertical="center"/>
    </xf>
    <xf numFmtId="0" fontId="50" fillId="13" borderId="19" xfId="1" applyFont="1" applyBorder="1" applyAlignment="1">
      <alignment horizontal="center" vertical="center"/>
    </xf>
    <xf numFmtId="0" fontId="50" fillId="13" borderId="25" xfId="1" applyFont="1" applyBorder="1" applyAlignment="1">
      <alignment horizontal="center" vertical="center"/>
    </xf>
    <xf numFmtId="0" fontId="50" fillId="0" borderId="1" xfId="1" quotePrefix="1" applyFont="1" applyFill="1" applyBorder="1" applyAlignment="1">
      <alignment horizontal="center" vertical="center"/>
    </xf>
    <xf numFmtId="1" fontId="12" fillId="0" borderId="1" xfId="1" applyNumberFormat="1" applyFont="1" applyFill="1" applyBorder="1" applyAlignment="1">
      <alignment horizontal="center" vertical="center"/>
    </xf>
    <xf numFmtId="0" fontId="12" fillId="13" borderId="1" xfId="1" applyFont="1" applyBorder="1" applyAlignment="1">
      <alignment horizontal="center" vertical="center"/>
    </xf>
    <xf numFmtId="172" fontId="52" fillId="13" borderId="1" xfId="1" applyNumberFormat="1" applyFont="1" applyBorder="1" applyAlignment="1">
      <alignment horizontal="center" vertical="center"/>
    </xf>
    <xf numFmtId="0" fontId="50" fillId="0" borderId="1" xfId="1" applyFont="1" applyFill="1" applyBorder="1" applyAlignment="1">
      <alignment horizontal="center" vertical="center" wrapText="1"/>
    </xf>
    <xf numFmtId="0" fontId="50" fillId="0" borderId="19" xfId="0" applyFont="1" applyBorder="1" applyAlignment="1">
      <alignment horizontal="center" vertical="center"/>
    </xf>
    <xf numFmtId="0" fontId="50" fillId="0" borderId="1" xfId="0" quotePrefix="1" applyFont="1" applyBorder="1" applyAlignment="1">
      <alignment horizontal="center" vertical="center"/>
    </xf>
    <xf numFmtId="0" fontId="50" fillId="0" borderId="1" xfId="0" quotePrefix="1" applyFont="1" applyBorder="1" applyAlignment="1">
      <alignment horizontal="center" vertical="center" wrapText="1"/>
    </xf>
    <xf numFmtId="0" fontId="0" fillId="0" borderId="136" xfId="0" quotePrefix="1" applyBorder="1" applyAlignment="1">
      <alignment vertical="center"/>
    </xf>
    <xf numFmtId="0" fontId="50" fillId="0" borderId="19" xfId="1" quotePrefix="1" applyFont="1" applyFill="1" applyBorder="1" applyAlignment="1">
      <alignment horizontal="center" vertical="center"/>
    </xf>
    <xf numFmtId="0" fontId="50" fillId="0" borderId="0" xfId="0" applyFont="1"/>
    <xf numFmtId="0" fontId="6" fillId="0" borderId="0" xfId="10"/>
    <xf numFmtId="0" fontId="62" fillId="0" borderId="0" xfId="10" applyFont="1"/>
    <xf numFmtId="0" fontId="66" fillId="0" borderId="0" xfId="0" applyFont="1"/>
    <xf numFmtId="0" fontId="50" fillId="0" borderId="19" xfId="0" quotePrefix="1" applyFont="1" applyBorder="1" applyAlignment="1">
      <alignment horizontal="center" vertical="center" wrapText="1"/>
    </xf>
    <xf numFmtId="0" fontId="11" fillId="2" borderId="170" xfId="0" applyFont="1" applyFill="1" applyBorder="1" applyAlignment="1">
      <alignment horizontal="center" vertical="center"/>
    </xf>
    <xf numFmtId="0" fontId="5" fillId="0" borderId="0" xfId="10" applyFont="1"/>
    <xf numFmtId="49" fontId="62" fillId="0" borderId="0" xfId="10" applyNumberFormat="1" applyFont="1"/>
    <xf numFmtId="0" fontId="50" fillId="0" borderId="178" xfId="0" applyFont="1" applyBorder="1" applyAlignment="1">
      <alignment horizontal="center"/>
    </xf>
    <xf numFmtId="0" fontId="50" fillId="0" borderId="178" xfId="0" applyFont="1" applyBorder="1"/>
    <xf numFmtId="0" fontId="0" fillId="3" borderId="0" xfId="0" applyFill="1"/>
    <xf numFmtId="175" fontId="0" fillId="0" borderId="0" xfId="0" applyNumberFormat="1"/>
    <xf numFmtId="0" fontId="4" fillId="0" borderId="0" xfId="10" applyFont="1"/>
    <xf numFmtId="0" fontId="50" fillId="16" borderId="1" xfId="1" quotePrefix="1" applyFont="1" applyFill="1" applyBorder="1" applyAlignment="1">
      <alignment horizontal="center" vertical="center"/>
    </xf>
    <xf numFmtId="0" fontId="12" fillId="16" borderId="1" xfId="1" applyFont="1" applyFill="1" applyBorder="1" applyAlignment="1">
      <alignment horizontal="center" vertical="center"/>
    </xf>
    <xf numFmtId="0" fontId="50" fillId="16" borderId="1" xfId="1" applyFont="1" applyFill="1" applyBorder="1" applyAlignment="1">
      <alignment horizontal="center" vertical="center"/>
    </xf>
    <xf numFmtId="174" fontId="12" fillId="16" borderId="1" xfId="0" applyNumberFormat="1" applyFont="1" applyFill="1" applyBorder="1" applyAlignment="1">
      <alignment horizontal="center" vertical="center"/>
    </xf>
    <xf numFmtId="0" fontId="11" fillId="17" borderId="54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 wrapText="1"/>
    </xf>
    <xf numFmtId="0" fontId="3" fillId="0" borderId="0" xfId="10" applyFont="1"/>
    <xf numFmtId="0" fontId="2" fillId="0" borderId="0" xfId="10" applyFont="1"/>
    <xf numFmtId="0" fontId="30" fillId="0" borderId="1" xfId="0" applyFont="1" applyBorder="1" applyAlignment="1">
      <alignment vertical="center"/>
    </xf>
    <xf numFmtId="16" fontId="12" fillId="0" borderId="77" xfId="0" applyNumberFormat="1" applyFont="1" applyBorder="1" applyAlignment="1">
      <alignment horizontal="center" vertical="center"/>
    </xf>
    <xf numFmtId="0" fontId="12" fillId="8" borderId="78" xfId="0" applyFont="1" applyFill="1" applyBorder="1" applyAlignment="1">
      <alignment horizontal="center" vertical="center"/>
    </xf>
    <xf numFmtId="1" fontId="0" fillId="0" borderId="33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5" xfId="0" applyBorder="1" applyAlignment="1">
      <alignment horizontal="center"/>
    </xf>
    <xf numFmtId="0" fontId="30" fillId="0" borderId="20" xfId="0" applyFont="1" applyBorder="1" applyAlignment="1">
      <alignment vertical="center"/>
    </xf>
    <xf numFmtId="0" fontId="12" fillId="0" borderId="20" xfId="0" applyFont="1" applyBorder="1" applyAlignment="1">
      <alignment vertical="center"/>
    </xf>
    <xf numFmtId="0" fontId="12" fillId="0" borderId="28" xfId="0" applyFont="1" applyBorder="1" applyAlignment="1">
      <alignment vertical="center"/>
    </xf>
    <xf numFmtId="0" fontId="12" fillId="0" borderId="29" xfId="0" applyFont="1" applyBorder="1" applyAlignment="1">
      <alignment vertical="center"/>
    </xf>
    <xf numFmtId="0" fontId="11" fillId="2" borderId="142" xfId="0" applyFont="1" applyFill="1" applyBorder="1" applyAlignment="1">
      <alignment vertical="center"/>
    </xf>
    <xf numFmtId="0" fontId="11" fillId="2" borderId="165" xfId="0" applyFont="1" applyFill="1" applyBorder="1"/>
    <xf numFmtId="0" fontId="31" fillId="0" borderId="0" xfId="0" applyFont="1"/>
    <xf numFmtId="0" fontId="50" fillId="0" borderId="20" xfId="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11" fillId="2" borderId="179" xfId="0" applyFont="1" applyFill="1" applyBorder="1" applyAlignment="1">
      <alignment horizontal="centerContinuous" vertical="center"/>
    </xf>
    <xf numFmtId="0" fontId="11" fillId="2" borderId="180" xfId="0" applyFont="1" applyFill="1" applyBorder="1" applyAlignment="1">
      <alignment horizontal="centerContinuous" vertical="center"/>
    </xf>
    <xf numFmtId="0" fontId="11" fillId="2" borderId="76" xfId="0" applyFont="1" applyFill="1" applyBorder="1" applyAlignment="1">
      <alignment vertical="center"/>
    </xf>
    <xf numFmtId="0" fontId="46" fillId="2" borderId="3" xfId="0" applyFont="1" applyFill="1" applyBorder="1" applyAlignment="1">
      <alignment vertical="center"/>
    </xf>
    <xf numFmtId="0" fontId="46" fillId="2" borderId="4" xfId="0" applyFont="1" applyFill="1" applyBorder="1" applyAlignment="1">
      <alignment vertical="center"/>
    </xf>
    <xf numFmtId="0" fontId="46" fillId="2" borderId="2" xfId="0" applyFont="1" applyFill="1" applyBorder="1" applyAlignment="1">
      <alignment vertical="center"/>
    </xf>
    <xf numFmtId="0" fontId="25" fillId="0" borderId="3" xfId="0" applyFont="1" applyBorder="1" applyAlignment="1">
      <alignment vertical="center"/>
    </xf>
    <xf numFmtId="0" fontId="0" fillId="0" borderId="2" xfId="0" applyBorder="1" applyAlignment="1">
      <alignment vertical="center"/>
    </xf>
    <xf numFmtId="165" fontId="17" fillId="2" borderId="28" xfId="0" applyNumberFormat="1" applyFont="1" applyFill="1" applyBorder="1" applyAlignment="1">
      <alignment vertical="center"/>
    </xf>
    <xf numFmtId="0" fontId="17" fillId="0" borderId="29" xfId="0" applyFont="1" applyBorder="1" applyAlignment="1">
      <alignment vertical="center"/>
    </xf>
    <xf numFmtId="0" fontId="17" fillId="0" borderId="30" xfId="0" applyFont="1" applyBorder="1" applyAlignment="1">
      <alignment vertical="center"/>
    </xf>
    <xf numFmtId="0" fontId="17" fillId="2" borderId="136" xfId="0" applyFont="1" applyFill="1" applyBorder="1" applyAlignment="1">
      <alignment vertical="center"/>
    </xf>
    <xf numFmtId="0" fontId="17" fillId="0" borderId="26" xfId="0" applyFont="1" applyBorder="1" applyAlignment="1">
      <alignment vertical="center"/>
    </xf>
    <xf numFmtId="0" fontId="17" fillId="0" borderId="59" xfId="0" applyFont="1" applyBorder="1" applyAlignment="1">
      <alignment vertical="center"/>
    </xf>
    <xf numFmtId="0" fontId="46" fillId="2" borderId="54" xfId="0" applyFont="1" applyFill="1" applyBorder="1" applyAlignment="1">
      <alignment horizontal="centerContinuous" vertical="center"/>
    </xf>
    <xf numFmtId="0" fontId="46" fillId="2" borderId="18" xfId="0" applyFont="1" applyFill="1" applyBorder="1" applyAlignment="1">
      <alignment horizontal="centerContinuous" vertical="center"/>
    </xf>
    <xf numFmtId="0" fontId="46" fillId="2" borderId="55" xfId="0" applyFont="1" applyFill="1" applyBorder="1" applyAlignment="1">
      <alignment horizontal="centerContinuous" vertical="center"/>
    </xf>
    <xf numFmtId="0" fontId="30" fillId="0" borderId="0" xfId="0" applyFont="1" applyAlignment="1">
      <alignment vertical="center"/>
    </xf>
    <xf numFmtId="44" fontId="0" fillId="0" borderId="1" xfId="2" applyFont="1" applyFill="1" applyBorder="1" applyAlignment="1">
      <alignment horizontal="center" vertical="center"/>
    </xf>
    <xf numFmtId="0" fontId="11" fillId="2" borderId="54" xfId="0" applyFont="1" applyFill="1" applyBorder="1" applyAlignment="1">
      <alignment horizontal="centerContinuous" vertical="center"/>
    </xf>
    <xf numFmtId="0" fontId="11" fillId="2" borderId="24" xfId="0" applyFont="1" applyFill="1" applyBorder="1" applyAlignment="1">
      <alignment horizontal="centerContinuous" vertical="center"/>
    </xf>
    <xf numFmtId="0" fontId="11" fillId="2" borderId="19" xfId="0" applyFont="1" applyFill="1" applyBorder="1" applyAlignment="1">
      <alignment horizontal="center" vertical="center"/>
    </xf>
    <xf numFmtId="0" fontId="30" fillId="0" borderId="54" xfId="0" applyFont="1" applyBorder="1" applyAlignment="1">
      <alignment vertical="center"/>
    </xf>
    <xf numFmtId="0" fontId="30" fillId="0" borderId="28" xfId="0" applyFont="1" applyBorder="1" applyAlignment="1">
      <alignment vertical="center"/>
    </xf>
    <xf numFmtId="0" fontId="11" fillId="2" borderId="46" xfId="0" applyFont="1" applyFill="1" applyBorder="1" applyAlignment="1">
      <alignment horizontal="center" vertical="center"/>
    </xf>
    <xf numFmtId="44" fontId="0" fillId="0" borderId="18" xfId="2" applyFont="1" applyFill="1" applyBorder="1" applyAlignment="1">
      <alignment horizontal="center" vertical="center"/>
    </xf>
    <xf numFmtId="44" fontId="24" fillId="0" borderId="24" xfId="2" applyFont="1" applyFill="1" applyBorder="1" applyAlignment="1">
      <alignment horizontal="center" vertical="center"/>
    </xf>
    <xf numFmtId="44" fontId="0" fillId="0" borderId="20" xfId="2" applyFont="1" applyFill="1" applyBorder="1" applyAlignment="1">
      <alignment horizontal="center" vertical="center"/>
    </xf>
    <xf numFmtId="44" fontId="24" fillId="0" borderId="21" xfId="2" applyFont="1" applyFill="1" applyBorder="1" applyAlignment="1">
      <alignment horizontal="center" vertical="center"/>
    </xf>
    <xf numFmtId="44" fontId="24" fillId="0" borderId="30" xfId="2" applyFont="1" applyFill="1" applyBorder="1" applyAlignment="1">
      <alignment horizontal="center" vertical="center"/>
    </xf>
    <xf numFmtId="0" fontId="30" fillId="0" borderId="55" xfId="0" applyFont="1" applyBorder="1" applyAlignment="1">
      <alignment vertical="center"/>
    </xf>
    <xf numFmtId="0" fontId="30" fillId="0" borderId="11" xfId="0" applyFont="1" applyBorder="1" applyAlignment="1">
      <alignment vertical="center"/>
    </xf>
    <xf numFmtId="0" fontId="30" fillId="0" borderId="99" xfId="0" applyFont="1" applyBorder="1" applyAlignment="1">
      <alignment vertical="center"/>
    </xf>
    <xf numFmtId="0" fontId="42" fillId="0" borderId="7" xfId="0" applyFont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44" fontId="0" fillId="0" borderId="24" xfId="0" applyNumberFormat="1" applyBorder="1" applyAlignment="1">
      <alignment horizontal="center" vertical="center"/>
    </xf>
    <xf numFmtId="0" fontId="50" fillId="0" borderId="41" xfId="0" applyFont="1" applyBorder="1" applyAlignment="1">
      <alignment horizontal="center" vertical="center"/>
    </xf>
    <xf numFmtId="0" fontId="11" fillId="2" borderId="182" xfId="0" applyFont="1" applyFill="1" applyBorder="1" applyAlignment="1">
      <alignment horizontal="center" vertical="center"/>
    </xf>
    <xf numFmtId="0" fontId="11" fillId="2" borderId="171" xfId="0" applyFont="1" applyFill="1" applyBorder="1" applyAlignment="1">
      <alignment horizontal="center" vertical="center"/>
    </xf>
    <xf numFmtId="165" fontId="0" fillId="0" borderId="136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165" fontId="0" fillId="0" borderId="59" xfId="0" applyNumberFormat="1" applyBorder="1" applyAlignment="1">
      <alignment horizontal="center" vertical="center"/>
    </xf>
    <xf numFmtId="165" fontId="0" fillId="0" borderId="54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165" fontId="0" fillId="0" borderId="24" xfId="0" applyNumberFormat="1" applyBorder="1" applyAlignment="1">
      <alignment horizontal="center" vertical="center"/>
    </xf>
    <xf numFmtId="44" fontId="0" fillId="0" borderId="28" xfId="2" applyFont="1" applyFill="1" applyBorder="1" applyAlignment="1">
      <alignment horizontal="center" vertical="center"/>
    </xf>
    <xf numFmtId="44" fontId="0" fillId="0" borderId="29" xfId="2" applyFont="1" applyFill="1" applyBorder="1" applyAlignment="1">
      <alignment horizontal="center" vertical="center"/>
    </xf>
    <xf numFmtId="0" fontId="12" fillId="0" borderId="133" xfId="0" applyFont="1" applyBorder="1" applyAlignment="1">
      <alignment horizontal="center" vertical="center"/>
    </xf>
    <xf numFmtId="0" fontId="12" fillId="0" borderId="134" xfId="0" applyFont="1" applyBorder="1" applyAlignment="1">
      <alignment horizontal="center" vertical="center"/>
    </xf>
    <xf numFmtId="0" fontId="12" fillId="0" borderId="135" xfId="0" applyFont="1" applyBorder="1" applyAlignment="1">
      <alignment horizontal="center" vertical="center"/>
    </xf>
    <xf numFmtId="0" fontId="11" fillId="17" borderId="17" xfId="0" applyFont="1" applyFill="1" applyBorder="1" applyAlignment="1">
      <alignment horizontal="center" vertical="center"/>
    </xf>
    <xf numFmtId="165" fontId="0" fillId="0" borderId="134" xfId="0" applyNumberFormat="1" applyBorder="1" applyAlignment="1">
      <alignment horizontal="center"/>
    </xf>
    <xf numFmtId="165" fontId="48" fillId="0" borderId="99" xfId="0" applyNumberFormat="1" applyFont="1" applyBorder="1" applyAlignment="1">
      <alignment horizontal="center" vertical="center"/>
    </xf>
    <xf numFmtId="165" fontId="17" fillId="2" borderId="134" xfId="0" applyNumberFormat="1" applyFont="1" applyFill="1" applyBorder="1" applyAlignment="1">
      <alignment horizontal="center"/>
    </xf>
    <xf numFmtId="165" fontId="48" fillId="0" borderId="0" xfId="0" applyNumberFormat="1" applyFont="1" applyAlignment="1">
      <alignment horizontal="center" vertical="center"/>
    </xf>
    <xf numFmtId="165" fontId="17" fillId="0" borderId="0" xfId="0" applyNumberFormat="1" applyFont="1" applyAlignment="1">
      <alignment horizontal="center"/>
    </xf>
    <xf numFmtId="1" fontId="12" fillId="0" borderId="53" xfId="0" applyNumberFormat="1" applyFont="1" applyBorder="1" applyAlignment="1">
      <alignment horizontal="center" vertical="center"/>
    </xf>
    <xf numFmtId="1" fontId="12" fillId="0" borderId="99" xfId="0" applyNumberFormat="1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0" fontId="63" fillId="0" borderId="1" xfId="0" applyFont="1" applyBorder="1" applyAlignment="1">
      <alignment horizontal="center" vertical="center"/>
    </xf>
    <xf numFmtId="174" fontId="18" fillId="0" borderId="1" xfId="0" applyNumberFormat="1" applyFont="1" applyBorder="1" applyAlignment="1">
      <alignment horizontal="center" vertical="center"/>
    </xf>
    <xf numFmtId="1" fontId="12" fillId="13" borderId="1" xfId="1" applyNumberFormat="1" applyFont="1" applyBorder="1" applyAlignment="1">
      <alignment horizontal="center" vertical="center"/>
    </xf>
    <xf numFmtId="1" fontId="12" fillId="16" borderId="1" xfId="1" applyNumberFormat="1" applyFont="1" applyFill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0" fillId="0" borderId="1" xfId="1" applyNumberFormat="1" applyFont="1" applyFill="1" applyBorder="1" applyAlignment="1">
      <alignment horizontal="center" vertical="center"/>
    </xf>
    <xf numFmtId="0" fontId="11" fillId="2" borderId="170" xfId="0" applyFont="1" applyFill="1" applyBorder="1" applyAlignment="1">
      <alignment horizontal="center" vertical="center" wrapText="1"/>
    </xf>
    <xf numFmtId="0" fontId="53" fillId="2" borderId="6" xfId="0" applyFont="1" applyFill="1" applyBorder="1" applyAlignment="1">
      <alignment horizontal="center" vertical="center" wrapText="1"/>
    </xf>
    <xf numFmtId="0" fontId="12" fillId="0" borderId="10" xfId="0" applyFont="1" applyBorder="1" applyAlignment="1">
      <alignment horizontal="centerContinuous" vertical="center"/>
    </xf>
    <xf numFmtId="0" fontId="12" fillId="0" borderId="0" xfId="0" applyFont="1" applyAlignment="1">
      <alignment horizontal="centerContinuous" vertical="center"/>
    </xf>
    <xf numFmtId="1" fontId="0" fillId="0" borderId="37" xfId="0" applyNumberFormat="1" applyBorder="1"/>
    <xf numFmtId="0" fontId="0" fillId="0" borderId="37" xfId="0" applyBorder="1" applyAlignment="1">
      <alignment horizontal="center" vertical="center"/>
    </xf>
    <xf numFmtId="0" fontId="11" fillId="2" borderId="8" xfId="0" applyFont="1" applyFill="1" applyBorder="1" applyAlignment="1">
      <alignment horizontal="centerContinuous" vertical="center"/>
    </xf>
    <xf numFmtId="16" fontId="69" fillId="0" borderId="184" xfId="0" applyNumberFormat="1" applyFont="1" applyBorder="1" applyAlignment="1">
      <alignment horizontal="center" vertical="center"/>
    </xf>
    <xf numFmtId="16" fontId="69" fillId="0" borderId="183" xfId="0" applyNumberFormat="1" applyFont="1" applyBorder="1" applyAlignment="1">
      <alignment horizontal="center" vertical="center"/>
    </xf>
    <xf numFmtId="16" fontId="0" fillId="0" borderId="183" xfId="0" applyNumberFormat="1" applyBorder="1" applyAlignment="1">
      <alignment horizontal="center" vertical="center"/>
    </xf>
    <xf numFmtId="16" fontId="0" fillId="0" borderId="185" xfId="0" applyNumberFormat="1" applyBorder="1" applyAlignment="1">
      <alignment horizontal="center" vertical="center"/>
    </xf>
    <xf numFmtId="16" fontId="0" fillId="0" borderId="184" xfId="0" applyNumberFormat="1" applyBorder="1" applyAlignment="1">
      <alignment horizontal="center" vertical="center"/>
    </xf>
    <xf numFmtId="16" fontId="0" fillId="6" borderId="184" xfId="0" applyNumberFormat="1" applyFill="1" applyBorder="1" applyAlignment="1">
      <alignment horizontal="center" vertical="center"/>
    </xf>
    <xf numFmtId="16" fontId="0" fillId="17" borderId="183" xfId="0" applyNumberFormat="1" applyFill="1" applyBorder="1" applyAlignment="1">
      <alignment horizontal="center" vertical="center"/>
    </xf>
    <xf numFmtId="16" fontId="0" fillId="5" borderId="183" xfId="0" applyNumberFormat="1" applyFill="1" applyBorder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2" fillId="12" borderId="0" xfId="0" applyFont="1" applyFill="1" applyAlignment="1">
      <alignment horizontal="center" vertical="center"/>
    </xf>
    <xf numFmtId="0" fontId="50" fillId="12" borderId="0" xfId="0" applyFont="1" applyFill="1" applyAlignment="1">
      <alignment horizontal="center" vertical="center"/>
    </xf>
    <xf numFmtId="0" fontId="50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12" fillId="12" borderId="0" xfId="0" applyFont="1" applyFill="1" applyAlignment="1">
      <alignment vertical="center"/>
    </xf>
    <xf numFmtId="0" fontId="51" fillId="12" borderId="9" xfId="0" applyFont="1" applyFill="1" applyBorder="1" applyAlignment="1">
      <alignment horizontal="center" vertical="center"/>
    </xf>
    <xf numFmtId="0" fontId="12" fillId="12" borderId="0" xfId="0" applyFont="1" applyFill="1" applyAlignment="1">
      <alignment horizontal="center"/>
    </xf>
    <xf numFmtId="0" fontId="65" fillId="12" borderId="9" xfId="0" applyFont="1" applyFill="1" applyBorder="1" applyAlignment="1">
      <alignment horizontal="center" vertical="center"/>
    </xf>
    <xf numFmtId="0" fontId="0" fillId="12" borderId="10" xfId="0" applyFill="1" applyBorder="1" applyAlignment="1">
      <alignment horizontal="center"/>
    </xf>
    <xf numFmtId="0" fontId="50" fillId="12" borderId="9" xfId="0" applyFont="1" applyFill="1" applyBorder="1" applyAlignment="1">
      <alignment horizontal="center" vertical="center"/>
    </xf>
    <xf numFmtId="0" fontId="50" fillId="12" borderId="0" xfId="0" applyFont="1" applyFill="1"/>
    <xf numFmtId="0" fontId="50" fillId="12" borderId="51" xfId="0" applyFont="1" applyFill="1" applyBorder="1" applyAlignment="1">
      <alignment horizontal="center"/>
    </xf>
    <xf numFmtId="0" fontId="50" fillId="12" borderId="51" xfId="0" applyFont="1" applyFill="1" applyBorder="1" applyAlignment="1">
      <alignment horizontal="center" vertical="center"/>
    </xf>
    <xf numFmtId="0" fontId="50" fillId="12" borderId="50" xfId="0" applyFont="1" applyFill="1" applyBorder="1" applyAlignment="1">
      <alignment horizontal="center" vertical="center"/>
    </xf>
    <xf numFmtId="0" fontId="50" fillId="12" borderId="50" xfId="0" applyFont="1" applyFill="1" applyBorder="1" applyAlignment="1">
      <alignment horizontal="center"/>
    </xf>
    <xf numFmtId="176" fontId="12" fillId="0" borderId="0" xfId="0" applyNumberFormat="1" applyFont="1" applyAlignment="1">
      <alignment horizontal="centerContinuous" vertical="center"/>
    </xf>
    <xf numFmtId="0" fontId="1" fillId="0" borderId="0" xfId="10" applyFont="1"/>
    <xf numFmtId="0" fontId="17" fillId="2" borderId="170" xfId="0" applyFont="1" applyFill="1" applyBorder="1" applyAlignment="1">
      <alignment horizontal="center" vertical="center" wrapText="1"/>
    </xf>
    <xf numFmtId="0" fontId="50" fillId="0" borderId="19" xfId="1" applyFont="1" applyFill="1" applyBorder="1" applyAlignment="1">
      <alignment horizontal="center" vertical="center"/>
    </xf>
    <xf numFmtId="0" fontId="50" fillId="0" borderId="10" xfId="0" applyFont="1" applyBorder="1"/>
    <xf numFmtId="0" fontId="50" fillId="0" borderId="9" xfId="0" applyFont="1" applyBorder="1" applyAlignment="1">
      <alignment horizontal="center"/>
    </xf>
    <xf numFmtId="0" fontId="50" fillId="0" borderId="9" xfId="0" applyFont="1" applyBorder="1"/>
    <xf numFmtId="0" fontId="50" fillId="0" borderId="51" xfId="0" applyFont="1" applyBorder="1"/>
    <xf numFmtId="0" fontId="50" fillId="0" borderId="50" xfId="0" applyFont="1" applyBorder="1"/>
    <xf numFmtId="0" fontId="50" fillId="0" borderId="10" xfId="0" applyFont="1" applyBorder="1" applyAlignment="1">
      <alignment horizontal="center"/>
    </xf>
    <xf numFmtId="0" fontId="50" fillId="0" borderId="51" xfId="0" applyFont="1" applyBorder="1" applyAlignment="1">
      <alignment horizontal="center"/>
    </xf>
    <xf numFmtId="0" fontId="50" fillId="0" borderId="50" xfId="0" applyFont="1" applyBorder="1" applyAlignment="1">
      <alignment horizontal="center"/>
    </xf>
    <xf numFmtId="0" fontId="57" fillId="0" borderId="0" xfId="0" applyFont="1" applyAlignment="1">
      <alignment horizontal="center" vertical="center"/>
    </xf>
    <xf numFmtId="0" fontId="50" fillId="0" borderId="10" xfId="0" applyFont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51" fillId="0" borderId="10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0" fontId="51" fillId="0" borderId="9" xfId="0" applyFon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0" fillId="0" borderId="51" xfId="0" applyFont="1" applyBorder="1" applyAlignment="1">
      <alignment horizontal="center" vertical="center"/>
    </xf>
    <xf numFmtId="0" fontId="50" fillId="0" borderId="50" xfId="0" applyFont="1" applyBorder="1" applyAlignment="1">
      <alignment horizontal="center" vertical="center"/>
    </xf>
    <xf numFmtId="0" fontId="65" fillId="0" borderId="9" xfId="0" applyFont="1" applyBorder="1" applyAlignment="1">
      <alignment horizontal="center" vertical="center"/>
    </xf>
    <xf numFmtId="0" fontId="51" fillId="0" borderId="51" xfId="0" applyFont="1" applyBorder="1" applyAlignment="1">
      <alignment horizontal="center" vertical="center"/>
    </xf>
    <xf numFmtId="0" fontId="51" fillId="0" borderId="51" xfId="0" applyFont="1" applyBorder="1" applyAlignment="1">
      <alignment horizontal="center"/>
    </xf>
    <xf numFmtId="0" fontId="50" fillId="0" borderId="25" xfId="1" quotePrefix="1" applyFont="1" applyFill="1" applyBorder="1" applyAlignment="1">
      <alignment horizontal="center" vertical="center"/>
    </xf>
    <xf numFmtId="0" fontId="50" fillId="0" borderId="25" xfId="0" applyFont="1" applyBorder="1" applyAlignment="1">
      <alignment horizontal="center" vertical="center"/>
    </xf>
    <xf numFmtId="0" fontId="56" fillId="0" borderId="1" xfId="0" quotePrefix="1" applyFont="1" applyBorder="1" applyAlignment="1">
      <alignment horizontal="center" vertical="center" wrapText="1"/>
    </xf>
    <xf numFmtId="0" fontId="50" fillId="13" borderId="26" xfId="1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50" fillId="0" borderId="25" xfId="1" applyFont="1" applyFill="1" applyBorder="1" applyAlignment="1">
      <alignment horizontal="center" vertical="center"/>
    </xf>
    <xf numFmtId="0" fontId="50" fillId="0" borderId="26" xfId="1" applyFont="1" applyFill="1" applyBorder="1" applyAlignment="1">
      <alignment horizontal="center" vertical="center"/>
    </xf>
    <xf numFmtId="0" fontId="50" fillId="0" borderId="26" xfId="1" quotePrefix="1" applyFont="1" applyFill="1" applyBorder="1" applyAlignment="1">
      <alignment horizontal="center" vertical="center"/>
    </xf>
    <xf numFmtId="0" fontId="50" fillId="0" borderId="25" xfId="0" quotePrefix="1" applyFont="1" applyBorder="1" applyAlignment="1">
      <alignment horizontal="center" vertical="center"/>
    </xf>
    <xf numFmtId="0" fontId="50" fillId="0" borderId="37" xfId="1" quotePrefix="1" applyFont="1" applyFill="1" applyBorder="1" applyAlignment="1">
      <alignment horizontal="center" vertical="center"/>
    </xf>
    <xf numFmtId="1" fontId="50" fillId="0" borderId="0" xfId="0" applyNumberFormat="1" applyFont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165" fontId="12" fillId="0" borderId="4" xfId="0" applyNumberFormat="1" applyFont="1" applyBorder="1" applyAlignment="1">
      <alignment horizontal="center" vertical="center"/>
    </xf>
    <xf numFmtId="165" fontId="12" fillId="0" borderId="3" xfId="0" applyNumberFormat="1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165" fontId="12" fillId="0" borderId="2" xfId="0" applyNumberFormat="1" applyFont="1" applyBorder="1" applyAlignment="1">
      <alignment horizontal="center"/>
    </xf>
    <xf numFmtId="0" fontId="12" fillId="0" borderId="17" xfId="0" applyFont="1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0" borderId="100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85" xfId="0" applyBorder="1" applyAlignment="1">
      <alignment horizontal="center"/>
    </xf>
    <xf numFmtId="0" fontId="17" fillId="2" borderId="181" xfId="0" applyFont="1" applyFill="1" applyBorder="1" applyAlignment="1">
      <alignment horizontal="center"/>
    </xf>
    <xf numFmtId="0" fontId="17" fillId="2" borderId="79" xfId="0" applyFont="1" applyFill="1" applyBorder="1" applyAlignment="1">
      <alignment horizontal="center"/>
    </xf>
    <xf numFmtId="0" fontId="17" fillId="2" borderId="80" xfId="0" applyFont="1" applyFill="1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84" xfId="0" applyBorder="1" applyAlignment="1">
      <alignment horizontal="center"/>
    </xf>
    <xf numFmtId="0" fontId="17" fillId="17" borderId="77" xfId="0" applyFont="1" applyFill="1" applyBorder="1" applyAlignment="1">
      <alignment horizontal="center"/>
    </xf>
    <xf numFmtId="0" fontId="17" fillId="17" borderId="72" xfId="0" applyFont="1" applyFill="1" applyBorder="1" applyAlignment="1">
      <alignment horizontal="center"/>
    </xf>
    <xf numFmtId="0" fontId="17" fillId="17" borderId="79" xfId="0" applyFont="1" applyFill="1" applyBorder="1" applyAlignment="1">
      <alignment horizontal="center"/>
    </xf>
    <xf numFmtId="0" fontId="17" fillId="2" borderId="72" xfId="0" applyFont="1" applyFill="1" applyBorder="1" applyAlignment="1">
      <alignment horizontal="center"/>
    </xf>
    <xf numFmtId="0" fontId="17" fillId="2" borderId="73" xfId="0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12" fillId="0" borderId="41" xfId="0" applyFont="1" applyBorder="1" applyAlignment="1">
      <alignment horizontal="center"/>
    </xf>
    <xf numFmtId="0" fontId="30" fillId="0" borderId="1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165" fontId="30" fillId="0" borderId="20" xfId="0" applyNumberFormat="1" applyFont="1" applyBorder="1" applyAlignment="1">
      <alignment horizontal="center" vertical="center"/>
    </xf>
    <xf numFmtId="165" fontId="30" fillId="0" borderId="1" xfId="0" applyNumberFormat="1" applyFont="1" applyBorder="1" applyAlignment="1">
      <alignment horizontal="center" vertical="center"/>
    </xf>
    <xf numFmtId="165" fontId="12" fillId="0" borderId="28" xfId="0" applyNumberFormat="1" applyFont="1" applyBorder="1" applyAlignment="1">
      <alignment horizontal="center" vertical="center"/>
    </xf>
    <xf numFmtId="165" fontId="12" fillId="0" borderId="29" xfId="0" applyNumberFormat="1" applyFont="1" applyBorder="1" applyAlignment="1">
      <alignment horizontal="center" vertical="center"/>
    </xf>
    <xf numFmtId="0" fontId="17" fillId="17" borderId="18" xfId="0" applyFont="1" applyFill="1" applyBorder="1" applyAlignment="1">
      <alignment horizontal="center" vertical="center"/>
    </xf>
    <xf numFmtId="16" fontId="12" fillId="0" borderId="11" xfId="0" applyNumberFormat="1" applyFont="1" applyBorder="1" applyAlignment="1">
      <alignment horizontal="center" vertical="center"/>
    </xf>
    <xf numFmtId="16" fontId="12" fillId="0" borderId="42" xfId="0" applyNumberFormat="1" applyFont="1" applyBorder="1" applyAlignment="1">
      <alignment horizontal="center" vertical="center"/>
    </xf>
    <xf numFmtId="16" fontId="12" fillId="0" borderId="12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12" xfId="0" applyBorder="1" applyAlignment="1">
      <alignment horizontal="center"/>
    </xf>
    <xf numFmtId="0" fontId="17" fillId="17" borderId="173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17" fillId="29" borderId="55" xfId="0" applyFont="1" applyFill="1" applyBorder="1" applyAlignment="1">
      <alignment horizontal="center" vertical="center"/>
    </xf>
    <xf numFmtId="0" fontId="0" fillId="29" borderId="43" xfId="0" applyFill="1" applyBorder="1" applyAlignment="1">
      <alignment horizontal="center" vertical="center"/>
    </xf>
    <xf numFmtId="0" fontId="0" fillId="29" borderId="44" xfId="0" applyFill="1" applyBorder="1" applyAlignment="1">
      <alignment horizontal="center" vertical="center"/>
    </xf>
    <xf numFmtId="0" fontId="17" fillId="2" borderId="18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30" fillId="0" borderId="20" xfId="0" applyFont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0" fillId="2" borderId="54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7" fillId="2" borderId="1" xfId="0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165" fontId="12" fillId="0" borderId="13" xfId="0" applyNumberFormat="1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2" borderId="151" xfId="0" applyFont="1" applyFill="1" applyBorder="1" applyAlignment="1">
      <alignment horizontal="center"/>
    </xf>
    <xf numFmtId="0" fontId="17" fillId="2" borderId="153" xfId="0" applyFont="1" applyFill="1" applyBorder="1" applyAlignment="1">
      <alignment horizontal="center"/>
    </xf>
    <xf numFmtId="165" fontId="12" fillId="12" borderId="3" xfId="0" applyNumberFormat="1" applyFont="1" applyFill="1" applyBorder="1" applyAlignment="1">
      <alignment horizontal="center" vertical="center"/>
    </xf>
    <xf numFmtId="0" fontId="12" fillId="12" borderId="4" xfId="0" applyFont="1" applyFill="1" applyBorder="1" applyAlignment="1">
      <alignment horizontal="center" vertical="center"/>
    </xf>
    <xf numFmtId="0" fontId="12" fillId="12" borderId="2" xfId="0" applyFont="1" applyFill="1" applyBorder="1" applyAlignment="1">
      <alignment horizontal="center" vertical="center"/>
    </xf>
    <xf numFmtId="0" fontId="17" fillId="17" borderId="170" xfId="0" applyFont="1" applyFill="1" applyBorder="1" applyAlignment="1">
      <alignment horizontal="center" vertical="center"/>
    </xf>
    <xf numFmtId="0" fontId="17" fillId="2" borderId="170" xfId="0" applyFont="1" applyFill="1" applyBorder="1" applyAlignment="1">
      <alignment horizontal="center" vertical="center"/>
    </xf>
    <xf numFmtId="0" fontId="17" fillId="2" borderId="171" xfId="0" applyFont="1" applyFill="1" applyBorder="1" applyAlignment="1">
      <alignment horizontal="center" vertical="center"/>
    </xf>
    <xf numFmtId="167" fontId="12" fillId="12" borderId="3" xfId="0" applyNumberFormat="1" applyFont="1" applyFill="1" applyBorder="1" applyAlignment="1">
      <alignment horizontal="center" vertical="center"/>
    </xf>
    <xf numFmtId="0" fontId="17" fillId="29" borderId="173" xfId="0" applyFont="1" applyFill="1" applyBorder="1" applyAlignment="1">
      <alignment horizontal="center" vertical="center"/>
    </xf>
    <xf numFmtId="0" fontId="0" fillId="29" borderId="6" xfId="0" applyFill="1" applyBorder="1" applyAlignment="1">
      <alignment horizontal="center" vertical="center"/>
    </xf>
    <xf numFmtId="0" fontId="0" fillId="29" borderId="172" xfId="0" applyFill="1" applyBorder="1" applyAlignment="1">
      <alignment horizontal="center" vertical="center"/>
    </xf>
    <xf numFmtId="9" fontId="12" fillId="0" borderId="17" xfId="0" applyNumberFormat="1" applyFon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65" fontId="12" fillId="0" borderId="2" xfId="0" applyNumberFormat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14" fontId="12" fillId="0" borderId="1" xfId="0" applyNumberFormat="1" applyFont="1" applyBorder="1" applyAlignment="1">
      <alignment horizontal="center" vertical="center"/>
    </xf>
    <xf numFmtId="0" fontId="12" fillId="0" borderId="115" xfId="0" applyFont="1" applyBorder="1" applyAlignment="1">
      <alignment horizontal="center" vertical="center"/>
    </xf>
    <xf numFmtId="14" fontId="12" fillId="0" borderId="115" xfId="0" applyNumberFormat="1" applyFont="1" applyBorder="1" applyAlignment="1">
      <alignment horizontal="center" vertical="center"/>
    </xf>
    <xf numFmtId="0" fontId="11" fillId="2" borderId="149" xfId="0" applyFont="1" applyFill="1" applyBorder="1" applyAlignment="1">
      <alignment horizontal="center" vertical="center"/>
    </xf>
    <xf numFmtId="0" fontId="11" fillId="2" borderId="150" xfId="0" applyFont="1" applyFill="1" applyBorder="1" applyAlignment="1">
      <alignment horizontal="center" vertical="center"/>
    </xf>
    <xf numFmtId="0" fontId="11" fillId="2" borderId="112" xfId="0" applyFont="1" applyFill="1" applyBorder="1" applyAlignment="1">
      <alignment horizontal="center" vertical="center"/>
    </xf>
    <xf numFmtId="0" fontId="11" fillId="2" borderId="113" xfId="0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15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42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4" fillId="16" borderId="1" xfId="0" applyFont="1" applyFill="1" applyBorder="1" applyAlignment="1">
      <alignment horizontal="center" vertical="center" wrapText="1"/>
    </xf>
    <xf numFmtId="14" fontId="12" fillId="16" borderId="1" xfId="0" applyNumberFormat="1" applyFont="1" applyFill="1" applyBorder="1" applyAlignment="1">
      <alignment horizontal="center" vertical="center"/>
    </xf>
    <xf numFmtId="14" fontId="12" fillId="16" borderId="115" xfId="0" applyNumberFormat="1" applyFont="1" applyFill="1" applyBorder="1" applyAlignment="1">
      <alignment horizontal="center" vertical="center"/>
    </xf>
    <xf numFmtId="0" fontId="12" fillId="16" borderId="115" xfId="0" applyFont="1" applyFill="1" applyBorder="1" applyAlignment="1">
      <alignment horizontal="center" vertical="center"/>
    </xf>
    <xf numFmtId="14" fontId="17" fillId="9" borderId="0" xfId="0" applyNumberFormat="1" applyFont="1" applyFill="1" applyAlignment="1">
      <alignment horizontal="center" vertical="center"/>
    </xf>
    <xf numFmtId="0" fontId="19" fillId="16" borderId="11" xfId="0" applyFont="1" applyFill="1" applyBorder="1" applyAlignment="1">
      <alignment horizontal="center" vertical="center"/>
    </xf>
    <xf numFmtId="0" fontId="19" fillId="16" borderId="42" xfId="0" applyFont="1" applyFill="1" applyBorder="1" applyAlignment="1">
      <alignment horizontal="center" vertical="center"/>
    </xf>
    <xf numFmtId="0" fontId="19" fillId="16" borderId="12" xfId="0" applyFont="1" applyFill="1" applyBorder="1" applyAlignment="1">
      <alignment horizontal="center" vertical="center"/>
    </xf>
    <xf numFmtId="0" fontId="19" fillId="16" borderId="1" xfId="0" applyFont="1" applyFill="1" applyBorder="1" applyAlignment="1">
      <alignment horizontal="center" vertical="center"/>
    </xf>
    <xf numFmtId="0" fontId="19" fillId="0" borderId="116" xfId="0" applyFont="1" applyBorder="1" applyAlignment="1">
      <alignment horizontal="center" vertical="center"/>
    </xf>
    <xf numFmtId="0" fontId="19" fillId="0" borderId="117" xfId="0" applyFont="1" applyBorder="1" applyAlignment="1">
      <alignment horizontal="center" vertical="center"/>
    </xf>
    <xf numFmtId="0" fontId="19" fillId="0" borderId="46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36" xfId="0" applyFont="1" applyBorder="1" applyAlignment="1">
      <alignment horizontal="center" vertical="center"/>
    </xf>
    <xf numFmtId="14" fontId="12" fillId="0" borderId="11" xfId="0" applyNumberFormat="1" applyFont="1" applyBorder="1" applyAlignment="1">
      <alignment horizontal="center" vertical="center"/>
    </xf>
    <xf numFmtId="14" fontId="12" fillId="0" borderId="118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19" fillId="0" borderId="121" xfId="0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37" xfId="0" applyFont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 wrapText="1"/>
    </xf>
    <xf numFmtId="14" fontId="12" fillId="0" borderId="46" xfId="0" applyNumberFormat="1" applyFont="1" applyBorder="1" applyAlignment="1">
      <alignment horizontal="center" vertical="center"/>
    </xf>
    <xf numFmtId="14" fontId="12" fillId="0" borderId="119" xfId="0" applyNumberFormat="1" applyFont="1" applyBorder="1" applyAlignment="1">
      <alignment horizontal="center" vertical="center"/>
    </xf>
    <xf numFmtId="14" fontId="12" fillId="0" borderId="45" xfId="0" applyNumberFormat="1" applyFont="1" applyBorder="1" applyAlignment="1">
      <alignment horizontal="center" vertical="center"/>
    </xf>
    <xf numFmtId="14" fontId="12" fillId="0" borderId="122" xfId="0" applyNumberFormat="1" applyFont="1" applyBorder="1" applyAlignment="1">
      <alignment horizontal="center" vertical="center"/>
    </xf>
    <xf numFmtId="14" fontId="12" fillId="0" borderId="53" xfId="0" applyNumberFormat="1" applyFont="1" applyBorder="1" applyAlignment="1">
      <alignment horizontal="center" vertical="center"/>
    </xf>
    <xf numFmtId="14" fontId="12" fillId="0" borderId="120" xfId="0" applyNumberFormat="1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 wrapText="1"/>
    </xf>
    <xf numFmtId="0" fontId="14" fillId="0" borderId="46" xfId="0" applyFont="1" applyBorder="1" applyAlignment="1">
      <alignment horizontal="center" vertical="center" wrapText="1"/>
    </xf>
    <xf numFmtId="0" fontId="14" fillId="0" borderId="109" xfId="0" applyFont="1" applyBorder="1" applyAlignment="1">
      <alignment horizontal="center" vertical="center" wrapText="1"/>
    </xf>
    <xf numFmtId="0" fontId="14" fillId="0" borderId="27" xfId="0" applyFont="1" applyBorder="1" applyAlignment="1">
      <alignment horizontal="center" vertical="center" wrapText="1"/>
    </xf>
    <xf numFmtId="0" fontId="14" fillId="0" borderId="45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37" xfId="0" applyFont="1" applyBorder="1" applyAlignment="1">
      <alignment horizontal="center" vertical="center" wrapText="1"/>
    </xf>
    <xf numFmtId="0" fontId="14" fillId="0" borderId="53" xfId="0" applyFont="1" applyBorder="1" applyAlignment="1">
      <alignment horizontal="center" vertical="center" wrapText="1"/>
    </xf>
    <xf numFmtId="0" fontId="14" fillId="0" borderId="60" xfId="0" applyFont="1" applyBorder="1" applyAlignment="1">
      <alignment horizontal="center" vertical="center" wrapText="1"/>
    </xf>
    <xf numFmtId="0" fontId="14" fillId="0" borderId="36" xfId="0" applyFont="1" applyBorder="1" applyAlignment="1">
      <alignment horizontal="center" vertical="center" wrapText="1"/>
    </xf>
    <xf numFmtId="14" fontId="17" fillId="6" borderId="0" xfId="0" applyNumberFormat="1" applyFont="1" applyFill="1" applyAlignment="1">
      <alignment horizontal="center" vertical="center"/>
    </xf>
    <xf numFmtId="0" fontId="14" fillId="5" borderId="11" xfId="0" applyFont="1" applyFill="1" applyBorder="1" applyAlignment="1">
      <alignment horizontal="center" vertical="center" wrapText="1"/>
    </xf>
    <xf numFmtId="0" fontId="14" fillId="5" borderId="12" xfId="0" applyFont="1" applyFill="1" applyBorder="1" applyAlignment="1">
      <alignment horizontal="center" vertical="center" wrapText="1"/>
    </xf>
    <xf numFmtId="14" fontId="17" fillId="7" borderId="0" xfId="0" applyNumberFormat="1" applyFont="1" applyFill="1" applyAlignment="1">
      <alignment horizontal="center" vertical="center"/>
    </xf>
    <xf numFmtId="14" fontId="17" fillId="9" borderId="9" xfId="0" applyNumberFormat="1" applyFont="1" applyFill="1" applyBorder="1" applyAlignment="1">
      <alignment horizontal="center" vertical="center"/>
    </xf>
    <xf numFmtId="0" fontId="17" fillId="9" borderId="9" xfId="0" applyFont="1" applyFill="1" applyBorder="1" applyAlignment="1">
      <alignment horizontal="center" vertical="center"/>
    </xf>
    <xf numFmtId="0" fontId="14" fillId="0" borderId="124" xfId="0" applyFont="1" applyBorder="1" applyAlignment="1">
      <alignment horizontal="center" vertical="center" wrapText="1"/>
    </xf>
    <xf numFmtId="0" fontId="14" fillId="0" borderId="125" xfId="0" applyFont="1" applyBorder="1" applyAlignment="1">
      <alignment horizontal="center" vertical="center" wrapText="1"/>
    </xf>
    <xf numFmtId="0" fontId="14" fillId="0" borderId="126" xfId="0" applyFont="1" applyBorder="1" applyAlignment="1">
      <alignment horizontal="center" vertical="center" wrapText="1"/>
    </xf>
    <xf numFmtId="14" fontId="12" fillId="0" borderId="127" xfId="0" applyNumberFormat="1" applyFont="1" applyBorder="1" applyAlignment="1">
      <alignment horizontal="center" vertical="center"/>
    </xf>
    <xf numFmtId="14" fontId="12" fillId="0" borderId="128" xfId="0" applyNumberFormat="1" applyFont="1" applyBorder="1" applyAlignment="1">
      <alignment horizontal="center" vertical="center"/>
    </xf>
    <xf numFmtId="0" fontId="11" fillId="2" borderId="130" xfId="0" applyFont="1" applyFill="1" applyBorder="1" applyAlignment="1">
      <alignment horizontal="center" vertical="center"/>
    </xf>
    <xf numFmtId="0" fontId="11" fillId="2" borderId="131" xfId="0" applyFont="1" applyFill="1" applyBorder="1" applyAlignment="1">
      <alignment horizontal="center" vertical="center"/>
    </xf>
    <xf numFmtId="0" fontId="11" fillId="2" borderId="132" xfId="0" applyFont="1" applyFill="1" applyBorder="1" applyAlignment="1">
      <alignment horizontal="center" vertical="center"/>
    </xf>
    <xf numFmtId="0" fontId="17" fillId="2" borderId="130" xfId="0" applyFont="1" applyFill="1" applyBorder="1" applyAlignment="1">
      <alignment horizontal="center" vertical="center"/>
    </xf>
    <xf numFmtId="0" fontId="17" fillId="2" borderId="132" xfId="0" applyFont="1" applyFill="1" applyBorder="1" applyAlignment="1">
      <alignment horizontal="center" vertical="center"/>
    </xf>
    <xf numFmtId="17" fontId="38" fillId="12" borderId="19" xfId="1" applyNumberFormat="1" applyFont="1" applyFill="1" applyBorder="1" applyAlignment="1">
      <alignment horizontal="center" vertical="center"/>
    </xf>
    <xf numFmtId="17" fontId="38" fillId="12" borderId="25" xfId="1" applyNumberFormat="1" applyFont="1" applyFill="1" applyBorder="1" applyAlignment="1">
      <alignment horizontal="center" vertical="center"/>
    </xf>
    <xf numFmtId="17" fontId="38" fillId="12" borderId="26" xfId="1" applyNumberFormat="1" applyFont="1" applyFill="1" applyBorder="1" applyAlignment="1">
      <alignment horizontal="center" vertical="center"/>
    </xf>
    <xf numFmtId="0" fontId="38" fillId="13" borderId="1" xfId="1" applyFont="1" applyBorder="1" applyAlignment="1">
      <alignment horizontal="center" vertical="center"/>
    </xf>
    <xf numFmtId="17" fontId="38" fillId="12" borderId="1" xfId="1" applyNumberFormat="1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27" borderId="19" xfId="0" applyFont="1" applyFill="1" applyBorder="1" applyAlignment="1">
      <alignment horizontal="center" vertical="center" wrapText="1"/>
    </xf>
    <xf numFmtId="0" fontId="12" fillId="27" borderId="25" xfId="0" applyFont="1" applyFill="1" applyBorder="1" applyAlignment="1">
      <alignment horizontal="center" vertical="center" wrapText="1"/>
    </xf>
    <xf numFmtId="0" fontId="12" fillId="27" borderId="26" xfId="0" applyFont="1" applyFill="1" applyBorder="1" applyAlignment="1">
      <alignment horizontal="center" vertical="center" wrapText="1"/>
    </xf>
    <xf numFmtId="0" fontId="38" fillId="0" borderId="19" xfId="1" applyFont="1" applyFill="1" applyBorder="1" applyAlignment="1">
      <alignment horizontal="center" vertical="center"/>
    </xf>
    <xf numFmtId="0" fontId="38" fillId="0" borderId="1" xfId="1" applyFont="1" applyFill="1" applyBorder="1" applyAlignment="1">
      <alignment horizontal="center" vertical="center"/>
    </xf>
    <xf numFmtId="14" fontId="12" fillId="7" borderId="1" xfId="0" applyNumberFormat="1" applyFont="1" applyFill="1" applyBorder="1" applyAlignment="1">
      <alignment horizontal="center" vertical="center"/>
    </xf>
    <xf numFmtId="0" fontId="38" fillId="0" borderId="26" xfId="1" applyFont="1" applyFill="1" applyBorder="1" applyAlignment="1">
      <alignment horizontal="center" vertical="center"/>
    </xf>
    <xf numFmtId="17" fontId="38" fillId="0" borderId="19" xfId="1" applyNumberFormat="1" applyFont="1" applyFill="1" applyBorder="1" applyAlignment="1">
      <alignment horizontal="center" vertical="center"/>
    </xf>
    <xf numFmtId="17" fontId="38" fillId="0" borderId="25" xfId="1" applyNumberFormat="1" applyFont="1" applyFill="1" applyBorder="1" applyAlignment="1">
      <alignment horizontal="center" vertical="center"/>
    </xf>
    <xf numFmtId="165" fontId="12" fillId="0" borderId="14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12" fillId="0" borderId="44" xfId="0" applyFont="1" applyBorder="1" applyAlignment="1">
      <alignment horizontal="center" vertical="center"/>
    </xf>
    <xf numFmtId="0" fontId="12" fillId="0" borderId="41" xfId="0" applyFont="1" applyBorder="1" applyAlignment="1">
      <alignment horizontal="center" vertical="center"/>
    </xf>
    <xf numFmtId="0" fontId="12" fillId="0" borderId="4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40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165" fontId="0" fillId="0" borderId="13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12" fillId="0" borderId="13" xfId="0" applyNumberFormat="1" applyFont="1" applyBorder="1" applyAlignment="1">
      <alignment horizontal="center"/>
    </xf>
    <xf numFmtId="165" fontId="12" fillId="0" borderId="14" xfId="0" applyNumberFormat="1" applyFont="1" applyBorder="1" applyAlignment="1">
      <alignment horizontal="center"/>
    </xf>
    <xf numFmtId="165" fontId="0" fillId="0" borderId="14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5" fontId="24" fillId="0" borderId="6" xfId="0" applyNumberFormat="1" applyFon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/>
    </xf>
    <xf numFmtId="0" fontId="33" fillId="18" borderId="38" xfId="0" applyFont="1" applyFill="1" applyBorder="1" applyAlignment="1">
      <alignment horizontal="center" vertical="center"/>
    </xf>
    <xf numFmtId="0" fontId="33" fillId="18" borderId="39" xfId="0" applyFont="1" applyFill="1" applyBorder="1" applyAlignment="1">
      <alignment horizontal="center" vertical="center"/>
    </xf>
    <xf numFmtId="0" fontId="33" fillId="18" borderId="40" xfId="0" applyFont="1" applyFill="1" applyBorder="1" applyAlignment="1">
      <alignment horizontal="center" vertical="center"/>
    </xf>
    <xf numFmtId="0" fontId="33" fillId="18" borderId="164" xfId="0" applyFont="1" applyFill="1" applyBorder="1" applyAlignment="1">
      <alignment horizontal="center" vertical="center"/>
    </xf>
    <xf numFmtId="0" fontId="33" fillId="18" borderId="152" xfId="0" applyFont="1" applyFill="1" applyBorder="1" applyAlignment="1">
      <alignment horizontal="center" vertical="center"/>
    </xf>
    <xf numFmtId="0" fontId="33" fillId="18" borderId="165" xfId="0" applyFont="1" applyFill="1" applyBorder="1" applyAlignment="1">
      <alignment horizontal="center" vertical="center"/>
    </xf>
    <xf numFmtId="0" fontId="34" fillId="18" borderId="164" xfId="0" applyFont="1" applyFill="1" applyBorder="1" applyAlignment="1">
      <alignment horizontal="center" vertical="center"/>
    </xf>
    <xf numFmtId="0" fontId="34" fillId="18" borderId="166" xfId="0" applyFont="1" applyFill="1" applyBorder="1" applyAlignment="1">
      <alignment horizontal="center" vertical="center"/>
    </xf>
    <xf numFmtId="0" fontId="34" fillId="18" borderId="152" xfId="0" applyFont="1" applyFill="1" applyBorder="1" applyAlignment="1">
      <alignment horizontal="center" vertical="center"/>
    </xf>
    <xf numFmtId="0" fontId="34" fillId="18" borderId="70" xfId="0" applyFont="1" applyFill="1" applyBorder="1" applyAlignment="1">
      <alignment horizontal="center" vertical="center"/>
    </xf>
    <xf numFmtId="0" fontId="34" fillId="18" borderId="152" xfId="0" applyFont="1" applyFill="1" applyBorder="1" applyAlignment="1">
      <alignment horizontal="center" vertical="center" wrapText="1"/>
    </xf>
    <xf numFmtId="0" fontId="34" fillId="18" borderId="70" xfId="0" applyFont="1" applyFill="1" applyBorder="1" applyAlignment="1">
      <alignment horizontal="center" vertical="center" wrapText="1"/>
    </xf>
    <xf numFmtId="0" fontId="33" fillId="18" borderId="174" xfId="0" applyFont="1" applyFill="1" applyBorder="1" applyAlignment="1">
      <alignment horizontal="center" vertical="center"/>
    </xf>
    <xf numFmtId="0" fontId="33" fillId="18" borderId="148" xfId="0" applyFont="1" applyFill="1" applyBorder="1" applyAlignment="1">
      <alignment horizontal="center" vertical="center"/>
    </xf>
    <xf numFmtId="0" fontId="33" fillId="18" borderId="137" xfId="0" applyFont="1" applyFill="1" applyBorder="1" applyAlignment="1">
      <alignment horizontal="center" vertical="center"/>
    </xf>
    <xf numFmtId="0" fontId="33" fillId="18" borderId="168" xfId="0" applyFont="1" applyFill="1" applyBorder="1" applyAlignment="1">
      <alignment horizontal="center" vertical="center"/>
    </xf>
    <xf numFmtId="0" fontId="33" fillId="18" borderId="143" xfId="0" applyFont="1" applyFill="1" applyBorder="1" applyAlignment="1">
      <alignment horizontal="center" vertical="center"/>
    </xf>
    <xf numFmtId="0" fontId="33" fillId="18" borderId="167" xfId="0" applyFont="1" applyFill="1" applyBorder="1" applyAlignment="1">
      <alignment horizontal="center" vertical="center"/>
    </xf>
    <xf numFmtId="0" fontId="33" fillId="18" borderId="78" xfId="0" applyFont="1" applyFill="1" applyBorder="1" applyAlignment="1">
      <alignment horizontal="center" vertical="center"/>
    </xf>
    <xf numFmtId="166" fontId="34" fillId="19" borderId="89" xfId="4" applyNumberFormat="1" applyFont="1" applyFill="1" applyBorder="1" applyAlignment="1">
      <alignment horizontal="center" vertical="center"/>
    </xf>
    <xf numFmtId="166" fontId="34" fillId="19" borderId="88" xfId="4" applyNumberFormat="1" applyFont="1" applyFill="1" applyBorder="1" applyAlignment="1">
      <alignment horizontal="center" vertical="center"/>
    </xf>
    <xf numFmtId="166" fontId="34" fillId="19" borderId="92" xfId="4" applyNumberFormat="1" applyFont="1" applyFill="1" applyBorder="1" applyAlignment="1">
      <alignment horizontal="center" vertical="center"/>
    </xf>
    <xf numFmtId="0" fontId="33" fillId="18" borderId="86" xfId="0" applyFont="1" applyFill="1" applyBorder="1" applyAlignment="1">
      <alignment horizontal="center" vertical="center"/>
    </xf>
    <xf numFmtId="0" fontId="33" fillId="18" borderId="87" xfId="0" applyFont="1" applyFill="1" applyBorder="1" applyAlignment="1">
      <alignment horizontal="center" vertical="center"/>
    </xf>
    <xf numFmtId="0" fontId="33" fillId="18" borderId="67" xfId="0" applyFont="1" applyFill="1" applyBorder="1" applyAlignment="1">
      <alignment horizontal="center" vertical="center"/>
    </xf>
    <xf numFmtId="0" fontId="49" fillId="0" borderId="3" xfId="0" applyFont="1" applyBorder="1" applyAlignment="1">
      <alignment horizontal="center" vertical="center"/>
    </xf>
    <xf numFmtId="0" fontId="49" fillId="0" borderId="154" xfId="0" applyFont="1" applyBorder="1" applyAlignment="1">
      <alignment horizontal="center" vertical="center"/>
    </xf>
    <xf numFmtId="0" fontId="33" fillId="18" borderId="1" xfId="0" applyFont="1" applyFill="1" applyBorder="1" applyAlignment="1">
      <alignment horizontal="center" vertical="center"/>
    </xf>
    <xf numFmtId="0" fontId="33" fillId="18" borderId="1" xfId="0" applyFont="1" applyFill="1" applyBorder="1" applyAlignment="1">
      <alignment horizontal="center" vertical="center" wrapText="1"/>
    </xf>
    <xf numFmtId="3" fontId="33" fillId="20" borderId="1" xfId="0" applyNumberFormat="1" applyFont="1" applyFill="1" applyBorder="1" applyAlignment="1">
      <alignment horizontal="center" vertical="center"/>
    </xf>
    <xf numFmtId="0" fontId="34" fillId="18" borderId="101" xfId="0" applyFont="1" applyFill="1" applyBorder="1" applyAlignment="1">
      <alignment horizontal="center" vertical="center" wrapText="1"/>
    </xf>
    <xf numFmtId="0" fontId="34" fillId="18" borderId="103" xfId="0" applyFont="1" applyFill="1" applyBorder="1" applyAlignment="1">
      <alignment horizontal="center" vertical="center" wrapText="1"/>
    </xf>
    <xf numFmtId="0" fontId="33" fillId="18" borderId="13" xfId="0" applyFont="1" applyFill="1" applyBorder="1" applyAlignment="1">
      <alignment horizontal="center" vertical="center"/>
    </xf>
    <xf numFmtId="0" fontId="33" fillId="18" borderId="14" xfId="0" applyFont="1" applyFill="1" applyBorder="1" applyAlignment="1">
      <alignment horizontal="center" vertical="center"/>
    </xf>
    <xf numFmtId="0" fontId="33" fillId="18" borderId="96" xfId="0" applyFont="1" applyFill="1" applyBorder="1" applyAlignment="1">
      <alignment horizontal="center" vertical="center"/>
    </xf>
    <xf numFmtId="0" fontId="33" fillId="18" borderId="129" xfId="0" applyFont="1" applyFill="1" applyBorder="1" applyAlignment="1">
      <alignment horizontal="center" vertical="center"/>
    </xf>
    <xf numFmtId="0" fontId="33" fillId="18" borderId="90" xfId="0" applyFont="1" applyFill="1" applyBorder="1" applyAlignment="1">
      <alignment horizontal="center" vertical="center"/>
    </xf>
    <xf numFmtId="0" fontId="33" fillId="18" borderId="91" xfId="0" applyFont="1" applyFill="1" applyBorder="1" applyAlignment="1">
      <alignment horizontal="center" vertical="center"/>
    </xf>
    <xf numFmtId="0" fontId="33" fillId="18" borderId="101" xfId="0" applyFont="1" applyFill="1" applyBorder="1" applyAlignment="1">
      <alignment horizontal="center" vertical="center" wrapText="1"/>
    </xf>
    <xf numFmtId="0" fontId="33" fillId="18" borderId="103" xfId="0" applyFont="1" applyFill="1" applyBorder="1" applyAlignment="1">
      <alignment horizontal="center" vertical="center" wrapText="1"/>
    </xf>
  </cellXfs>
  <cellStyles count="11">
    <cellStyle name="Bad" xfId="1" builtinId="27"/>
    <cellStyle name="Currency" xfId="2" builtinId="4"/>
    <cellStyle name="Currency 2" xfId="4" xr:uid="{6E1673D3-CF2A-324C-A9FF-24159A16AEE3}"/>
    <cellStyle name="Currency 2 2" xfId="9" xr:uid="{0B9A0504-1D9A-B446-BCF8-C774C1220215}"/>
    <cellStyle name="Normal" xfId="0" builtinId="0"/>
    <cellStyle name="Normal 13 4" xfId="6" xr:uid="{C0B19F0A-694F-8945-9F78-982B98749792}"/>
    <cellStyle name="Normal 2" xfId="3" xr:uid="{40B2683A-BB38-2F4A-BB4D-BD6193ADD6B1}"/>
    <cellStyle name="Normal 2 2" xfId="7" xr:uid="{9792415E-1E70-614B-B6AD-2813F75D6703}"/>
    <cellStyle name="Normal 2 2 2" xfId="8" xr:uid="{5190DAE9-8C1C-A24D-9DB8-6793E49DB600}"/>
    <cellStyle name="Normal 3" xfId="5" xr:uid="{49EDE3F7-8AC5-594D-8DF5-9860BED1CE2D}"/>
    <cellStyle name="Normal 4" xfId="10" xr:uid="{6FEC633F-81F6-3E48-9978-45A549D7150A}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C6EFCE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622300</xdr:colOff>
          <xdr:row>0</xdr:row>
          <xdr:rowOff>101600</xdr:rowOff>
        </xdr:from>
        <xdr:to>
          <xdr:col>2</xdr:col>
          <xdr:colOff>723900</xdr:colOff>
          <xdr:row>2</xdr:row>
          <xdr:rowOff>76200</xdr:rowOff>
        </xdr:to>
        <xdr:sp macro="" textlink="">
          <xdr:nvSpPr>
            <xdr:cNvPr id="12390" name="Button 102" hidden="1">
              <a:extLst>
                <a:ext uri="{63B3BB69-23CF-44E3-9099-C40C66FF867C}">
                  <a14:compatExt spid="_x0000_s12390"/>
                </a:ext>
                <a:ext uri="{FF2B5EF4-FFF2-40B4-BE49-F238E27FC236}">
                  <a16:creationId xmlns:a16="http://schemas.microsoft.com/office/drawing/2014/main" id="{00000000-0008-0000-0300-00006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ptos Narrow" charset="0"/>
                </a:rPr>
                <a:t>Plot  Gantt Chart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data/silver/gantt_2026-04-26.xlsm" TargetMode="External"/><Relationship Id="rId2" Type="http://schemas.openxmlformats.org/officeDocument/2006/relationships/externalLinkPath" Target="/Users/yu-shenglee/Desktop/dev/AmericanSole/data/silver/gantt_2026-04-26.xlsm" TargetMode="External"/><Relationship Id="rId1" Type="http://schemas.openxmlformats.org/officeDocument/2006/relationships/externalLinkPath" Target="/Users/yu-shenglee/Desktop/dev/AmericanSole/data/silver/gantt_2026-04-26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ft15508245-my.sharepoint.com/personal/clyde_allamericansoles_com/Documents/Attachments/Gantt%20Chart%20Apr%206%2026%20with%2027%20projections.xlsx" TargetMode="External"/><Relationship Id="rId1" Type="http://schemas.openxmlformats.org/officeDocument/2006/relationships/externalLinkPath" Target="https://netorgft15508245-my.sharepoint.com/personal/clyde_allamericansoles_com/Documents/Attachments/Gantt%20Chart%20Apr%206%2026%20with%2027%20projection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ft15508245.sharepoint.com/sites/allamericansoles.com/Shared%20Documents/General/Accounting/Master%20Price%20List/Master%20Price%20List.xlsx" TargetMode="External"/><Relationship Id="rId1" Type="http://schemas.openxmlformats.org/officeDocument/2006/relationships/externalLinkPath" Target="https://netorgft15508245.sharepoint.com/sites/allamericansoles.com/Shared%20Documents/General/Accounting/Master%20Price%20List/Master%20Price%20List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stuph/Desktop/Master%20Price%20List%20March%2026.xlsx" TargetMode="External"/><Relationship Id="rId1" Type="http://schemas.openxmlformats.org/officeDocument/2006/relationships/externalLinkPath" Target="https://netorgft15508245.sharepoint.com/sites/allamericansoles.com/Shared%20Documents/General/Production/Gantt%20Chart/Master%20Price%20List%20March%20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etting"/>
      <sheetName val="data"/>
      <sheetName val="GanttChart"/>
    </sheetNames>
    <sheetDataSet>
      <sheetData sheetId="0" refreshError="1"/>
      <sheetData sheetId="1">
        <row r="2">
          <cell r="A2" t="str">
            <v>4700626667</v>
          </cell>
          <cell r="C2" t="str">
            <v>Harley Davidson</v>
          </cell>
          <cell r="D2" t="str">
            <v>D96331</v>
          </cell>
          <cell r="E2">
            <v>600</v>
          </cell>
          <cell r="F2">
            <v>46034</v>
          </cell>
          <cell r="I2">
            <v>46061</v>
          </cell>
        </row>
        <row r="3">
          <cell r="A3" t="str">
            <v>671563</v>
          </cell>
          <cell r="C3" t="str">
            <v>Weinbrenner</v>
          </cell>
          <cell r="D3" t="str">
            <v>504/804-6301
Waterproof</v>
          </cell>
          <cell r="E3">
            <v>44</v>
          </cell>
          <cell r="F3">
            <v>46034</v>
          </cell>
          <cell r="I3">
            <v>46061</v>
          </cell>
        </row>
        <row r="4">
          <cell r="A4" t="str">
            <v>671566</v>
          </cell>
          <cell r="C4" t="str">
            <v>Weinbrenner</v>
          </cell>
          <cell r="D4" t="str">
            <v>504/804-6301
Waterproof</v>
          </cell>
          <cell r="E4">
            <v>120</v>
          </cell>
          <cell r="F4">
            <v>46034</v>
          </cell>
          <cell r="I4">
            <v>46061</v>
          </cell>
        </row>
        <row r="5">
          <cell r="A5" t="str">
            <v>671614</v>
          </cell>
          <cell r="C5" t="str">
            <v>Weinbrenner</v>
          </cell>
          <cell r="D5" t="str">
            <v>504/804-6301
Waterproof</v>
          </cell>
          <cell r="E5">
            <v>488</v>
          </cell>
          <cell r="F5">
            <v>46034</v>
          </cell>
          <cell r="I5">
            <v>46061</v>
          </cell>
        </row>
        <row r="6">
          <cell r="A6" t="str">
            <v>PO1047</v>
          </cell>
          <cell r="C6" t="str">
            <v>BRUNT</v>
          </cell>
          <cell r="D6" t="str">
            <v>Marin Welted USA (Soft Toe)
Waterproof</v>
          </cell>
          <cell r="E6">
            <v>540</v>
          </cell>
          <cell r="F6">
            <v>46034</v>
          </cell>
          <cell r="I6">
            <v>46061</v>
          </cell>
        </row>
        <row r="7">
          <cell r="A7" t="str">
            <v>PO162</v>
          </cell>
          <cell r="C7" t="str">
            <v>USBOOT</v>
          </cell>
          <cell r="D7" t="str">
            <v>Western Steel Toe
Waterproof</v>
          </cell>
          <cell r="E7">
            <v>318</v>
          </cell>
          <cell r="F7">
            <v>46034</v>
          </cell>
          <cell r="I7">
            <v>46061</v>
          </cell>
        </row>
        <row r="8">
          <cell r="A8" t="str">
            <v>PO1047</v>
          </cell>
          <cell r="C8" t="str">
            <v>BRUNT</v>
          </cell>
          <cell r="D8" t="str">
            <v>Marin Welted USA (Comp Toe)
Waterproof</v>
          </cell>
          <cell r="E8">
            <v>2676</v>
          </cell>
          <cell r="F8">
            <v>46036</v>
          </cell>
          <cell r="I8">
            <v>46069</v>
          </cell>
        </row>
        <row r="9">
          <cell r="A9" t="str">
            <v>PO1047</v>
          </cell>
          <cell r="C9" t="str">
            <v>BRUNT</v>
          </cell>
          <cell r="D9" t="str">
            <v>Marin Welted USA (Soft Toe)
Waterproof</v>
          </cell>
          <cell r="E9">
            <v>972</v>
          </cell>
          <cell r="F9">
            <v>46048</v>
          </cell>
          <cell r="I9">
            <v>46079</v>
          </cell>
        </row>
        <row r="10">
          <cell r="A10" t="str">
            <v>PO1048</v>
          </cell>
          <cell r="C10" t="str">
            <v>BRUNT</v>
          </cell>
          <cell r="D10" t="str">
            <v>Marin Welted USA (Soft Toe)
Waterproof</v>
          </cell>
          <cell r="E10">
            <v>606</v>
          </cell>
          <cell r="F10">
            <v>46048</v>
          </cell>
          <cell r="I10">
            <v>46079</v>
          </cell>
        </row>
        <row r="11">
          <cell r="A11" t="str">
            <v>PO1048</v>
          </cell>
          <cell r="C11" t="str">
            <v>BRUNT</v>
          </cell>
          <cell r="D11" t="str">
            <v>Marin Unlined Welted USA (Comp Toe)
Dark BRN</v>
          </cell>
          <cell r="E11">
            <v>612</v>
          </cell>
          <cell r="F11">
            <v>46048</v>
          </cell>
          <cell r="I11">
            <v>46079</v>
          </cell>
        </row>
        <row r="12">
          <cell r="A12" t="str">
            <v>PO1049</v>
          </cell>
          <cell r="C12" t="str">
            <v>BRUNT</v>
          </cell>
          <cell r="D12" t="str">
            <v>Marin Welted USA (Comp Toe) Brunt Toe</v>
          </cell>
          <cell r="E12">
            <v>600</v>
          </cell>
          <cell r="F12">
            <v>46048</v>
          </cell>
          <cell r="I12">
            <v>46079</v>
          </cell>
        </row>
        <row r="13">
          <cell r="A13" t="str">
            <v>4700626667</v>
          </cell>
          <cell r="C13" t="str">
            <v>Harley Davidson</v>
          </cell>
          <cell r="D13" t="str">
            <v>D87321</v>
          </cell>
          <cell r="E13">
            <v>480</v>
          </cell>
          <cell r="F13">
            <v>46058</v>
          </cell>
          <cell r="I13">
            <v>46084</v>
          </cell>
        </row>
        <row r="14">
          <cell r="A14" t="str">
            <v>PO1080</v>
          </cell>
          <cell r="C14" t="str">
            <v>BRUNT</v>
          </cell>
          <cell r="D14" t="str">
            <v>Marin Welted USA (Soft Toe)
Waterproof</v>
          </cell>
          <cell r="E14">
            <v>624</v>
          </cell>
          <cell r="F14">
            <v>46058</v>
          </cell>
          <cell r="I14">
            <v>46084</v>
          </cell>
        </row>
        <row r="15">
          <cell r="A15" t="str">
            <v>PO1080</v>
          </cell>
          <cell r="C15" t="str">
            <v>BRUNT</v>
          </cell>
          <cell r="D15" t="str">
            <v>Marin Welted USA (Comp Toe)
Waterproof</v>
          </cell>
          <cell r="E15">
            <v>648</v>
          </cell>
          <cell r="F15">
            <v>46058</v>
          </cell>
          <cell r="I15">
            <v>46084</v>
          </cell>
        </row>
        <row r="16">
          <cell r="A16" t="str">
            <v>PO1081</v>
          </cell>
          <cell r="C16" t="str">
            <v>BRUNT</v>
          </cell>
          <cell r="D16" t="str">
            <v>Marin Unlined Welted USA (Soft Toe)</v>
          </cell>
          <cell r="E16">
            <v>654</v>
          </cell>
          <cell r="F16">
            <v>46058</v>
          </cell>
          <cell r="I16">
            <v>46084</v>
          </cell>
        </row>
        <row r="17">
          <cell r="A17" t="str">
            <v>PO1081</v>
          </cell>
          <cell r="C17" t="str">
            <v>BRUNT</v>
          </cell>
          <cell r="D17" t="str">
            <v>Marin Unlined Welted USA (Comp Toe)</v>
          </cell>
          <cell r="E17">
            <v>642</v>
          </cell>
          <cell r="F17">
            <v>46058</v>
          </cell>
          <cell r="I17">
            <v>46084</v>
          </cell>
        </row>
        <row r="18">
          <cell r="A18" t="str">
            <v>PO1082</v>
          </cell>
          <cell r="C18" t="str">
            <v>BRUNT</v>
          </cell>
          <cell r="D18" t="str">
            <v>Marin Welted USA 8"(Comp Toe)  
Waterproof</v>
          </cell>
          <cell r="E18">
            <v>930</v>
          </cell>
          <cell r="F18">
            <v>46057</v>
          </cell>
          <cell r="I18">
            <v>46084</v>
          </cell>
        </row>
        <row r="19">
          <cell r="A19" t="str">
            <v>PO1083</v>
          </cell>
          <cell r="C19" t="str">
            <v>BRUNT</v>
          </cell>
          <cell r="D19" t="str">
            <v>Marin Welted USA  Brunt Toe(Comp Toe)
Waterproof</v>
          </cell>
          <cell r="E19">
            <v>2508</v>
          </cell>
          <cell r="F19">
            <v>46064</v>
          </cell>
          <cell r="I19">
            <v>46104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r Schedule"/>
      <sheetName val="Name Mapping"/>
      <sheetName val="27 Projections"/>
      <sheetName val="Gantt Chart Update "/>
      <sheetName val="Available Space "/>
      <sheetName val="New summary"/>
      <sheetName val="Margins"/>
      <sheetName val="2025 KPI"/>
      <sheetName val="Cashflow"/>
      <sheetName val="2025 Direct Labor Cost"/>
      <sheetName val="2025 Indirect Labor Cost "/>
      <sheetName val="2026 Direct Labor Cost"/>
      <sheetName val="2026 Indirect Labor Cost "/>
      <sheetName val="2026 Expense"/>
      <sheetName val="2026 People Schedule"/>
      <sheetName val="2026 AS Office "/>
      <sheetName val="2025 Expense "/>
      <sheetName val="2025 Container summary "/>
      <sheetName val="2025 Average "/>
      <sheetName val="2026 Pairs Packed"/>
      <sheetName val="2025 Pairs Packed"/>
      <sheetName val="2025  Packed Jan"/>
      <sheetName val="2025  Packed Mar"/>
      <sheetName val="2025  Packed Apr"/>
      <sheetName val="2025  Packed May"/>
      <sheetName val="2025  Packed Jun"/>
      <sheetName val="2025  Packed Jul"/>
      <sheetName val="2025  Packed Aug"/>
      <sheetName val="2025  Packed Sep"/>
      <sheetName val="2025  Packed Oct"/>
      <sheetName val="2025  Packed Nov"/>
      <sheetName val="2025  Packed Dec"/>
      <sheetName val="2026 Packed Jan"/>
      <sheetName val="2025  Packed Feb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27">
          <cell r="H27">
            <v>154550</v>
          </cell>
        </row>
        <row r="69">
          <cell r="C69">
            <v>2474000</v>
          </cell>
        </row>
        <row r="71">
          <cell r="C71">
            <v>1104000</v>
          </cell>
        </row>
        <row r="72">
          <cell r="C72">
            <v>207000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hange Log"/>
      <sheetName val="Master List- Price Pre 1125"/>
      <sheetName val="Master List- Price 11125 (2)"/>
      <sheetName val="Master List- 2026 "/>
      <sheetName val="Sheet3"/>
      <sheetName val="2026 Brunt"/>
      <sheetName val="Purchase Order Template"/>
      <sheetName val="Sheet2"/>
      <sheetName val="Sheet1"/>
      <sheetName val="Country  (2)"/>
      <sheetName val="Country "/>
      <sheetName val="Shipping "/>
      <sheetName val="Dropdown List Template 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I3">
            <v>39.369999999999997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 List- Price Pre 1125"/>
      <sheetName val="Master List- Price 11125 (2)"/>
      <sheetName val="Master List- 2026 "/>
      <sheetName val="Sheet2"/>
      <sheetName val="Sheet1"/>
      <sheetName val="Country  (2)"/>
      <sheetName val="Country "/>
      <sheetName val="Shipping "/>
      <sheetName val="Dropdown List Template  "/>
    </sheetNames>
    <sheetDataSet>
      <sheetData sheetId="0"/>
      <sheetData sheetId="1"/>
      <sheetData sheetId="2">
        <row r="36">
          <cell r="D36">
            <v>84.37</v>
          </cell>
        </row>
        <row r="37">
          <cell r="D37">
            <v>86.46</v>
          </cell>
          <cell r="E37">
            <v>43.65</v>
          </cell>
        </row>
        <row r="38">
          <cell r="D38">
            <v>81.849999999999994</v>
          </cell>
          <cell r="E38">
            <v>38.08</v>
          </cell>
        </row>
        <row r="39">
          <cell r="D39">
            <v>83.87</v>
          </cell>
          <cell r="E39">
            <v>40.159999999999997</v>
          </cell>
        </row>
        <row r="40">
          <cell r="D40">
            <v>89.18</v>
          </cell>
          <cell r="E40">
            <v>45.14</v>
          </cell>
        </row>
        <row r="41">
          <cell r="D41">
            <v>91.94</v>
          </cell>
          <cell r="E41">
            <v>46.79</v>
          </cell>
        </row>
        <row r="42">
          <cell r="D42">
            <v>76.81</v>
          </cell>
          <cell r="E42">
            <v>33.54</v>
          </cell>
        </row>
        <row r="43">
          <cell r="D43">
            <v>79.040000000000006</v>
          </cell>
          <cell r="E43">
            <v>35.630000000000003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US Boot Company" id="{9B9FC9CB-9A6C-0C4C-B705-C5C99C2E545D}" userId="S::teamusboot@usboot.com::0c996593-50bd-43c6-86cf-9eceb1787b72" providerId="AD"/>
  <person displayName="Melanie | American Sole" id="{0B7CAE75-7F1C-4A98-9AD0-D60DD7CDF7B8}" userId="S::melanie@allamericansoles.com::61aff922-ef26-4b40-aae3-a7d4cce7aa31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3001D4-A774-B64C-AC84-A9E1DA77DBEC}" name="Table1" displayName="Table1" ref="A1:E65" totalsRowShown="0" headerRowDxfId="0">
  <autoFilter ref="A1:E65" xr:uid="{8EC3E5BC-5063-7E41-9E12-416E938DF41E}"/>
  <sortState xmlns:xlrd2="http://schemas.microsoft.com/office/spreadsheetml/2017/richdata2" ref="A2:E63">
    <sortCondition ref="A2:A63"/>
    <sortCondition ref="B2:B63"/>
    <sortCondition ref="C2:C63"/>
  </sortState>
  <tableColumns count="5">
    <tableColumn id="1" xr3:uid="{04B904A7-FD85-F746-98C2-DB87CC228F6F}" name="Company"/>
    <tableColumn id="2" xr3:uid="{588EED58-22C5-9A4D-A79D-A809254FE44E}" name="Brand"/>
    <tableColumn id="3" xr3:uid="{AEE07E34-1BA7-D244-A463-FF35D862AD4E}" name="Syle Number"/>
    <tableColumn id="4" xr3:uid="{CDBC262C-D394-C944-BB9B-43AC3E2A0261}" name="Style Name Long"/>
    <tableColumn id="5" xr3:uid="{F99ECD53-9295-AB49-BC74-2501C966FAD9}" name="Style Name Shor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0" dT="2025-12-22T19:06:25.75" personId="{9B9FC9CB-9A6C-0C4C-B705-C5C99C2E545D}" id="{A2AF4B2B-61CB-2349-BDE8-AD6F4271BBE4}">
    <text xml:space="preserve">Pre order quantity </text>
  </threadedComment>
  <threadedComment ref="Q41" dT="2026-01-06T21:17:49.82" personId="{9B9FC9CB-9A6C-0C4C-B705-C5C99C2E545D}" id="{3CDE8669-00D3-2848-855F-8B6E91903060}">
    <text>DR order</text>
  </threadedComment>
  <threadedComment ref="A56" dT="2026-01-28T02:21:34.35" personId="{9B9FC9CB-9A6C-0C4C-B705-C5C99C2E545D}" id="{5A9CA988-1A31-6543-904B-9D2B5D8D0921}">
    <text>December Buy</text>
  </threadedComment>
  <threadedComment ref="A57" dT="2026-01-28T17:52:26.70" personId="{9B9FC9CB-9A6C-0C4C-B705-C5C99C2E545D}" id="{3942A20A-F540-654C-AC03-F968891BFF83}">
    <text xml:space="preserve">Jan Buy </text>
  </threadedComment>
  <threadedComment ref="A74" dT="2026-01-28T17:52:34.58" personId="{9B9FC9CB-9A6C-0C4C-B705-C5C99C2E545D}" id="{FA9C3BFE-743D-4A41-86A6-4A89C80CABFC}">
    <text>Feb Buy</text>
  </threadedComment>
  <threadedComment ref="A87" dT="2026-03-02T21:32:30.36" personId="{9B9FC9CB-9A6C-0C4C-B705-C5C99C2E545D}" id="{881A070D-E7D5-0B41-8C0C-026E563F9879}">
    <text>2nd Order</text>
  </threadedComment>
  <threadedComment ref="A105" dT="2026-03-02T21:32:04.36" personId="{9B9FC9CB-9A6C-0C4C-B705-C5C99C2E545D}" id="{474C6CAF-DC6C-204A-B22A-9E2FAFA2BCCF}">
    <text xml:space="preserve">3rd order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D7" dT="2025-09-08T15:34:29.22" personId="{9B9FC9CB-9A6C-0C4C-B705-C5C99C2E545D}" id="{858EB106-AEBC-6F49-BD0F-5143081A6D4F}">
    <text xml:space="preserve">Air shipping </text>
  </threadedComment>
  <threadedComment ref="CG9" dT="2025-09-22T17:48:54.92" personId="{9B9FC9CB-9A6C-0C4C-B705-C5C99C2E545D}" id="{346A709E-8D0B-1640-A9CA-23542B519580}">
    <text>Air shipping</text>
  </threadedComment>
  <threadedComment ref="B13" dT="2025-10-28T18:13:52.62" personId="{9B9FC9CB-9A6C-0C4C-B705-C5C99C2E545D}" id="{8A289EF0-ED63-4C43-AADA-88E94A81D785}">
    <text>air shipping</text>
  </threadedComment>
  <threadedComment ref="CJ13" dT="2025-09-08T15:34:29.22" personId="{9B9FC9CB-9A6C-0C4C-B705-C5C99C2E545D}" id="{691D7514-EA43-F34C-A6B7-1BDB5FD39F23}">
    <text xml:space="preserve">Air shipping </text>
  </threadedComment>
  <threadedComment ref="B39" dT="2025-12-03T14:19:26.49" personId="{9B9FC9CB-9A6C-0C4C-B705-C5C99C2E545D}" id="{001F4020-55C5-7242-8F81-63C91BB2A60D}">
    <text>Already finished 252 pairs</text>
  </threadedComment>
  <threadedComment ref="B58" dT="2025-09-22T18:48:45.27" personId="{9B9FC9CB-9A6C-0C4C-B705-C5C99C2E545D}" id="{0E78725F-1603-1641-91B0-8CDD6C4AD3AC}">
    <text>Air Shipping</text>
  </threadedComment>
  <threadedComment ref="B60" dT="2025-09-22T18:48:52.56" personId="{9B9FC9CB-9A6C-0C4C-B705-C5C99C2E545D}" id="{B2CC2EC6-F27F-CC4C-826A-84707FA0E39B}">
    <text>Air Shipping</text>
  </threadedComment>
  <threadedComment ref="B70" dT="2025-09-22T18:48:59.11" personId="{9B9FC9CB-9A6C-0C4C-B705-C5C99C2E545D}" id="{DAE22F25-07F4-E947-9BF9-0907C926465C}">
    <text>Air Shipping</text>
  </threadedComment>
  <threadedComment ref="A96" dT="2025-10-30T18:12:08.61" personId="{0B7CAE75-7F1C-4A98-9AD0-D60DD7CDF7B8}" id="{2E64D623-C314-C34A-A54C-0A8042107335}">
    <text>last container from china for brunt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85EB7-8CB0-B145-AA8F-EF3288743446}">
  <sheetPr codeName="Sheet6"/>
  <dimension ref="A1:B3"/>
  <sheetViews>
    <sheetView workbookViewId="0">
      <selection activeCell="B3" sqref="B3"/>
    </sheetView>
  </sheetViews>
  <sheetFormatPr baseColWidth="10" defaultRowHeight="15" x14ac:dyDescent="0.2"/>
  <cols>
    <col min="1" max="1" width="13.6640625" bestFit="1" customWidth="1"/>
  </cols>
  <sheetData>
    <row r="1" spans="1:2" x14ac:dyDescent="0.2">
      <c r="A1" s="846" t="s">
        <v>821</v>
      </c>
      <c r="B1" s="856">
        <v>2026</v>
      </c>
    </row>
    <row r="2" spans="1:2" x14ac:dyDescent="0.2">
      <c r="A2" s="846" t="s">
        <v>822</v>
      </c>
      <c r="B2" s="857">
        <f>CEILING(DATE(year,1,1)-6,7)+6</f>
        <v>46024</v>
      </c>
    </row>
    <row r="3" spans="1:2" x14ac:dyDescent="0.2">
      <c r="A3" s="846" t="s">
        <v>863</v>
      </c>
      <c r="B3" s="320">
        <f ca="1">TODAY()</f>
        <v>46148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4FA0D-833A-5E49-8526-0A9AF2C81D45}">
  <sheetPr codeName="Sheet8"/>
  <dimension ref="A1:S65"/>
  <sheetViews>
    <sheetView showGridLines="0" topLeftCell="A17" zoomScale="110" zoomScaleNormal="110" workbookViewId="0">
      <selection activeCell="P4" sqref="P4"/>
    </sheetView>
  </sheetViews>
  <sheetFormatPr baseColWidth="10" defaultRowHeight="15" x14ac:dyDescent="0.2"/>
  <cols>
    <col min="1" max="1" width="19.33203125" bestFit="1" customWidth="1"/>
    <col min="2" max="2" width="23.83203125" customWidth="1"/>
    <col min="3" max="3" width="18.83203125" customWidth="1"/>
    <col min="4" max="4" width="59.1640625" customWidth="1"/>
    <col min="5" max="5" width="18" bestFit="1" customWidth="1"/>
    <col min="8" max="16" width="17.83203125" customWidth="1"/>
    <col min="17" max="18" width="13.83203125" bestFit="1" customWidth="1"/>
  </cols>
  <sheetData>
    <row r="1" spans="1:19" ht="16" x14ac:dyDescent="0.2">
      <c r="A1" s="848" t="s">
        <v>275</v>
      </c>
      <c r="B1" s="848" t="s">
        <v>319</v>
      </c>
      <c r="C1" s="848" t="s">
        <v>815</v>
      </c>
      <c r="D1" s="853" t="s">
        <v>814</v>
      </c>
      <c r="E1" s="853" t="s">
        <v>813</v>
      </c>
    </row>
    <row r="2" spans="1:19" ht="16" x14ac:dyDescent="0.2">
      <c r="A2" s="858" t="s">
        <v>224</v>
      </c>
      <c r="B2" s="858" t="s">
        <v>224</v>
      </c>
      <c r="C2" s="858" t="s">
        <v>224</v>
      </c>
      <c r="E2" s="858" t="s">
        <v>224</v>
      </c>
    </row>
    <row r="3" spans="1:19" ht="16" x14ac:dyDescent="0.2">
      <c r="A3" s="847" t="s">
        <v>4</v>
      </c>
      <c r="B3" s="847" t="s">
        <v>4</v>
      </c>
      <c r="C3" s="858" t="s">
        <v>837</v>
      </c>
      <c r="D3" s="858" t="s">
        <v>838</v>
      </c>
      <c r="E3" s="858" t="s">
        <v>843</v>
      </c>
      <c r="G3" s="137"/>
      <c r="H3" s="849" t="s">
        <v>816</v>
      </c>
    </row>
    <row r="4" spans="1:19" ht="17" thickBot="1" x14ac:dyDescent="0.25">
      <c r="A4" s="847" t="s">
        <v>4</v>
      </c>
      <c r="B4" s="847" t="s">
        <v>4</v>
      </c>
      <c r="C4" s="858" t="s">
        <v>839</v>
      </c>
      <c r="D4" s="858" t="s">
        <v>841</v>
      </c>
      <c r="E4" s="858" t="s">
        <v>844</v>
      </c>
      <c r="G4" s="643"/>
      <c r="H4" s="854" t="str" cm="1">
        <f t="array" ref="H4:O4">TRANSPOSE(_xlfn._xlws.SORT(_xlfn.UNIQUE(Table1[Company])))</f>
        <v>Ariat</v>
      </c>
      <c r="I4" s="854" t="str">
        <v>Brunt</v>
      </c>
      <c r="J4" s="854" t="str">
        <v>Chippewa</v>
      </c>
      <c r="K4" s="854" t="str">
        <v>Dewalt</v>
      </c>
      <c r="L4" s="854" t="str">
        <v>Firedex</v>
      </c>
      <c r="M4" s="854" t="str">
        <v>US Boot</v>
      </c>
      <c r="N4" s="855" t="str">
        <v>Weinbrenner</v>
      </c>
      <c r="O4" s="855" t="str">
        <v>WWW</v>
      </c>
      <c r="P4" s="854"/>
      <c r="Q4" s="854"/>
      <c r="R4" s="854"/>
      <c r="S4" s="137"/>
    </row>
    <row r="5" spans="1:19" ht="17" thickTop="1" x14ac:dyDescent="0.2">
      <c r="A5" s="847" t="s">
        <v>4</v>
      </c>
      <c r="B5" s="847" t="s">
        <v>4</v>
      </c>
      <c r="C5" s="858" t="s">
        <v>840</v>
      </c>
      <c r="D5" s="858" t="s">
        <v>842</v>
      </c>
      <c r="E5" s="858" t="s">
        <v>845</v>
      </c>
      <c r="H5" s="137" t="str" cm="1">
        <f t="array" ref="H5">_xlfn._xlws.SORT(_xlfn.UNIQUE(_xlfn._xlws.FILTER(Table1[Style Name Short],Table1[Company]=DataValidation!H4)))</f>
        <v>Ariat</v>
      </c>
      <c r="I5" s="137" t="str" cm="1">
        <f t="array" ref="I5:I16">_xlfn._xlws.SORT(_xlfn.UNIQUE(_xlfn._xlws.FILTER(Table1[Style Name Short],Table1[Company]=DataValidation!I4)))</f>
        <v>8" CT</v>
      </c>
      <c r="J5" s="137" t="str" cm="1">
        <f t="array" ref="J5:J15">_xlfn._xlws.SORT(_xlfn.UNIQUE(_xlfn._xlws.FILTER(Table1[Style Name Short],Table1[Company]=DataValidation!J4)))</f>
        <v>Forecast</v>
      </c>
      <c r="K5" s="137" t="str" cm="1">
        <f t="array" ref="K5">_xlfn._xlws.SORT(_xlfn.UNIQUE(_xlfn._xlws.FILTER(Table1[Style Name Short],Table1[Company]=DataValidation!K4)))</f>
        <v>Dewalt</v>
      </c>
      <c r="L5" s="137" t="str" cm="1">
        <f t="array" ref="L5:L7">_xlfn._xlws.SORT(_xlfn.UNIQUE(_xlfn._xlws.FILTER(Table1[Style Name Short],Table1[Company]=DataValidation!L4)))</f>
        <v>FDXL200</v>
      </c>
      <c r="M5" s="137" t="str" cm="1">
        <f t="array" ref="M5:M22">_xlfn._xlws.SORT(_xlfn.UNIQUE(_xlfn._xlws.FILTER(Table1[Style Name Short],Table1[Company]=DataValidation!M4)))</f>
        <v>6" Handler</v>
      </c>
      <c r="N5" s="137" t="str" cm="1">
        <f t="array" ref="N5:N6">_xlfn._xlws.SORT(_xlfn.UNIQUE(_xlfn._xlws.FILTER(Table1[Style Name Short],Table1[Company]=DataValidation!N4)))</f>
        <v>Forecast</v>
      </c>
      <c r="O5" s="137" t="str" cm="1">
        <f t="array" ref="O5:O11">_xlfn._xlws.SORT(_xlfn.UNIQUE(_xlfn._xlws.FILTER(Table1[Style Name Short],Table1[Company]=DataValidation!O4)))</f>
        <v>CAT</v>
      </c>
      <c r="P5" s="137"/>
      <c r="Q5" s="137"/>
      <c r="R5" s="137"/>
      <c r="S5" s="137"/>
    </row>
    <row r="6" spans="1:19" ht="16" x14ac:dyDescent="0.2">
      <c r="A6" s="847" t="s">
        <v>4</v>
      </c>
      <c r="B6" s="847" t="s">
        <v>4</v>
      </c>
      <c r="C6" s="847" t="s">
        <v>812</v>
      </c>
      <c r="D6" s="858" t="s">
        <v>833</v>
      </c>
      <c r="E6" s="847" t="s">
        <v>177</v>
      </c>
      <c r="H6" s="137"/>
      <c r="I6" s="137" t="str">
        <v>CT</v>
      </c>
      <c r="J6" s="137" t="str">
        <v>SL5405-E</v>
      </c>
      <c r="K6" s="137"/>
      <c r="L6" s="137" t="str">
        <v>FDXL90</v>
      </c>
      <c r="M6" s="137" t="str">
        <v>8" Handler</v>
      </c>
      <c r="N6" s="137" t="str">
        <v>V Force</v>
      </c>
      <c r="O6" s="137" t="str">
        <v>Filson</v>
      </c>
      <c r="P6" s="137"/>
      <c r="Q6" s="137"/>
      <c r="R6" s="137"/>
      <c r="S6" s="137"/>
    </row>
    <row r="7" spans="1:19" ht="16" x14ac:dyDescent="0.2">
      <c r="A7" s="847" t="s">
        <v>4</v>
      </c>
      <c r="B7" s="847" t="s">
        <v>4</v>
      </c>
      <c r="C7" s="847" t="s">
        <v>811</v>
      </c>
      <c r="D7" s="858" t="s">
        <v>834</v>
      </c>
      <c r="E7" s="847" t="s">
        <v>144</v>
      </c>
      <c r="H7" s="137"/>
      <c r="I7" s="137" t="str">
        <v>CTBT</v>
      </c>
      <c r="J7" s="137" t="str">
        <v>SL5405-EEE</v>
      </c>
      <c r="K7" s="137"/>
      <c r="L7" s="137" t="str">
        <v>Forecast</v>
      </c>
      <c r="M7" s="137" t="str">
        <v>Alpha</v>
      </c>
      <c r="N7" s="137"/>
      <c r="O7" s="137" t="str">
        <v>Forecast</v>
      </c>
      <c r="P7" s="137"/>
      <c r="Q7" s="137"/>
      <c r="R7" s="137"/>
      <c r="S7" s="137"/>
    </row>
    <row r="8" spans="1:19" ht="16" x14ac:dyDescent="0.2">
      <c r="A8" s="847" t="s">
        <v>4</v>
      </c>
      <c r="B8" s="847" t="s">
        <v>4</v>
      </c>
      <c r="C8" s="847" t="s">
        <v>810</v>
      </c>
      <c r="D8" s="858" t="s">
        <v>848</v>
      </c>
      <c r="E8" s="847" t="s">
        <v>809</v>
      </c>
      <c r="H8" s="137"/>
      <c r="I8" s="137" t="str">
        <v>Forecast</v>
      </c>
      <c r="J8" s="137" t="str">
        <v>SL5406-E</v>
      </c>
      <c r="K8" s="137"/>
      <c r="L8" s="137"/>
      <c r="M8" s="137" t="str">
        <v>Barebones</v>
      </c>
      <c r="N8" s="137"/>
      <c r="O8" s="137" t="str">
        <v>HD-Men</v>
      </c>
      <c r="P8" s="137"/>
      <c r="Q8" s="137"/>
      <c r="R8" s="137"/>
      <c r="S8" s="137"/>
    </row>
    <row r="9" spans="1:19" ht="16" x14ac:dyDescent="0.2">
      <c r="A9" s="847" t="s">
        <v>4</v>
      </c>
      <c r="B9" s="847" t="s">
        <v>4</v>
      </c>
      <c r="C9" s="847" t="s">
        <v>808</v>
      </c>
      <c r="D9" s="858" t="s">
        <v>849</v>
      </c>
      <c r="E9" s="847" t="s">
        <v>807</v>
      </c>
      <c r="H9" s="137"/>
      <c r="I9" s="137" t="str">
        <v>NWP CT</v>
      </c>
      <c r="J9" s="137" t="str">
        <v>SL5406-EEE</v>
      </c>
      <c r="K9" s="137"/>
      <c r="L9" s="137"/>
      <c r="M9" s="137" t="str">
        <v>Bravo</v>
      </c>
      <c r="N9" s="137"/>
      <c r="O9" s="137" t="str">
        <v>HD-Women</v>
      </c>
      <c r="P9" s="137"/>
      <c r="Q9" s="137"/>
      <c r="R9" s="137"/>
      <c r="S9" s="137"/>
    </row>
    <row r="10" spans="1:19" ht="16" x14ac:dyDescent="0.2">
      <c r="A10" s="847" t="s">
        <v>4</v>
      </c>
      <c r="B10" s="847" t="s">
        <v>4</v>
      </c>
      <c r="C10" s="847" t="s">
        <v>806</v>
      </c>
      <c r="D10" s="858" t="s">
        <v>835</v>
      </c>
      <c r="E10" s="847" t="s">
        <v>278</v>
      </c>
      <c r="H10" s="137"/>
      <c r="I10" s="137" t="str">
        <v>NWP ST</v>
      </c>
      <c r="J10" s="137" t="str">
        <v>SL5407-E</v>
      </c>
      <c r="K10" s="137"/>
      <c r="L10" s="137"/>
      <c r="M10" s="137" t="str">
        <v>Condor</v>
      </c>
      <c r="N10" s="137"/>
      <c r="O10" s="137" t="str">
        <v>Loader CT</v>
      </c>
      <c r="P10" s="137"/>
    </row>
    <row r="11" spans="1:19" ht="16" x14ac:dyDescent="0.2">
      <c r="A11" s="847" t="s">
        <v>4</v>
      </c>
      <c r="B11" s="847" t="s">
        <v>4</v>
      </c>
      <c r="C11" s="847" t="s">
        <v>805</v>
      </c>
      <c r="D11" s="858" t="s">
        <v>836</v>
      </c>
      <c r="E11" s="847" t="s">
        <v>281</v>
      </c>
      <c r="H11" s="137"/>
      <c r="I11" s="137" t="str">
        <v>Ohman CT</v>
      </c>
      <c r="J11" s="137" t="str">
        <v>SL5407-EEE</v>
      </c>
      <c r="K11" s="137"/>
      <c r="L11" s="137"/>
      <c r="M11" s="137" t="str">
        <v>Dane</v>
      </c>
      <c r="N11" s="137"/>
      <c r="O11" s="137" t="str">
        <v>Loader ST</v>
      </c>
      <c r="P11" s="137"/>
    </row>
    <row r="12" spans="1:19" ht="16" x14ac:dyDescent="0.2">
      <c r="A12" s="847" t="s">
        <v>4</v>
      </c>
      <c r="B12" s="847" t="s">
        <v>4</v>
      </c>
      <c r="C12" s="847" t="s">
        <v>804</v>
      </c>
      <c r="D12" s="858" t="s">
        <v>846</v>
      </c>
      <c r="E12" s="847" t="s">
        <v>287</v>
      </c>
      <c r="H12" s="137"/>
      <c r="I12" s="137" t="str">
        <v>Ohman ST</v>
      </c>
      <c r="J12" s="137" t="str">
        <v>SL5408-E</v>
      </c>
      <c r="K12" s="137"/>
      <c r="L12" s="137"/>
      <c r="M12" s="137" t="str">
        <v>Driftlock</v>
      </c>
      <c r="N12" s="137"/>
      <c r="O12" s="137"/>
      <c r="P12" s="137"/>
    </row>
    <row r="13" spans="1:19" ht="16" x14ac:dyDescent="0.2">
      <c r="A13" s="847" t="s">
        <v>4</v>
      </c>
      <c r="B13" s="847" t="s">
        <v>4</v>
      </c>
      <c r="C13" s="847" t="s">
        <v>803</v>
      </c>
      <c r="D13" s="858" t="s">
        <v>847</v>
      </c>
      <c r="E13" s="847" t="s">
        <v>285</v>
      </c>
      <c r="H13" s="137"/>
      <c r="I13" s="137" t="str">
        <v>Perkins CT</v>
      </c>
      <c r="J13" s="137" t="str">
        <v>SL5408-EEE</v>
      </c>
      <c r="K13" s="137"/>
      <c r="L13" s="137"/>
      <c r="M13" s="137" t="str">
        <v>Echo</v>
      </c>
      <c r="N13" s="137"/>
      <c r="O13" s="137"/>
      <c r="P13" s="137"/>
    </row>
    <row r="14" spans="1:19" ht="16" x14ac:dyDescent="0.2">
      <c r="A14" s="866" t="s">
        <v>4</v>
      </c>
      <c r="B14" s="847"/>
      <c r="C14" s="847"/>
      <c r="D14" s="858"/>
      <c r="E14" s="866" t="s">
        <v>385</v>
      </c>
      <c r="H14" s="137"/>
      <c r="I14" s="137" t="str">
        <v>Ryng 4" CT</v>
      </c>
      <c r="J14" s="137" t="str">
        <v>SL5410-E</v>
      </c>
      <c r="K14" s="137"/>
      <c r="L14" s="137"/>
      <c r="M14" s="137" t="str">
        <v>Fade</v>
      </c>
      <c r="N14" s="137"/>
      <c r="O14" s="137"/>
      <c r="P14" s="137"/>
    </row>
    <row r="15" spans="1:19" ht="16" x14ac:dyDescent="0.2">
      <c r="A15" s="847" t="s">
        <v>8</v>
      </c>
      <c r="B15" s="847" t="s">
        <v>8</v>
      </c>
      <c r="C15" s="847" t="s">
        <v>801</v>
      </c>
      <c r="D15" s="847" t="s">
        <v>802</v>
      </c>
      <c r="E15" s="847" t="s">
        <v>801</v>
      </c>
      <c r="H15" s="137"/>
      <c r="I15" s="137" t="str">
        <v>Ryng 6" CT</v>
      </c>
      <c r="J15" s="137" t="str">
        <v>SL5410-EEE</v>
      </c>
      <c r="K15" s="137"/>
      <c r="L15" s="137"/>
      <c r="M15" s="137" t="str">
        <v>Forecast</v>
      </c>
      <c r="N15" s="137"/>
      <c r="O15" s="137"/>
      <c r="P15" s="137"/>
    </row>
    <row r="16" spans="1:19" ht="16" x14ac:dyDescent="0.2">
      <c r="A16" s="847" t="s">
        <v>8</v>
      </c>
      <c r="B16" s="847" t="s">
        <v>8</v>
      </c>
      <c r="C16" s="858" t="s">
        <v>823</v>
      </c>
      <c r="D16" s="858" t="s">
        <v>826</v>
      </c>
      <c r="E16" s="858" t="s">
        <v>823</v>
      </c>
      <c r="H16" s="137"/>
      <c r="I16" s="137" t="str">
        <v>ST</v>
      </c>
      <c r="J16" s="137"/>
      <c r="K16" s="137"/>
      <c r="L16" s="137"/>
      <c r="M16" s="137" t="str">
        <v>Ironmaster Black</v>
      </c>
      <c r="N16" s="137"/>
      <c r="O16" s="137"/>
      <c r="P16" s="137"/>
    </row>
    <row r="17" spans="1:16" ht="16" x14ac:dyDescent="0.2">
      <c r="A17" s="847" t="s">
        <v>8</v>
      </c>
      <c r="B17" s="847" t="s">
        <v>8</v>
      </c>
      <c r="C17" s="847" t="s">
        <v>799</v>
      </c>
      <c r="D17" s="847" t="s">
        <v>800</v>
      </c>
      <c r="E17" s="847" t="s">
        <v>799</v>
      </c>
      <c r="H17" s="137"/>
      <c r="I17" s="137"/>
      <c r="J17" s="137"/>
      <c r="K17" s="137"/>
      <c r="L17" s="137"/>
      <c r="M17" s="137" t="str">
        <v>Ironmaster Copper</v>
      </c>
      <c r="N17" s="137"/>
      <c r="O17" s="137"/>
      <c r="P17" s="137"/>
    </row>
    <row r="18" spans="1:16" ht="16" x14ac:dyDescent="0.2">
      <c r="A18" s="847" t="s">
        <v>8</v>
      </c>
      <c r="B18" s="847" t="s">
        <v>8</v>
      </c>
      <c r="C18" s="847" t="s">
        <v>797</v>
      </c>
      <c r="D18" s="847" t="s">
        <v>798</v>
      </c>
      <c r="E18" s="847" t="s">
        <v>797</v>
      </c>
      <c r="H18" s="137"/>
      <c r="I18" s="137"/>
      <c r="J18" s="137"/>
      <c r="K18" s="137"/>
      <c r="L18" s="137"/>
      <c r="M18" s="137" t="str">
        <v>James</v>
      </c>
      <c r="N18" s="137"/>
      <c r="O18" s="137"/>
      <c r="P18" s="137"/>
    </row>
    <row r="19" spans="1:16" ht="16" x14ac:dyDescent="0.2">
      <c r="A19" s="847" t="s">
        <v>8</v>
      </c>
      <c r="B19" s="847" t="s">
        <v>8</v>
      </c>
      <c r="C19" s="847" t="s">
        <v>795</v>
      </c>
      <c r="D19" s="847" t="s">
        <v>796</v>
      </c>
      <c r="E19" s="847" t="s">
        <v>795</v>
      </c>
      <c r="H19" s="137"/>
      <c r="I19" s="137"/>
      <c r="J19" s="137"/>
      <c r="K19" s="137"/>
      <c r="L19" s="137"/>
      <c r="M19" s="137" t="str">
        <v>Logan</v>
      </c>
      <c r="N19" s="137"/>
      <c r="O19" s="137"/>
      <c r="P19" s="137"/>
    </row>
    <row r="20" spans="1:16" ht="16" x14ac:dyDescent="0.2">
      <c r="A20" s="847" t="s">
        <v>8</v>
      </c>
      <c r="B20" s="847" t="s">
        <v>8</v>
      </c>
      <c r="C20" s="858" t="s">
        <v>824</v>
      </c>
      <c r="D20" s="858" t="s">
        <v>827</v>
      </c>
      <c r="E20" s="858" t="s">
        <v>824</v>
      </c>
      <c r="H20" s="137"/>
      <c r="I20" s="137"/>
      <c r="J20" s="137"/>
      <c r="K20" s="137"/>
      <c r="L20" s="137"/>
      <c r="M20" s="137" t="str">
        <v>Vanish Black Nubuck</v>
      </c>
      <c r="N20" s="137"/>
      <c r="O20" s="137"/>
      <c r="P20" s="137"/>
    </row>
    <row r="21" spans="1:16" ht="16" x14ac:dyDescent="0.2">
      <c r="A21" s="847" t="s">
        <v>8</v>
      </c>
      <c r="B21" s="847" t="s">
        <v>8</v>
      </c>
      <c r="C21" s="847" t="s">
        <v>793</v>
      </c>
      <c r="D21" s="847" t="s">
        <v>794</v>
      </c>
      <c r="E21" s="847" t="s">
        <v>793</v>
      </c>
      <c r="H21" s="137"/>
      <c r="I21" s="137"/>
      <c r="J21" s="137"/>
      <c r="K21" s="137"/>
      <c r="L21" s="137"/>
      <c r="M21" s="137" t="str">
        <v>Vanish Shiny</v>
      </c>
      <c r="N21" s="137"/>
      <c r="O21" s="137"/>
    </row>
    <row r="22" spans="1:16" ht="16" x14ac:dyDescent="0.2">
      <c r="A22" s="847" t="s">
        <v>8</v>
      </c>
      <c r="B22" s="847" t="s">
        <v>8</v>
      </c>
      <c r="C22" s="847" t="s">
        <v>791</v>
      </c>
      <c r="D22" s="847" t="s">
        <v>792</v>
      </c>
      <c r="E22" s="847" t="s">
        <v>791</v>
      </c>
      <c r="H22" s="137"/>
      <c r="I22" s="137"/>
      <c r="J22" s="137"/>
      <c r="K22" s="137"/>
      <c r="L22" s="137"/>
      <c r="M22" s="137" t="str">
        <v>Western</v>
      </c>
      <c r="N22" s="137"/>
      <c r="O22" s="137"/>
    </row>
    <row r="23" spans="1:16" ht="16" x14ac:dyDescent="0.2">
      <c r="A23" s="847" t="s">
        <v>8</v>
      </c>
      <c r="B23" s="847" t="s">
        <v>8</v>
      </c>
      <c r="C23" s="847" t="s">
        <v>789</v>
      </c>
      <c r="D23" s="847" t="s">
        <v>790</v>
      </c>
      <c r="E23" s="847" t="s">
        <v>789</v>
      </c>
      <c r="H23" s="137"/>
      <c r="I23" s="137"/>
      <c r="J23" s="137"/>
      <c r="K23" s="137"/>
      <c r="L23" s="137"/>
      <c r="M23" s="137"/>
      <c r="N23" s="137"/>
      <c r="O23" s="137"/>
    </row>
    <row r="24" spans="1:16" ht="16" x14ac:dyDescent="0.2">
      <c r="A24" s="847" t="s">
        <v>8</v>
      </c>
      <c r="B24" s="847" t="s">
        <v>8</v>
      </c>
      <c r="C24" s="858" t="s">
        <v>825</v>
      </c>
      <c r="D24" s="858" t="s">
        <v>828</v>
      </c>
      <c r="E24" s="858" t="s">
        <v>825</v>
      </c>
      <c r="H24" s="137"/>
      <c r="I24" s="137"/>
      <c r="J24" s="137"/>
      <c r="K24" s="137"/>
      <c r="L24" s="137"/>
      <c r="M24" s="137"/>
      <c r="N24" s="137"/>
      <c r="O24" s="137"/>
    </row>
    <row r="25" spans="1:16" ht="16" x14ac:dyDescent="0.2">
      <c r="A25" s="847" t="s">
        <v>8</v>
      </c>
      <c r="B25" s="847"/>
      <c r="C25" s="858"/>
      <c r="D25" s="858"/>
      <c r="E25" s="866" t="s">
        <v>385</v>
      </c>
      <c r="I25" s="137"/>
      <c r="J25" s="137"/>
      <c r="K25" s="137"/>
      <c r="L25" s="137"/>
      <c r="M25" s="137"/>
      <c r="N25" s="137"/>
      <c r="O25" s="137"/>
    </row>
    <row r="26" spans="1:16" ht="16" x14ac:dyDescent="0.2">
      <c r="A26" s="858" t="s">
        <v>711</v>
      </c>
      <c r="B26" s="858" t="s">
        <v>711</v>
      </c>
      <c r="C26" s="858" t="s">
        <v>850</v>
      </c>
      <c r="D26" s="858" t="s">
        <v>851</v>
      </c>
      <c r="E26" s="858" t="s">
        <v>711</v>
      </c>
      <c r="I26" s="137"/>
      <c r="J26" s="137"/>
      <c r="K26" s="137"/>
      <c r="L26" s="137"/>
      <c r="M26" s="137"/>
      <c r="N26" s="137"/>
      <c r="O26" s="137"/>
    </row>
    <row r="27" spans="1:16" ht="16" x14ac:dyDescent="0.2">
      <c r="A27" s="847" t="s">
        <v>15</v>
      </c>
      <c r="B27" s="847" t="s">
        <v>15</v>
      </c>
      <c r="C27" s="847" t="s">
        <v>788</v>
      </c>
      <c r="D27" s="847" t="s">
        <v>787</v>
      </c>
      <c r="E27" s="852" t="s">
        <v>820</v>
      </c>
      <c r="I27" s="137"/>
      <c r="J27" s="137"/>
      <c r="K27" s="137"/>
      <c r="L27" s="137"/>
      <c r="M27" s="137"/>
      <c r="N27" s="137"/>
      <c r="O27" s="137"/>
    </row>
    <row r="28" spans="1:16" ht="16" x14ac:dyDescent="0.2">
      <c r="A28" s="847" t="s">
        <v>15</v>
      </c>
      <c r="B28" s="847" t="s">
        <v>15</v>
      </c>
      <c r="C28" s="847" t="s">
        <v>786</v>
      </c>
      <c r="D28" s="847" t="s">
        <v>785</v>
      </c>
      <c r="E28" s="852" t="s">
        <v>820</v>
      </c>
      <c r="I28" s="137"/>
      <c r="J28" s="137"/>
      <c r="K28" s="137"/>
      <c r="L28" s="137"/>
      <c r="M28" s="137"/>
      <c r="N28" s="137"/>
      <c r="O28" s="137"/>
    </row>
    <row r="29" spans="1:16" ht="16" x14ac:dyDescent="0.2">
      <c r="A29" s="847" t="s">
        <v>15</v>
      </c>
      <c r="B29" s="847" t="s">
        <v>15</v>
      </c>
      <c r="C29" s="847" t="s">
        <v>784</v>
      </c>
      <c r="D29" s="847" t="s">
        <v>783</v>
      </c>
      <c r="E29" s="852" t="s">
        <v>820</v>
      </c>
      <c r="I29" s="137"/>
      <c r="J29" s="137"/>
      <c r="K29" s="137"/>
      <c r="L29" s="137"/>
      <c r="M29" s="137"/>
      <c r="N29" s="137"/>
      <c r="O29" s="137"/>
    </row>
    <row r="30" spans="1:16" ht="16" x14ac:dyDescent="0.2">
      <c r="A30" s="847" t="s">
        <v>15</v>
      </c>
      <c r="B30" s="847" t="s">
        <v>15</v>
      </c>
      <c r="C30" s="847" t="s">
        <v>782</v>
      </c>
      <c r="D30" s="847" t="s">
        <v>781</v>
      </c>
      <c r="E30" s="852" t="s">
        <v>820</v>
      </c>
      <c r="I30" s="137"/>
      <c r="J30" s="137"/>
      <c r="K30" s="137"/>
      <c r="L30" s="137"/>
      <c r="M30" s="137"/>
      <c r="N30" s="137"/>
      <c r="O30" s="137"/>
    </row>
    <row r="31" spans="1:16" ht="16" x14ac:dyDescent="0.2">
      <c r="A31" s="847" t="s">
        <v>15</v>
      </c>
      <c r="B31" s="847" t="s">
        <v>15</v>
      </c>
      <c r="C31" s="847" t="s">
        <v>780</v>
      </c>
      <c r="D31" s="847" t="s">
        <v>779</v>
      </c>
      <c r="E31" s="847" t="s">
        <v>778</v>
      </c>
      <c r="I31" s="137"/>
      <c r="J31" s="137"/>
      <c r="K31" s="137"/>
      <c r="L31" s="137"/>
      <c r="M31" s="137"/>
      <c r="N31" s="137"/>
      <c r="O31" s="137"/>
    </row>
    <row r="32" spans="1:16" ht="16" x14ac:dyDescent="0.2">
      <c r="A32" s="866" t="s">
        <v>15</v>
      </c>
      <c r="B32" s="847"/>
      <c r="C32" s="847"/>
      <c r="D32" s="847"/>
      <c r="E32" s="866" t="s">
        <v>385</v>
      </c>
      <c r="I32" s="137"/>
      <c r="J32" s="137"/>
      <c r="K32" s="137"/>
      <c r="L32" s="137"/>
      <c r="M32" s="137"/>
      <c r="N32" s="137"/>
      <c r="O32" s="137"/>
    </row>
    <row r="33" spans="1:5" ht="16" x14ac:dyDescent="0.2">
      <c r="A33" s="847" t="s">
        <v>60</v>
      </c>
      <c r="B33" s="847" t="s">
        <v>60</v>
      </c>
      <c r="C33" s="847" t="s">
        <v>777</v>
      </c>
      <c r="D33" s="847" t="s">
        <v>776</v>
      </c>
      <c r="E33" s="847" t="s">
        <v>775</v>
      </c>
    </row>
    <row r="34" spans="1:5" ht="16" x14ac:dyDescent="0.2">
      <c r="A34" s="847" t="s">
        <v>60</v>
      </c>
      <c r="B34" s="847" t="s">
        <v>60</v>
      </c>
      <c r="C34" s="847" t="s">
        <v>774</v>
      </c>
      <c r="D34" s="858" t="s">
        <v>854</v>
      </c>
      <c r="E34" s="847" t="s">
        <v>383</v>
      </c>
    </row>
    <row r="35" spans="1:5" ht="16" x14ac:dyDescent="0.2">
      <c r="A35" s="847" t="s">
        <v>60</v>
      </c>
      <c r="B35" s="847" t="s">
        <v>60</v>
      </c>
      <c r="C35" s="847" t="s">
        <v>773</v>
      </c>
      <c r="D35" s="847" t="s">
        <v>772</v>
      </c>
      <c r="E35" s="847" t="s">
        <v>772</v>
      </c>
    </row>
    <row r="36" spans="1:5" ht="16" x14ac:dyDescent="0.2">
      <c r="A36" s="847" t="s">
        <v>60</v>
      </c>
      <c r="B36" s="847" t="s">
        <v>60</v>
      </c>
      <c r="C36" s="847" t="s">
        <v>771</v>
      </c>
      <c r="D36" s="847" t="s">
        <v>770</v>
      </c>
      <c r="E36" s="847" t="s">
        <v>304</v>
      </c>
    </row>
    <row r="37" spans="1:5" ht="16" x14ac:dyDescent="0.2">
      <c r="A37" s="847" t="s">
        <v>60</v>
      </c>
      <c r="B37" s="847" t="s">
        <v>60</v>
      </c>
      <c r="C37" s="847" t="s">
        <v>769</v>
      </c>
      <c r="D37" s="847" t="s">
        <v>768</v>
      </c>
      <c r="E37" s="847" t="s">
        <v>306</v>
      </c>
    </row>
    <row r="38" spans="1:5" ht="16" x14ac:dyDescent="0.2">
      <c r="A38" s="847" t="s">
        <v>60</v>
      </c>
      <c r="B38" s="847" t="s">
        <v>60</v>
      </c>
      <c r="C38" s="847" t="s">
        <v>767</v>
      </c>
      <c r="D38" s="847" t="s">
        <v>766</v>
      </c>
      <c r="E38" s="847" t="s">
        <v>714</v>
      </c>
    </row>
    <row r="39" spans="1:5" ht="16" x14ac:dyDescent="0.2">
      <c r="A39" s="847" t="s">
        <v>60</v>
      </c>
      <c r="B39" s="847" t="s">
        <v>60</v>
      </c>
      <c r="C39" s="847" t="s">
        <v>765</v>
      </c>
      <c r="D39" s="858" t="s">
        <v>856</v>
      </c>
      <c r="E39" s="847" t="s">
        <v>302</v>
      </c>
    </row>
    <row r="40" spans="1:5" ht="16" x14ac:dyDescent="0.2">
      <c r="A40" s="847" t="s">
        <v>60</v>
      </c>
      <c r="B40" s="847" t="s">
        <v>60</v>
      </c>
      <c r="C40" s="847" t="s">
        <v>764</v>
      </c>
      <c r="D40" s="858" t="s">
        <v>857</v>
      </c>
      <c r="E40" s="847" t="s">
        <v>308</v>
      </c>
    </row>
    <row r="41" spans="1:5" ht="16" x14ac:dyDescent="0.2">
      <c r="A41" s="847" t="s">
        <v>60</v>
      </c>
      <c r="B41" s="847" t="s">
        <v>60</v>
      </c>
      <c r="C41" s="847" t="s">
        <v>763</v>
      </c>
      <c r="D41" s="858" t="s">
        <v>858</v>
      </c>
      <c r="E41" s="847" t="s">
        <v>297</v>
      </c>
    </row>
    <row r="42" spans="1:5" ht="16" x14ac:dyDescent="0.2">
      <c r="A42" s="847" t="s">
        <v>60</v>
      </c>
      <c r="B42" s="847" t="s">
        <v>60</v>
      </c>
      <c r="C42" s="847" t="s">
        <v>762</v>
      </c>
      <c r="D42" s="858" t="s">
        <v>855</v>
      </c>
      <c r="E42" s="847" t="s">
        <v>714</v>
      </c>
    </row>
    <row r="43" spans="1:5" ht="16" x14ac:dyDescent="0.2">
      <c r="A43" s="847" t="s">
        <v>60</v>
      </c>
      <c r="B43" s="847" t="s">
        <v>60</v>
      </c>
      <c r="C43" s="847" t="s">
        <v>761</v>
      </c>
      <c r="D43" s="858" t="s">
        <v>859</v>
      </c>
      <c r="E43" s="847" t="s">
        <v>760</v>
      </c>
    </row>
    <row r="44" spans="1:5" ht="16" x14ac:dyDescent="0.2">
      <c r="A44" s="847" t="s">
        <v>60</v>
      </c>
      <c r="B44" s="847" t="s">
        <v>60</v>
      </c>
      <c r="C44" s="847" t="s">
        <v>759</v>
      </c>
      <c r="D44" s="858" t="s">
        <v>860</v>
      </c>
      <c r="E44" s="847" t="s">
        <v>309</v>
      </c>
    </row>
    <row r="45" spans="1:5" ht="16" x14ac:dyDescent="0.2">
      <c r="A45" s="847" t="s">
        <v>60</v>
      </c>
      <c r="B45" s="847" t="s">
        <v>60</v>
      </c>
      <c r="C45" s="847" t="s">
        <v>758</v>
      </c>
      <c r="D45" s="847" t="s">
        <v>757</v>
      </c>
      <c r="E45" s="847" t="s">
        <v>307</v>
      </c>
    </row>
    <row r="46" spans="1:5" ht="16" x14ac:dyDescent="0.2">
      <c r="A46" s="847" t="s">
        <v>60</v>
      </c>
      <c r="B46" s="847" t="s">
        <v>60</v>
      </c>
      <c r="C46" s="847" t="s">
        <v>756</v>
      </c>
      <c r="D46" s="847" t="s">
        <v>755</v>
      </c>
      <c r="E46" s="847" t="s">
        <v>754</v>
      </c>
    </row>
    <row r="47" spans="1:5" ht="16" x14ac:dyDescent="0.2">
      <c r="A47" s="847" t="s">
        <v>60</v>
      </c>
      <c r="B47" s="847" t="s">
        <v>60</v>
      </c>
      <c r="C47" s="847" t="s">
        <v>753</v>
      </c>
      <c r="D47" s="865" t="s">
        <v>752</v>
      </c>
      <c r="E47" s="847" t="s">
        <v>752</v>
      </c>
    </row>
    <row r="48" spans="1:5" ht="16" x14ac:dyDescent="0.2">
      <c r="A48" s="847" t="s">
        <v>60</v>
      </c>
      <c r="B48" s="847" t="s">
        <v>60</v>
      </c>
      <c r="C48" s="847" t="s">
        <v>751</v>
      </c>
      <c r="D48" s="865" t="s">
        <v>750</v>
      </c>
      <c r="E48" s="847" t="s">
        <v>750</v>
      </c>
    </row>
    <row r="49" spans="1:5" ht="16" x14ac:dyDescent="0.2">
      <c r="A49" s="847" t="s">
        <v>60</v>
      </c>
      <c r="B49" s="847" t="s">
        <v>60</v>
      </c>
      <c r="C49" s="865" t="s">
        <v>865</v>
      </c>
      <c r="D49" s="865" t="s">
        <v>864</v>
      </c>
      <c r="E49" s="865" t="s">
        <v>865</v>
      </c>
    </row>
    <row r="50" spans="1:5" ht="16" x14ac:dyDescent="0.2">
      <c r="A50" s="847" t="s">
        <v>60</v>
      </c>
      <c r="B50" s="847" t="s">
        <v>60</v>
      </c>
      <c r="C50" s="858" t="s">
        <v>749</v>
      </c>
      <c r="D50" s="858" t="s">
        <v>852</v>
      </c>
      <c r="E50" s="858" t="s">
        <v>300</v>
      </c>
    </row>
    <row r="51" spans="1:5" ht="16" x14ac:dyDescent="0.2">
      <c r="A51" s="847" t="s">
        <v>60</v>
      </c>
      <c r="B51" s="847" t="s">
        <v>60</v>
      </c>
      <c r="C51" s="858" t="s">
        <v>748</v>
      </c>
      <c r="D51" s="858" t="s">
        <v>853</v>
      </c>
      <c r="E51" s="858" t="s">
        <v>300</v>
      </c>
    </row>
    <row r="52" spans="1:5" ht="16" x14ac:dyDescent="0.2">
      <c r="A52" s="847" t="s">
        <v>60</v>
      </c>
      <c r="B52" s="847"/>
      <c r="C52" s="858"/>
      <c r="D52" s="858"/>
      <c r="E52" s="866" t="s">
        <v>385</v>
      </c>
    </row>
    <row r="53" spans="1:5" ht="16" x14ac:dyDescent="0.2">
      <c r="A53" s="847" t="s">
        <v>29</v>
      </c>
      <c r="B53" s="847" t="s">
        <v>29</v>
      </c>
      <c r="C53" s="847" t="s">
        <v>747</v>
      </c>
      <c r="D53" s="847" t="s">
        <v>746</v>
      </c>
      <c r="E53" s="852" t="s">
        <v>311</v>
      </c>
    </row>
    <row r="54" spans="1:5" ht="16" x14ac:dyDescent="0.2">
      <c r="A54" s="847" t="s">
        <v>29</v>
      </c>
      <c r="B54" s="847" t="s">
        <v>29</v>
      </c>
      <c r="C54" s="847" t="s">
        <v>745</v>
      </c>
      <c r="D54" s="847" t="s">
        <v>744</v>
      </c>
      <c r="E54" s="852" t="s">
        <v>311</v>
      </c>
    </row>
    <row r="55" spans="1:5" ht="16" x14ac:dyDescent="0.2">
      <c r="A55" s="847" t="s">
        <v>29</v>
      </c>
      <c r="B55" s="847" t="s">
        <v>29</v>
      </c>
      <c r="C55" s="847" t="s">
        <v>743</v>
      </c>
      <c r="D55" s="847" t="s">
        <v>742</v>
      </c>
      <c r="E55" s="852" t="s">
        <v>311</v>
      </c>
    </row>
    <row r="56" spans="1:5" ht="16" x14ac:dyDescent="0.2">
      <c r="A56" s="847" t="s">
        <v>29</v>
      </c>
      <c r="B56" s="847" t="s">
        <v>29</v>
      </c>
      <c r="C56" s="847" t="s">
        <v>741</v>
      </c>
      <c r="D56" s="847" t="s">
        <v>740</v>
      </c>
      <c r="E56" s="852" t="s">
        <v>311</v>
      </c>
    </row>
    <row r="57" spans="1:5" ht="16" x14ac:dyDescent="0.2">
      <c r="A57" s="847" t="s">
        <v>29</v>
      </c>
      <c r="B57" s="847" t="s">
        <v>29</v>
      </c>
      <c r="C57" s="847" t="s">
        <v>739</v>
      </c>
      <c r="D57" s="847" t="s">
        <v>738</v>
      </c>
      <c r="E57" s="852" t="s">
        <v>311</v>
      </c>
    </row>
    <row r="58" spans="1:5" ht="16" x14ac:dyDescent="0.2">
      <c r="A58" s="847" t="s">
        <v>29</v>
      </c>
      <c r="B58" s="847"/>
      <c r="C58" s="847"/>
      <c r="D58" s="847"/>
      <c r="E58" s="866" t="s">
        <v>385</v>
      </c>
    </row>
    <row r="59" spans="1:5" ht="16" x14ac:dyDescent="0.2">
      <c r="A59" s="981" t="s">
        <v>201</v>
      </c>
      <c r="B59" s="858" t="s">
        <v>831</v>
      </c>
      <c r="C59" s="858" t="s">
        <v>832</v>
      </c>
      <c r="D59" s="847" t="s">
        <v>737</v>
      </c>
      <c r="E59" s="847" t="s">
        <v>312</v>
      </c>
    </row>
    <row r="60" spans="1:5" ht="16" x14ac:dyDescent="0.2">
      <c r="A60" s="981" t="s">
        <v>201</v>
      </c>
      <c r="B60" s="847" t="s">
        <v>72</v>
      </c>
      <c r="C60" s="847" t="s">
        <v>314</v>
      </c>
      <c r="D60" s="858" t="s">
        <v>861</v>
      </c>
      <c r="E60" s="858" t="s">
        <v>829</v>
      </c>
    </row>
    <row r="61" spans="1:5" ht="16" x14ac:dyDescent="0.2">
      <c r="A61" s="981" t="s">
        <v>201</v>
      </c>
      <c r="B61" s="847" t="s">
        <v>72</v>
      </c>
      <c r="C61" s="847" t="s">
        <v>315</v>
      </c>
      <c r="D61" s="858" t="s">
        <v>862</v>
      </c>
      <c r="E61" s="858" t="s">
        <v>830</v>
      </c>
    </row>
    <row r="62" spans="1:5" ht="16" x14ac:dyDescent="0.2">
      <c r="A62" s="981" t="s">
        <v>201</v>
      </c>
      <c r="B62" s="858" t="s">
        <v>316</v>
      </c>
      <c r="C62" s="866" t="s">
        <v>867</v>
      </c>
      <c r="D62" s="866" t="s">
        <v>868</v>
      </c>
      <c r="E62" s="866" t="s">
        <v>870</v>
      </c>
    </row>
    <row r="63" spans="1:5" ht="16" x14ac:dyDescent="0.2">
      <c r="A63" s="981" t="s">
        <v>201</v>
      </c>
      <c r="B63" s="858" t="s">
        <v>316</v>
      </c>
      <c r="C63" s="866" t="s">
        <v>866</v>
      </c>
      <c r="D63" s="866" t="s">
        <v>869</v>
      </c>
      <c r="E63" s="866" t="s">
        <v>871</v>
      </c>
    </row>
    <row r="64" spans="1:5" ht="16" x14ac:dyDescent="0.2">
      <c r="A64" s="981" t="s">
        <v>201</v>
      </c>
      <c r="B64" s="858" t="s">
        <v>316</v>
      </c>
      <c r="C64" s="865" t="s">
        <v>392</v>
      </c>
      <c r="D64" s="865" t="s">
        <v>392</v>
      </c>
      <c r="E64" s="865" t="s">
        <v>392</v>
      </c>
    </row>
    <row r="65" spans="1:5" ht="16" x14ac:dyDescent="0.2">
      <c r="A65" s="981" t="s">
        <v>201</v>
      </c>
      <c r="E65" s="866" t="s">
        <v>385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8969A-99DF-2248-ABD5-C40B0F1271F5}">
  <sheetPr codeName="Sheet9"/>
  <dimension ref="A1:G91"/>
  <sheetViews>
    <sheetView zoomScale="110" zoomScaleNormal="110" workbookViewId="0">
      <selection activeCell="AW2" sqref="AW2:BI2"/>
    </sheetView>
  </sheetViews>
  <sheetFormatPr baseColWidth="10" defaultRowHeight="15" x14ac:dyDescent="0.2"/>
  <cols>
    <col min="1" max="2" width="28.5" customWidth="1"/>
    <col min="3" max="3" width="41.6640625" customWidth="1"/>
    <col min="4" max="7" width="28.5" customWidth="1"/>
  </cols>
  <sheetData>
    <row r="1" spans="1:7" ht="16" thickBot="1" x14ac:dyDescent="0.25">
      <c r="A1" s="655" t="s">
        <v>0</v>
      </c>
      <c r="B1" s="656" t="s">
        <v>319</v>
      </c>
      <c r="C1" s="657" t="s">
        <v>276</v>
      </c>
      <c r="D1" s="658" t="s">
        <v>320</v>
      </c>
      <c r="E1" s="659" t="s">
        <v>321</v>
      </c>
      <c r="F1" s="659" t="s">
        <v>322</v>
      </c>
      <c r="G1" s="660" t="s">
        <v>323</v>
      </c>
    </row>
    <row r="2" spans="1:7" x14ac:dyDescent="0.2">
      <c r="A2" s="678" t="str">
        <f>[1]data!A2</f>
        <v>4700626667</v>
      </c>
      <c r="B2" s="679" t="str">
        <f>[1]data!C2</f>
        <v>Harley Davidson</v>
      </c>
      <c r="C2" s="680" t="str">
        <f>[1]data!D2</f>
        <v>D96331</v>
      </c>
      <c r="D2" s="681">
        <f>[1]data!E2</f>
        <v>600</v>
      </c>
      <c r="E2" s="682">
        <f>[1]data!F2</f>
        <v>46034</v>
      </c>
      <c r="F2" s="682">
        <f>[1]data!I2</f>
        <v>46061</v>
      </c>
      <c r="G2" s="666"/>
    </row>
    <row r="3" spans="1:7" x14ac:dyDescent="0.2">
      <c r="A3" s="678" t="str">
        <f>[1]data!A3</f>
        <v>671563</v>
      </c>
      <c r="B3" s="679" t="str">
        <f>[1]data!C3</f>
        <v>Weinbrenner</v>
      </c>
      <c r="C3" s="680" t="str">
        <f>[1]data!D3</f>
        <v>504/804-6301
Waterproof</v>
      </c>
      <c r="D3" s="681">
        <f>[1]data!E3</f>
        <v>44</v>
      </c>
      <c r="E3" s="682">
        <f>[1]data!F3</f>
        <v>46034</v>
      </c>
      <c r="F3" s="682">
        <f>[1]data!I3</f>
        <v>46061</v>
      </c>
      <c r="G3" s="666"/>
    </row>
    <row r="4" spans="1:7" x14ac:dyDescent="0.2">
      <c r="A4" s="678" t="str">
        <f>[1]data!A4</f>
        <v>671566</v>
      </c>
      <c r="B4" s="679" t="str">
        <f>[1]data!C4</f>
        <v>Weinbrenner</v>
      </c>
      <c r="C4" s="680" t="str">
        <f>[1]data!D4</f>
        <v>504/804-6301
Waterproof</v>
      </c>
      <c r="D4" s="681">
        <f>[1]data!E4</f>
        <v>120</v>
      </c>
      <c r="E4" s="682">
        <f>[1]data!F4</f>
        <v>46034</v>
      </c>
      <c r="F4" s="682">
        <f>[1]data!I4</f>
        <v>46061</v>
      </c>
      <c r="G4" s="666"/>
    </row>
    <row r="5" spans="1:7" x14ac:dyDescent="0.2">
      <c r="A5" s="678" t="str">
        <f>[1]data!A5</f>
        <v>671614</v>
      </c>
      <c r="B5" s="679" t="str">
        <f>[1]data!C5</f>
        <v>Weinbrenner</v>
      </c>
      <c r="C5" s="680" t="str">
        <f>[1]data!D5</f>
        <v>504/804-6301
Waterproof</v>
      </c>
      <c r="D5" s="681">
        <f>[1]data!E5</f>
        <v>488</v>
      </c>
      <c r="E5" s="682">
        <f>[1]data!F5</f>
        <v>46034</v>
      </c>
      <c r="F5" s="682">
        <f>[1]data!I5</f>
        <v>46061</v>
      </c>
      <c r="G5" s="666"/>
    </row>
    <row r="6" spans="1:7" x14ac:dyDescent="0.2">
      <c r="A6" s="678" t="str">
        <f>[1]data!A6</f>
        <v>PO1047</v>
      </c>
      <c r="B6" s="679" t="str">
        <f>[1]data!C6</f>
        <v>BRUNT</v>
      </c>
      <c r="C6" s="680" t="str">
        <f>[1]data!D6</f>
        <v>Marin Welted USA (Soft Toe)
Waterproof</v>
      </c>
      <c r="D6" s="681">
        <f>[1]data!E6</f>
        <v>540</v>
      </c>
      <c r="E6" s="682">
        <f>[1]data!F6</f>
        <v>46034</v>
      </c>
      <c r="F6" s="682">
        <f>[1]data!I6</f>
        <v>46061</v>
      </c>
      <c r="G6" s="666"/>
    </row>
    <row r="7" spans="1:7" x14ac:dyDescent="0.2">
      <c r="A7" s="678" t="str">
        <f>[1]data!A7</f>
        <v>PO162</v>
      </c>
      <c r="B7" s="679" t="str">
        <f>[1]data!C7</f>
        <v>USBOOT</v>
      </c>
      <c r="C7" s="680" t="str">
        <f>[1]data!D7</f>
        <v>Western Steel Toe
Waterproof</v>
      </c>
      <c r="D7" s="681">
        <f>[1]data!E7</f>
        <v>318</v>
      </c>
      <c r="E7" s="682">
        <f>[1]data!F7</f>
        <v>46034</v>
      </c>
      <c r="F7" s="682">
        <f>[1]data!I7</f>
        <v>46061</v>
      </c>
      <c r="G7" s="666"/>
    </row>
    <row r="8" spans="1:7" x14ac:dyDescent="0.2">
      <c r="A8" s="678" t="str">
        <f>[1]data!A8</f>
        <v>PO1047</v>
      </c>
      <c r="B8" s="679" t="str">
        <f>[1]data!C8</f>
        <v>BRUNT</v>
      </c>
      <c r="C8" s="680" t="str">
        <f>[1]data!D8</f>
        <v>Marin Welted USA (Comp Toe)
Waterproof</v>
      </c>
      <c r="D8" s="681">
        <f>[1]data!E8</f>
        <v>2676</v>
      </c>
      <c r="E8" s="682">
        <f>[1]data!F8</f>
        <v>46036</v>
      </c>
      <c r="F8" s="682">
        <f>[1]data!I8</f>
        <v>46069</v>
      </c>
      <c r="G8" s="666"/>
    </row>
    <row r="9" spans="1:7" x14ac:dyDescent="0.2">
      <c r="A9" s="678" t="str">
        <f>[1]data!A9</f>
        <v>PO1047</v>
      </c>
      <c r="B9" s="679" t="str">
        <f>[1]data!C9</f>
        <v>BRUNT</v>
      </c>
      <c r="C9" s="680" t="str">
        <f>[1]data!D9</f>
        <v>Marin Welted USA (Soft Toe)
Waterproof</v>
      </c>
      <c r="D9" s="681">
        <f>[1]data!E9</f>
        <v>972</v>
      </c>
      <c r="E9" s="682">
        <f>[1]data!F9</f>
        <v>46048</v>
      </c>
      <c r="F9" s="682">
        <f>[1]data!I9</f>
        <v>46079</v>
      </c>
      <c r="G9" s="666"/>
    </row>
    <row r="10" spans="1:7" x14ac:dyDescent="0.2">
      <c r="A10" s="678" t="str">
        <f>[1]data!A10</f>
        <v>PO1048</v>
      </c>
      <c r="B10" s="679" t="str">
        <f>[1]data!C10</f>
        <v>BRUNT</v>
      </c>
      <c r="C10" s="680" t="str">
        <f>[1]data!D10</f>
        <v>Marin Welted USA (Soft Toe)
Waterproof</v>
      </c>
      <c r="D10" s="681">
        <f>[1]data!E10</f>
        <v>606</v>
      </c>
      <c r="E10" s="682">
        <f>[1]data!F10</f>
        <v>46048</v>
      </c>
      <c r="F10" s="682">
        <f>[1]data!I10</f>
        <v>46079</v>
      </c>
      <c r="G10" s="666"/>
    </row>
    <row r="11" spans="1:7" x14ac:dyDescent="0.2">
      <c r="A11" s="678" t="str">
        <f>[1]data!A11</f>
        <v>PO1048</v>
      </c>
      <c r="B11" s="679" t="str">
        <f>[1]data!C11</f>
        <v>BRUNT</v>
      </c>
      <c r="C11" s="680" t="str">
        <f>[1]data!D11</f>
        <v>Marin Unlined Welted USA (Comp Toe)
Dark BRN</v>
      </c>
      <c r="D11" s="681">
        <f>[1]data!E11</f>
        <v>612</v>
      </c>
      <c r="E11" s="682">
        <f>[1]data!F11</f>
        <v>46048</v>
      </c>
      <c r="F11" s="682">
        <f>[1]data!I11</f>
        <v>46079</v>
      </c>
      <c r="G11" s="666"/>
    </row>
    <row r="12" spans="1:7" x14ac:dyDescent="0.2">
      <c r="A12" s="678" t="str">
        <f>[1]data!A12</f>
        <v>PO1049</v>
      </c>
      <c r="B12" s="679" t="str">
        <f>[1]data!C12</f>
        <v>BRUNT</v>
      </c>
      <c r="C12" s="680" t="str">
        <f>[1]data!D12</f>
        <v>Marin Welted USA (Comp Toe) Brunt Toe</v>
      </c>
      <c r="D12" s="681">
        <f>[1]data!E12</f>
        <v>600</v>
      </c>
      <c r="E12" s="682">
        <f>[1]data!F12</f>
        <v>46048</v>
      </c>
      <c r="F12" s="682">
        <f>[1]data!I12</f>
        <v>46079</v>
      </c>
      <c r="G12" s="666"/>
    </row>
    <row r="13" spans="1:7" x14ac:dyDescent="0.2">
      <c r="A13" s="678" t="str">
        <f>[1]data!A13</f>
        <v>4700626667</v>
      </c>
      <c r="B13" s="679" t="str">
        <f>[1]data!C13</f>
        <v>Harley Davidson</v>
      </c>
      <c r="C13" s="680" t="str">
        <f>[1]data!D13</f>
        <v>D87321</v>
      </c>
      <c r="D13" s="681">
        <f>[1]data!E13</f>
        <v>480</v>
      </c>
      <c r="E13" s="682">
        <f>[1]data!F13</f>
        <v>46058</v>
      </c>
      <c r="F13" s="682">
        <f>[1]data!I13</f>
        <v>46084</v>
      </c>
      <c r="G13" s="666"/>
    </row>
    <row r="14" spans="1:7" x14ac:dyDescent="0.2">
      <c r="A14" s="678" t="str">
        <f>[1]data!A14</f>
        <v>PO1080</v>
      </c>
      <c r="B14" s="679" t="str">
        <f>[1]data!C14</f>
        <v>BRUNT</v>
      </c>
      <c r="C14" s="680" t="str">
        <f>[1]data!D14</f>
        <v>Marin Welted USA (Soft Toe)
Waterproof</v>
      </c>
      <c r="D14" s="681">
        <f>[1]data!E14</f>
        <v>624</v>
      </c>
      <c r="E14" s="682">
        <f>[1]data!F14</f>
        <v>46058</v>
      </c>
      <c r="F14" s="682">
        <f>[1]data!I14</f>
        <v>46084</v>
      </c>
      <c r="G14" s="666"/>
    </row>
    <row r="15" spans="1:7" x14ac:dyDescent="0.2">
      <c r="A15" s="678" t="str">
        <f>[1]data!A15</f>
        <v>PO1080</v>
      </c>
      <c r="B15" s="679" t="str">
        <f>[1]data!C15</f>
        <v>BRUNT</v>
      </c>
      <c r="C15" s="680" t="str">
        <f>[1]data!D15</f>
        <v>Marin Welted USA (Comp Toe)
Waterproof</v>
      </c>
      <c r="D15" s="681">
        <f>[1]data!E15</f>
        <v>648</v>
      </c>
      <c r="E15" s="682">
        <f>[1]data!F15</f>
        <v>46058</v>
      </c>
      <c r="F15" s="682">
        <f>[1]data!I15</f>
        <v>46084</v>
      </c>
      <c r="G15" s="666"/>
    </row>
    <row r="16" spans="1:7" x14ac:dyDescent="0.2">
      <c r="A16" s="678" t="str">
        <f>[1]data!A16</f>
        <v>PO1081</v>
      </c>
      <c r="B16" s="679" t="str">
        <f>[1]data!C16</f>
        <v>BRUNT</v>
      </c>
      <c r="C16" s="680" t="str">
        <f>[1]data!D16</f>
        <v>Marin Unlined Welted USA (Soft Toe)</v>
      </c>
      <c r="D16" s="681">
        <f>[1]data!E16</f>
        <v>654</v>
      </c>
      <c r="E16" s="682">
        <f>[1]data!F16</f>
        <v>46058</v>
      </c>
      <c r="F16" s="682">
        <f>[1]data!I16</f>
        <v>46084</v>
      </c>
      <c r="G16" s="666"/>
    </row>
    <row r="17" spans="1:7" x14ac:dyDescent="0.2">
      <c r="A17" s="678" t="str">
        <f>[1]data!A17</f>
        <v>PO1081</v>
      </c>
      <c r="B17" s="679" t="str">
        <f>[1]data!C17</f>
        <v>BRUNT</v>
      </c>
      <c r="C17" s="680" t="str">
        <f>[1]data!D17</f>
        <v>Marin Unlined Welted USA (Comp Toe)</v>
      </c>
      <c r="D17" s="681">
        <f>[1]data!E17</f>
        <v>642</v>
      </c>
      <c r="E17" s="682">
        <f>[1]data!F17</f>
        <v>46058</v>
      </c>
      <c r="F17" s="682">
        <f>[1]data!I17</f>
        <v>46084</v>
      </c>
      <c r="G17" s="666"/>
    </row>
    <row r="18" spans="1:7" x14ac:dyDescent="0.2">
      <c r="A18" s="678" t="str">
        <f>[1]data!A18</f>
        <v>PO1082</v>
      </c>
      <c r="B18" s="679" t="str">
        <f>[1]data!C18</f>
        <v>BRUNT</v>
      </c>
      <c r="C18" s="680" t="str">
        <f>[1]data!D18</f>
        <v>Marin Welted USA 8"(Comp Toe)  
Waterproof</v>
      </c>
      <c r="D18" s="681">
        <f>[1]data!E18</f>
        <v>930</v>
      </c>
      <c r="E18" s="682">
        <f>[1]data!F18</f>
        <v>46057</v>
      </c>
      <c r="F18" s="682">
        <f>[1]data!I18</f>
        <v>46084</v>
      </c>
      <c r="G18" s="666"/>
    </row>
    <row r="19" spans="1:7" x14ac:dyDescent="0.2">
      <c r="A19" s="678" t="str">
        <f>[1]data!A19</f>
        <v>PO1083</v>
      </c>
      <c r="B19" s="679" t="str">
        <f>[1]data!C19</f>
        <v>BRUNT</v>
      </c>
      <c r="C19" s="680" t="str">
        <f>[1]data!D19</f>
        <v>Marin Welted USA  Brunt Toe(Comp Toe)
Waterproof</v>
      </c>
      <c r="D19" s="681">
        <f>[1]data!E19</f>
        <v>2508</v>
      </c>
      <c r="E19" s="682">
        <f>[1]data!F19</f>
        <v>46064</v>
      </c>
      <c r="F19" s="682">
        <f>[1]data!I19</f>
        <v>46104</v>
      </c>
      <c r="G19" s="666"/>
    </row>
    <row r="20" spans="1:7" x14ac:dyDescent="0.2">
      <c r="A20" s="678" t="s">
        <v>324</v>
      </c>
      <c r="B20" s="679" t="s">
        <v>325</v>
      </c>
      <c r="C20" s="680" t="s">
        <v>283</v>
      </c>
      <c r="D20" s="681">
        <v>210</v>
      </c>
      <c r="E20" s="682">
        <v>46064</v>
      </c>
      <c r="F20" s="682">
        <v>46104</v>
      </c>
      <c r="G20" s="666"/>
    </row>
    <row r="21" spans="1:7" x14ac:dyDescent="0.2">
      <c r="A21" s="678" t="s">
        <v>324</v>
      </c>
      <c r="B21" s="679" t="s">
        <v>325</v>
      </c>
      <c r="C21" s="680" t="s">
        <v>283</v>
      </c>
      <c r="D21" s="681">
        <v>474</v>
      </c>
      <c r="E21" s="682">
        <v>46064</v>
      </c>
      <c r="F21" s="682">
        <v>46104</v>
      </c>
      <c r="G21" s="666"/>
    </row>
    <row r="22" spans="1:7" x14ac:dyDescent="0.2">
      <c r="A22" s="678" t="s">
        <v>324</v>
      </c>
      <c r="B22" s="679" t="s">
        <v>325</v>
      </c>
      <c r="C22" s="680" t="s">
        <v>282</v>
      </c>
      <c r="D22" s="681">
        <v>684</v>
      </c>
      <c r="E22" s="682">
        <v>46064</v>
      </c>
      <c r="F22" s="682">
        <v>46104</v>
      </c>
      <c r="G22" s="666"/>
    </row>
    <row r="23" spans="1:7" x14ac:dyDescent="0.2">
      <c r="A23" s="678" t="s">
        <v>326</v>
      </c>
      <c r="B23" s="679" t="s">
        <v>327</v>
      </c>
      <c r="C23" s="680" t="s">
        <v>301</v>
      </c>
      <c r="D23" s="681">
        <v>78</v>
      </c>
      <c r="E23" s="682">
        <v>46111</v>
      </c>
      <c r="F23" s="682">
        <v>46121</v>
      </c>
      <c r="G23" s="666"/>
    </row>
    <row r="24" spans="1:7" x14ac:dyDescent="0.2">
      <c r="A24" s="678" t="s">
        <v>326</v>
      </c>
      <c r="B24" s="679" t="s">
        <v>327</v>
      </c>
      <c r="C24" s="680" t="s">
        <v>298</v>
      </c>
      <c r="D24" s="681">
        <v>48</v>
      </c>
      <c r="E24" s="682">
        <v>46111</v>
      </c>
      <c r="F24" s="682">
        <v>46121</v>
      </c>
      <c r="G24" s="666"/>
    </row>
    <row r="25" spans="1:7" x14ac:dyDescent="0.2">
      <c r="A25" s="678" t="s">
        <v>328</v>
      </c>
      <c r="B25" s="679" t="s">
        <v>325</v>
      </c>
      <c r="C25" s="680" t="s">
        <v>289</v>
      </c>
      <c r="D25" s="681">
        <v>684</v>
      </c>
      <c r="E25" s="682">
        <v>46093</v>
      </c>
      <c r="F25" s="682">
        <v>46125</v>
      </c>
      <c r="G25" s="666"/>
    </row>
    <row r="26" spans="1:7" x14ac:dyDescent="0.2">
      <c r="A26" s="678" t="s">
        <v>328</v>
      </c>
      <c r="B26" s="679" t="s">
        <v>325</v>
      </c>
      <c r="C26" s="680" t="s">
        <v>288</v>
      </c>
      <c r="D26" s="681">
        <v>624</v>
      </c>
      <c r="E26" s="682">
        <v>46093</v>
      </c>
      <c r="F26" s="682">
        <v>46125</v>
      </c>
      <c r="G26" s="666"/>
    </row>
    <row r="27" spans="1:7" x14ac:dyDescent="0.2">
      <c r="A27" s="678" t="s">
        <v>329</v>
      </c>
      <c r="B27" s="679" t="s">
        <v>325</v>
      </c>
      <c r="C27" s="680" t="s">
        <v>277</v>
      </c>
      <c r="D27" s="681">
        <v>696</v>
      </c>
      <c r="E27" s="682">
        <v>46093</v>
      </c>
      <c r="F27" s="682">
        <v>46125</v>
      </c>
      <c r="G27" s="666"/>
    </row>
    <row r="28" spans="1:7" x14ac:dyDescent="0.2">
      <c r="A28" s="678" t="s">
        <v>330</v>
      </c>
      <c r="B28" s="679" t="s">
        <v>325</v>
      </c>
      <c r="C28" s="680" t="s">
        <v>280</v>
      </c>
      <c r="D28" s="681">
        <v>840</v>
      </c>
      <c r="E28" s="682">
        <v>46093</v>
      </c>
      <c r="F28" s="682">
        <v>46125</v>
      </c>
      <c r="G28" s="666"/>
    </row>
    <row r="29" spans="1:7" x14ac:dyDescent="0.2">
      <c r="A29" s="678" t="s">
        <v>330</v>
      </c>
      <c r="B29" s="679" t="s">
        <v>325</v>
      </c>
      <c r="C29" s="680" t="s">
        <v>280</v>
      </c>
      <c r="D29" s="681">
        <v>1788</v>
      </c>
      <c r="E29" s="682">
        <v>46107</v>
      </c>
      <c r="F29" s="682">
        <v>46135</v>
      </c>
      <c r="G29" s="666"/>
    </row>
    <row r="30" spans="1:7" x14ac:dyDescent="0.2">
      <c r="A30" s="678" t="s">
        <v>172</v>
      </c>
      <c r="B30" s="679" t="s">
        <v>331</v>
      </c>
      <c r="C30" s="680" t="s">
        <v>295</v>
      </c>
      <c r="D30" s="681">
        <v>600</v>
      </c>
      <c r="E30" s="682">
        <v>46107</v>
      </c>
      <c r="F30" s="682">
        <v>46135</v>
      </c>
      <c r="G30" s="666"/>
    </row>
    <row r="31" spans="1:7" x14ac:dyDescent="0.2">
      <c r="A31" s="678" t="s">
        <v>172</v>
      </c>
      <c r="B31" s="679" t="s">
        <v>331</v>
      </c>
      <c r="C31" s="680" t="s">
        <v>295</v>
      </c>
      <c r="D31" s="681">
        <v>396</v>
      </c>
      <c r="E31" s="682">
        <v>46108</v>
      </c>
      <c r="F31" s="682">
        <v>46135</v>
      </c>
      <c r="G31" s="666"/>
    </row>
    <row r="32" spans="1:7" x14ac:dyDescent="0.2">
      <c r="A32" s="678" t="s">
        <v>332</v>
      </c>
      <c r="B32" s="679" t="s">
        <v>29</v>
      </c>
      <c r="C32" s="680" t="s">
        <v>310</v>
      </c>
      <c r="D32" s="681">
        <v>1184</v>
      </c>
      <c r="E32" s="682">
        <v>46108</v>
      </c>
      <c r="F32" s="682">
        <v>46135</v>
      </c>
      <c r="G32" s="666"/>
    </row>
    <row r="33" spans="1:7" x14ac:dyDescent="0.2">
      <c r="A33" s="678" t="s">
        <v>172</v>
      </c>
      <c r="B33" s="679" t="s">
        <v>331</v>
      </c>
      <c r="C33" s="680" t="s">
        <v>295</v>
      </c>
      <c r="D33" s="681">
        <v>1314</v>
      </c>
      <c r="E33" s="682">
        <v>46113</v>
      </c>
      <c r="F33" s="682">
        <v>46144</v>
      </c>
      <c r="G33" s="666"/>
    </row>
    <row r="34" spans="1:7" x14ac:dyDescent="0.2">
      <c r="A34" s="678" t="s">
        <v>333</v>
      </c>
      <c r="B34" s="679" t="s">
        <v>331</v>
      </c>
      <c r="C34" s="680" t="s">
        <v>295</v>
      </c>
      <c r="D34" s="681">
        <v>540</v>
      </c>
      <c r="E34" s="682">
        <v>46113</v>
      </c>
      <c r="F34" s="682">
        <v>46144</v>
      </c>
      <c r="G34" s="666"/>
    </row>
    <row r="35" spans="1:7" x14ac:dyDescent="0.2">
      <c r="A35" s="678" t="s">
        <v>333</v>
      </c>
      <c r="B35" s="679" t="s">
        <v>331</v>
      </c>
      <c r="C35" s="680" t="s">
        <v>295</v>
      </c>
      <c r="D35" s="681">
        <v>1398</v>
      </c>
      <c r="E35" s="682">
        <v>46123</v>
      </c>
      <c r="F35" s="682">
        <v>46152</v>
      </c>
      <c r="G35" s="666"/>
    </row>
    <row r="36" spans="1:7" x14ac:dyDescent="0.2">
      <c r="A36" s="678" t="s">
        <v>326</v>
      </c>
      <c r="B36" s="679" t="s">
        <v>327</v>
      </c>
      <c r="C36" s="680" t="s">
        <v>301</v>
      </c>
      <c r="D36" s="681">
        <v>522</v>
      </c>
      <c r="E36" s="682">
        <v>46123</v>
      </c>
      <c r="F36" s="682">
        <v>46152</v>
      </c>
      <c r="G36" s="666"/>
    </row>
    <row r="37" spans="1:7" x14ac:dyDescent="0.2">
      <c r="A37" s="678" t="s">
        <v>326</v>
      </c>
      <c r="B37" s="679" t="s">
        <v>327</v>
      </c>
      <c r="C37" s="680" t="s">
        <v>298</v>
      </c>
      <c r="D37" s="681">
        <v>432</v>
      </c>
      <c r="E37" s="682">
        <v>46123</v>
      </c>
      <c r="F37" s="682">
        <v>46152</v>
      </c>
      <c r="G37" s="666"/>
    </row>
    <row r="38" spans="1:7" x14ac:dyDescent="0.2">
      <c r="A38" s="678" t="s">
        <v>334</v>
      </c>
      <c r="B38" s="679" t="s">
        <v>325</v>
      </c>
      <c r="C38" s="680" t="s">
        <v>279</v>
      </c>
      <c r="D38" s="681">
        <v>600</v>
      </c>
      <c r="E38" s="682">
        <v>46133</v>
      </c>
      <c r="F38" s="682">
        <v>46160</v>
      </c>
      <c r="G38" s="666"/>
    </row>
    <row r="39" spans="1:7" x14ac:dyDescent="0.2">
      <c r="A39" s="678" t="s">
        <v>335</v>
      </c>
      <c r="B39" s="679" t="s">
        <v>325</v>
      </c>
      <c r="C39" s="680" t="s">
        <v>284</v>
      </c>
      <c r="D39" s="681">
        <v>1806</v>
      </c>
      <c r="E39" s="682">
        <v>46133</v>
      </c>
      <c r="F39" s="682">
        <v>46160</v>
      </c>
      <c r="G39" s="666"/>
    </row>
    <row r="40" spans="1:7" x14ac:dyDescent="0.2">
      <c r="A40" s="678" t="s">
        <v>335</v>
      </c>
      <c r="B40" s="679" t="s">
        <v>325</v>
      </c>
      <c r="C40" s="680" t="s">
        <v>286</v>
      </c>
      <c r="D40" s="681">
        <v>1440</v>
      </c>
      <c r="E40" s="682">
        <v>46133</v>
      </c>
      <c r="F40" s="682">
        <v>46160</v>
      </c>
      <c r="G40" s="666"/>
    </row>
    <row r="41" spans="1:7" x14ac:dyDescent="0.2">
      <c r="A41" s="678" t="s">
        <v>326</v>
      </c>
      <c r="B41" s="679" t="s">
        <v>327</v>
      </c>
      <c r="C41" s="680" t="s">
        <v>298</v>
      </c>
      <c r="D41" s="681">
        <v>120</v>
      </c>
      <c r="E41" s="682">
        <v>46133</v>
      </c>
      <c r="F41" s="682">
        <v>46166</v>
      </c>
      <c r="G41" s="666"/>
    </row>
    <row r="42" spans="1:7" x14ac:dyDescent="0.2">
      <c r="A42" s="678" t="s">
        <v>336</v>
      </c>
      <c r="B42" s="679" t="s">
        <v>331</v>
      </c>
      <c r="C42" s="680" t="s">
        <v>295</v>
      </c>
      <c r="D42" s="681">
        <v>1572</v>
      </c>
      <c r="E42" s="682">
        <v>46137</v>
      </c>
      <c r="F42" s="682">
        <v>46175</v>
      </c>
      <c r="G42" s="666"/>
    </row>
    <row r="43" spans="1:7" x14ac:dyDescent="0.2">
      <c r="A43" s="678" t="s">
        <v>337</v>
      </c>
      <c r="B43" s="679" t="s">
        <v>325</v>
      </c>
      <c r="C43" s="680" t="s">
        <v>283</v>
      </c>
      <c r="D43" s="681">
        <v>600</v>
      </c>
      <c r="E43" s="682">
        <v>46139</v>
      </c>
      <c r="F43" s="682">
        <v>46177</v>
      </c>
      <c r="G43" s="666"/>
    </row>
    <row r="44" spans="1:7" x14ac:dyDescent="0.2">
      <c r="A44" s="678" t="s">
        <v>337</v>
      </c>
      <c r="B44" s="679" t="s">
        <v>325</v>
      </c>
      <c r="C44" s="680" t="s">
        <v>290</v>
      </c>
      <c r="D44" s="681">
        <v>600</v>
      </c>
      <c r="E44" s="682">
        <v>46139</v>
      </c>
      <c r="F44" s="682">
        <v>46177</v>
      </c>
      <c r="G44" s="666"/>
    </row>
    <row r="45" spans="1:7" x14ac:dyDescent="0.2">
      <c r="A45" s="678" t="s">
        <v>338</v>
      </c>
      <c r="B45" s="679" t="s">
        <v>325</v>
      </c>
      <c r="C45" s="680" t="s">
        <v>277</v>
      </c>
      <c r="D45" s="681">
        <v>600</v>
      </c>
      <c r="E45" s="682">
        <v>46139</v>
      </c>
      <c r="F45" s="682">
        <v>46177</v>
      </c>
      <c r="G45" s="666"/>
    </row>
    <row r="46" spans="1:7" x14ac:dyDescent="0.2">
      <c r="A46" s="678" t="s">
        <v>339</v>
      </c>
      <c r="B46" s="679" t="s">
        <v>325</v>
      </c>
      <c r="C46" s="680" t="s">
        <v>289</v>
      </c>
      <c r="D46" s="681">
        <v>600</v>
      </c>
      <c r="E46" s="682">
        <v>46139</v>
      </c>
      <c r="F46" s="682">
        <v>46177</v>
      </c>
      <c r="G46" s="666"/>
    </row>
    <row r="47" spans="1:7" x14ac:dyDescent="0.2">
      <c r="A47" s="678" t="s">
        <v>339</v>
      </c>
      <c r="B47" s="679" t="s">
        <v>325</v>
      </c>
      <c r="C47" s="680" t="s">
        <v>288</v>
      </c>
      <c r="D47" s="681">
        <v>600</v>
      </c>
      <c r="E47" s="682">
        <v>46139</v>
      </c>
      <c r="F47" s="682">
        <v>46177</v>
      </c>
      <c r="G47" s="666"/>
    </row>
    <row r="48" spans="1:7" x14ac:dyDescent="0.2">
      <c r="A48" s="678" t="s">
        <v>340</v>
      </c>
      <c r="B48" s="679" t="s">
        <v>325</v>
      </c>
      <c r="C48" s="680" t="s">
        <v>280</v>
      </c>
      <c r="D48" s="681">
        <v>600</v>
      </c>
      <c r="E48" s="682">
        <v>46149</v>
      </c>
      <c r="F48" s="682">
        <v>46187</v>
      </c>
      <c r="G48" s="666"/>
    </row>
    <row r="49" spans="1:7" x14ac:dyDescent="0.2">
      <c r="A49" s="678" t="s">
        <v>341</v>
      </c>
      <c r="B49" s="679" t="s">
        <v>325</v>
      </c>
      <c r="C49" s="680" t="s">
        <v>284</v>
      </c>
      <c r="D49" s="681">
        <v>1800</v>
      </c>
      <c r="E49" s="682">
        <v>46149</v>
      </c>
      <c r="F49" s="682">
        <v>46187</v>
      </c>
      <c r="G49" s="666"/>
    </row>
    <row r="50" spans="1:7" x14ac:dyDescent="0.2">
      <c r="A50" s="678" t="s">
        <v>341</v>
      </c>
      <c r="B50" s="679" t="s">
        <v>325</v>
      </c>
      <c r="C50" s="680" t="s">
        <v>286</v>
      </c>
      <c r="D50" s="681">
        <v>600</v>
      </c>
      <c r="E50" s="682">
        <v>46149</v>
      </c>
      <c r="F50" s="682">
        <v>46187</v>
      </c>
      <c r="G50" s="666"/>
    </row>
    <row r="51" spans="1:7" x14ac:dyDescent="0.2">
      <c r="A51" s="678" t="s">
        <v>342</v>
      </c>
      <c r="B51" s="679" t="s">
        <v>312</v>
      </c>
      <c r="C51" s="680" t="s">
        <v>313</v>
      </c>
      <c r="D51" s="681">
        <v>1800</v>
      </c>
      <c r="E51" s="682">
        <v>46150</v>
      </c>
      <c r="F51" s="682">
        <v>46188</v>
      </c>
      <c r="G51" s="666"/>
    </row>
    <row r="52" spans="1:7" x14ac:dyDescent="0.2">
      <c r="A52" s="678" t="s">
        <v>343</v>
      </c>
      <c r="B52" s="679" t="s">
        <v>316</v>
      </c>
      <c r="C52" s="680" t="s">
        <v>317</v>
      </c>
      <c r="D52" s="681">
        <v>1218</v>
      </c>
      <c r="E52" s="682">
        <v>46157</v>
      </c>
      <c r="F52" s="682">
        <v>46195</v>
      </c>
      <c r="G52" s="666"/>
    </row>
    <row r="53" spans="1:7" x14ac:dyDescent="0.2">
      <c r="A53" s="678" t="s">
        <v>343</v>
      </c>
      <c r="B53" s="679" t="s">
        <v>316</v>
      </c>
      <c r="C53" s="680" t="s">
        <v>318</v>
      </c>
      <c r="D53" s="681">
        <v>636</v>
      </c>
      <c r="E53" s="682">
        <v>46164</v>
      </c>
      <c r="F53" s="682">
        <v>46202</v>
      </c>
      <c r="G53" s="666"/>
    </row>
    <row r="54" spans="1:7" x14ac:dyDescent="0.2">
      <c r="A54" s="678" t="s">
        <v>344</v>
      </c>
      <c r="B54" s="679" t="s">
        <v>316</v>
      </c>
      <c r="C54" s="680" t="s">
        <v>318</v>
      </c>
      <c r="D54" s="681">
        <v>2202</v>
      </c>
      <c r="E54" s="682">
        <v>46164</v>
      </c>
      <c r="F54" s="682">
        <v>46202</v>
      </c>
      <c r="G54" s="666"/>
    </row>
    <row r="55" spans="1:7" x14ac:dyDescent="0.2">
      <c r="A55" s="678" t="s">
        <v>345</v>
      </c>
      <c r="B55" s="679" t="s">
        <v>325</v>
      </c>
      <c r="C55" s="680" t="s">
        <v>280</v>
      </c>
      <c r="D55" s="681">
        <v>600</v>
      </c>
      <c r="E55" s="682">
        <v>46164</v>
      </c>
      <c r="F55" s="682">
        <v>46202</v>
      </c>
      <c r="G55" s="666"/>
    </row>
    <row r="56" spans="1:7" x14ac:dyDescent="0.2">
      <c r="A56" s="678" t="s">
        <v>326</v>
      </c>
      <c r="B56" s="679" t="s">
        <v>327</v>
      </c>
      <c r="C56" s="680" t="s">
        <v>305</v>
      </c>
      <c r="D56" s="681">
        <v>900</v>
      </c>
      <c r="E56" s="682">
        <v>46146</v>
      </c>
      <c r="F56" s="682">
        <v>46204</v>
      </c>
      <c r="G56" s="666"/>
    </row>
    <row r="57" spans="1:7" x14ac:dyDescent="0.2">
      <c r="A57" s="678" t="s">
        <v>326</v>
      </c>
      <c r="B57" s="679" t="s">
        <v>327</v>
      </c>
      <c r="C57" s="680" t="s">
        <v>303</v>
      </c>
      <c r="D57" s="681">
        <v>1500</v>
      </c>
      <c r="E57" s="682">
        <v>46146</v>
      </c>
      <c r="F57" s="682">
        <v>46204</v>
      </c>
      <c r="G57" s="666"/>
    </row>
    <row r="58" spans="1:7" x14ac:dyDescent="0.2">
      <c r="A58" s="678" t="s">
        <v>346</v>
      </c>
      <c r="B58" s="679" t="s">
        <v>325</v>
      </c>
      <c r="C58" s="680" t="s">
        <v>286</v>
      </c>
      <c r="D58" s="681">
        <v>600</v>
      </c>
      <c r="E58" s="682">
        <v>46171</v>
      </c>
      <c r="F58" s="682">
        <v>46209</v>
      </c>
      <c r="G58" s="666"/>
    </row>
    <row r="59" spans="1:7" x14ac:dyDescent="0.2">
      <c r="A59" s="678" t="s">
        <v>346</v>
      </c>
      <c r="B59" s="679" t="s">
        <v>325</v>
      </c>
      <c r="C59" s="680" t="s">
        <v>284</v>
      </c>
      <c r="D59" s="681">
        <v>1800</v>
      </c>
      <c r="E59" s="682">
        <v>46171</v>
      </c>
      <c r="F59" s="682">
        <v>46209</v>
      </c>
      <c r="G59" s="666"/>
    </row>
    <row r="60" spans="1:7" x14ac:dyDescent="0.2">
      <c r="A60" s="678" t="s">
        <v>347</v>
      </c>
      <c r="B60" s="679" t="s">
        <v>325</v>
      </c>
      <c r="C60" s="680" t="s">
        <v>283</v>
      </c>
      <c r="D60" s="681">
        <v>600</v>
      </c>
      <c r="E60" s="682">
        <v>46178</v>
      </c>
      <c r="F60" s="682">
        <v>46216</v>
      </c>
      <c r="G60" s="666"/>
    </row>
    <row r="61" spans="1:7" x14ac:dyDescent="0.2">
      <c r="A61" s="678" t="s">
        <v>347</v>
      </c>
      <c r="B61" s="679" t="s">
        <v>325</v>
      </c>
      <c r="C61" s="680" t="s">
        <v>290</v>
      </c>
      <c r="D61" s="681">
        <v>600</v>
      </c>
      <c r="E61" s="682">
        <v>46178</v>
      </c>
      <c r="F61" s="682">
        <v>46216</v>
      </c>
      <c r="G61" s="666"/>
    </row>
    <row r="62" spans="1:7" x14ac:dyDescent="0.2">
      <c r="A62" s="678" t="s">
        <v>348</v>
      </c>
      <c r="B62" s="679" t="s">
        <v>325</v>
      </c>
      <c r="C62" s="680" t="s">
        <v>277</v>
      </c>
      <c r="D62" s="681">
        <v>600</v>
      </c>
      <c r="E62" s="682">
        <v>46178</v>
      </c>
      <c r="F62" s="682">
        <v>46216</v>
      </c>
      <c r="G62" s="666"/>
    </row>
    <row r="63" spans="1:7" x14ac:dyDescent="0.2">
      <c r="A63" s="678" t="s">
        <v>349</v>
      </c>
      <c r="B63" s="679" t="s">
        <v>325</v>
      </c>
      <c r="C63" s="680" t="s">
        <v>289</v>
      </c>
      <c r="D63" s="681">
        <v>600</v>
      </c>
      <c r="E63" s="682">
        <v>46178</v>
      </c>
      <c r="F63" s="682">
        <v>46216</v>
      </c>
      <c r="G63" s="666"/>
    </row>
    <row r="64" spans="1:7" x14ac:dyDescent="0.2">
      <c r="A64" s="678" t="s">
        <v>349</v>
      </c>
      <c r="B64" s="679" t="s">
        <v>325</v>
      </c>
      <c r="C64" s="680" t="s">
        <v>288</v>
      </c>
      <c r="D64" s="681">
        <v>600</v>
      </c>
      <c r="E64" s="682">
        <v>46178</v>
      </c>
      <c r="F64" s="682">
        <v>46216</v>
      </c>
      <c r="G64" s="666"/>
    </row>
    <row r="65" spans="1:7" x14ac:dyDescent="0.2">
      <c r="A65" s="844" t="s">
        <v>350</v>
      </c>
      <c r="B65" s="679" t="s">
        <v>331</v>
      </c>
      <c r="C65" s="680" t="s">
        <v>295</v>
      </c>
      <c r="D65" s="681">
        <v>1560</v>
      </c>
      <c r="E65" s="682">
        <v>46188</v>
      </c>
      <c r="F65" s="682">
        <v>46226</v>
      </c>
      <c r="G65" s="666"/>
    </row>
    <row r="66" spans="1:7" x14ac:dyDescent="0.2">
      <c r="A66" s="678" t="s">
        <v>351</v>
      </c>
      <c r="B66" s="679" t="s">
        <v>8</v>
      </c>
      <c r="C66" s="680" t="s">
        <v>291</v>
      </c>
      <c r="D66" s="681">
        <v>2550</v>
      </c>
      <c r="E66" s="682">
        <v>46171</v>
      </c>
      <c r="F66" s="682">
        <v>46229</v>
      </c>
      <c r="G66" s="666"/>
    </row>
    <row r="67" spans="1:7" x14ac:dyDescent="0.2">
      <c r="A67" s="678" t="s">
        <v>352</v>
      </c>
      <c r="B67" s="679" t="s">
        <v>8</v>
      </c>
      <c r="C67" s="680" t="s">
        <v>292</v>
      </c>
      <c r="D67" s="681">
        <v>858</v>
      </c>
      <c r="E67" s="682">
        <v>46171</v>
      </c>
      <c r="F67" s="682">
        <v>46229</v>
      </c>
      <c r="G67" s="666"/>
    </row>
    <row r="68" spans="1:7" x14ac:dyDescent="0.2">
      <c r="A68" s="678" t="s">
        <v>353</v>
      </c>
      <c r="B68" s="679" t="s">
        <v>8</v>
      </c>
      <c r="C68" s="680" t="s">
        <v>293</v>
      </c>
      <c r="D68" s="681">
        <v>1008</v>
      </c>
      <c r="E68" s="682">
        <v>46171</v>
      </c>
      <c r="F68" s="682">
        <v>46229</v>
      </c>
      <c r="G68" s="666"/>
    </row>
    <row r="69" spans="1:7" x14ac:dyDescent="0.2">
      <c r="A69" s="678" t="s">
        <v>354</v>
      </c>
      <c r="B69" s="679" t="s">
        <v>8</v>
      </c>
      <c r="C69" s="680" t="s">
        <v>294</v>
      </c>
      <c r="D69" s="681">
        <v>684</v>
      </c>
      <c r="E69" s="682">
        <v>46171</v>
      </c>
      <c r="F69" s="682">
        <v>46229</v>
      </c>
      <c r="G69" s="666"/>
    </row>
    <row r="70" spans="1:7" x14ac:dyDescent="0.2">
      <c r="A70" s="678" t="s">
        <v>355</v>
      </c>
      <c r="B70" s="679" t="s">
        <v>29</v>
      </c>
      <c r="C70" s="680" t="s">
        <v>310</v>
      </c>
      <c r="D70" s="681">
        <v>2052</v>
      </c>
      <c r="E70" s="682">
        <v>46191</v>
      </c>
      <c r="F70" s="682">
        <v>46229</v>
      </c>
      <c r="G70" s="666"/>
    </row>
    <row r="71" spans="1:7" x14ac:dyDescent="0.2">
      <c r="A71" s="678" t="s">
        <v>356</v>
      </c>
      <c r="B71" s="679" t="s">
        <v>29</v>
      </c>
      <c r="C71" s="680" t="s">
        <v>310</v>
      </c>
      <c r="D71" s="681">
        <v>100</v>
      </c>
      <c r="E71" s="682">
        <v>46191</v>
      </c>
      <c r="F71" s="682">
        <v>46229</v>
      </c>
      <c r="G71" s="666"/>
    </row>
    <row r="72" spans="1:7" x14ac:dyDescent="0.2">
      <c r="A72" s="678" t="s">
        <v>357</v>
      </c>
      <c r="B72" s="679" t="s">
        <v>331</v>
      </c>
      <c r="C72" s="680" t="s">
        <v>296</v>
      </c>
      <c r="D72" s="681">
        <v>564</v>
      </c>
      <c r="E72" s="682">
        <v>46193</v>
      </c>
      <c r="F72" s="682">
        <v>46231</v>
      </c>
      <c r="G72" s="666"/>
    </row>
    <row r="73" spans="1:7" x14ac:dyDescent="0.2">
      <c r="A73" s="678" t="s">
        <v>358</v>
      </c>
      <c r="B73" s="679" t="s">
        <v>331</v>
      </c>
      <c r="C73" s="680" t="s">
        <v>296</v>
      </c>
      <c r="D73" s="681">
        <v>474</v>
      </c>
      <c r="E73" s="682">
        <v>46193</v>
      </c>
      <c r="F73" s="682">
        <v>46231</v>
      </c>
      <c r="G73" s="666"/>
    </row>
    <row r="74" spans="1:7" x14ac:dyDescent="0.2">
      <c r="A74" s="678" t="s">
        <v>359</v>
      </c>
      <c r="B74" s="679" t="s">
        <v>331</v>
      </c>
      <c r="C74" s="680" t="s">
        <v>295</v>
      </c>
      <c r="D74" s="681">
        <v>1548</v>
      </c>
      <c r="E74" s="682">
        <v>46205</v>
      </c>
      <c r="F74" s="682">
        <v>46243</v>
      </c>
      <c r="G74" s="666"/>
    </row>
    <row r="75" spans="1:7" x14ac:dyDescent="0.2">
      <c r="A75" s="678" t="s">
        <v>360</v>
      </c>
      <c r="B75" s="679" t="s">
        <v>325</v>
      </c>
      <c r="C75" s="680" t="s">
        <v>290</v>
      </c>
      <c r="D75" s="681">
        <v>996</v>
      </c>
      <c r="E75" s="682">
        <v>46209</v>
      </c>
      <c r="F75" s="682">
        <v>46247</v>
      </c>
      <c r="G75" s="666"/>
    </row>
    <row r="76" spans="1:7" x14ac:dyDescent="0.2">
      <c r="A76" s="678" t="s">
        <v>360</v>
      </c>
      <c r="B76" s="679" t="s">
        <v>325</v>
      </c>
      <c r="C76" s="680" t="s">
        <v>361</v>
      </c>
      <c r="D76" s="681">
        <v>600</v>
      </c>
      <c r="E76" s="682">
        <v>46209</v>
      </c>
      <c r="F76" s="682">
        <v>46247</v>
      </c>
      <c r="G76" s="666"/>
    </row>
    <row r="77" spans="1:7" x14ac:dyDescent="0.2">
      <c r="A77" s="678" t="s">
        <v>362</v>
      </c>
      <c r="B77" s="679" t="s">
        <v>325</v>
      </c>
      <c r="C77" s="680" t="s">
        <v>363</v>
      </c>
      <c r="D77" s="681">
        <v>600</v>
      </c>
      <c r="E77" s="682">
        <v>46209</v>
      </c>
      <c r="F77" s="682">
        <v>46247</v>
      </c>
      <c r="G77" s="666"/>
    </row>
    <row r="78" spans="1:7" x14ac:dyDescent="0.2">
      <c r="A78" s="678" t="s">
        <v>364</v>
      </c>
      <c r="B78" s="679" t="s">
        <v>325</v>
      </c>
      <c r="C78" s="680" t="s">
        <v>279</v>
      </c>
      <c r="D78" s="681">
        <v>600</v>
      </c>
      <c r="E78" s="682">
        <v>46209</v>
      </c>
      <c r="F78" s="682">
        <v>46247</v>
      </c>
      <c r="G78" s="666"/>
    </row>
    <row r="79" spans="1:7" x14ac:dyDescent="0.2">
      <c r="A79" s="678" t="s">
        <v>365</v>
      </c>
      <c r="B79" s="679" t="s">
        <v>325</v>
      </c>
      <c r="C79" s="680" t="s">
        <v>284</v>
      </c>
      <c r="D79" s="681">
        <v>1662</v>
      </c>
      <c r="E79" s="682">
        <v>46209</v>
      </c>
      <c r="F79" s="682">
        <v>46247</v>
      </c>
      <c r="G79" s="666"/>
    </row>
    <row r="80" spans="1:7" x14ac:dyDescent="0.2">
      <c r="A80" s="678" t="s">
        <v>365</v>
      </c>
      <c r="B80" s="679" t="s">
        <v>325</v>
      </c>
      <c r="C80" s="680" t="s">
        <v>286</v>
      </c>
      <c r="D80" s="681">
        <v>1458</v>
      </c>
      <c r="E80" s="682">
        <v>46209</v>
      </c>
      <c r="F80" s="682">
        <v>46247</v>
      </c>
      <c r="G80" s="666"/>
    </row>
    <row r="81" spans="1:7" x14ac:dyDescent="0.2">
      <c r="A81" s="678" t="s">
        <v>366</v>
      </c>
      <c r="B81" s="679" t="s">
        <v>325</v>
      </c>
      <c r="C81" s="680" t="s">
        <v>367</v>
      </c>
      <c r="D81" s="681">
        <v>600</v>
      </c>
      <c r="E81" s="682">
        <v>46216</v>
      </c>
      <c r="F81" s="682">
        <v>46254</v>
      </c>
      <c r="G81" s="666"/>
    </row>
    <row r="82" spans="1:7" x14ac:dyDescent="0.2">
      <c r="A82" s="678" t="s">
        <v>368</v>
      </c>
      <c r="B82" s="679" t="s">
        <v>331</v>
      </c>
      <c r="C82" s="680" t="s">
        <v>295</v>
      </c>
      <c r="D82" s="681">
        <v>1110</v>
      </c>
      <c r="E82" s="682">
        <v>46234</v>
      </c>
      <c r="F82" s="682">
        <v>46272</v>
      </c>
      <c r="G82" s="666"/>
    </row>
    <row r="83" spans="1:7" x14ac:dyDescent="0.2">
      <c r="A83" s="678" t="s">
        <v>369</v>
      </c>
      <c r="B83" s="679" t="s">
        <v>29</v>
      </c>
      <c r="C83" s="680" t="s">
        <v>310</v>
      </c>
      <c r="D83" s="681">
        <v>792</v>
      </c>
      <c r="E83" s="682">
        <v>46234</v>
      </c>
      <c r="F83" s="682">
        <v>46272</v>
      </c>
      <c r="G83" s="666"/>
    </row>
    <row r="84" spans="1:7" x14ac:dyDescent="0.2">
      <c r="A84" s="678" t="s">
        <v>370</v>
      </c>
      <c r="B84" s="679" t="s">
        <v>72</v>
      </c>
      <c r="C84" s="680" t="s">
        <v>315</v>
      </c>
      <c r="D84" s="681">
        <v>600</v>
      </c>
      <c r="E84" s="682">
        <v>46254</v>
      </c>
      <c r="F84" s="682">
        <v>46292</v>
      </c>
      <c r="G84" s="666"/>
    </row>
    <row r="85" spans="1:7" x14ac:dyDescent="0.2">
      <c r="A85" s="678" t="s">
        <v>371</v>
      </c>
      <c r="B85" s="679" t="s">
        <v>72</v>
      </c>
      <c r="C85" s="680" t="s">
        <v>314</v>
      </c>
      <c r="D85" s="681">
        <v>600</v>
      </c>
      <c r="E85" s="682">
        <v>46275</v>
      </c>
      <c r="F85" s="682">
        <v>46313</v>
      </c>
      <c r="G85" s="666"/>
    </row>
    <row r="86" spans="1:7" x14ac:dyDescent="0.2">
      <c r="A86" s="678" t="s">
        <v>372</v>
      </c>
      <c r="B86" s="679" t="s">
        <v>29</v>
      </c>
      <c r="C86" s="680" t="s">
        <v>310</v>
      </c>
      <c r="D86" s="681">
        <v>601</v>
      </c>
      <c r="E86" s="682">
        <v>46275</v>
      </c>
      <c r="F86" s="682">
        <v>46313</v>
      </c>
      <c r="G86" s="666"/>
    </row>
    <row r="87" spans="1:7" x14ac:dyDescent="0.2">
      <c r="A87" s="678" t="s">
        <v>373</v>
      </c>
      <c r="B87" s="679" t="s">
        <v>29</v>
      </c>
      <c r="C87" s="680" t="s">
        <v>310</v>
      </c>
      <c r="D87" s="681">
        <v>602</v>
      </c>
      <c r="E87" s="682">
        <v>46275</v>
      </c>
      <c r="F87" s="682">
        <v>46313</v>
      </c>
      <c r="G87" s="666"/>
    </row>
    <row r="88" spans="1:7" x14ac:dyDescent="0.2">
      <c r="A88" s="678" t="s">
        <v>374</v>
      </c>
      <c r="B88" s="679" t="s">
        <v>331</v>
      </c>
      <c r="C88" s="680" t="s">
        <v>295</v>
      </c>
      <c r="D88" s="681">
        <v>2964</v>
      </c>
      <c r="E88" s="682">
        <v>46295</v>
      </c>
      <c r="F88" s="682">
        <v>46333</v>
      </c>
      <c r="G88" s="666"/>
    </row>
    <row r="89" spans="1:7" x14ac:dyDescent="0.2">
      <c r="A89" s="678" t="s">
        <v>375</v>
      </c>
      <c r="B89" s="679" t="s">
        <v>331</v>
      </c>
      <c r="C89" s="680" t="s">
        <v>295</v>
      </c>
      <c r="D89" s="681">
        <v>2640</v>
      </c>
      <c r="E89" s="682">
        <v>46310</v>
      </c>
      <c r="F89" s="682">
        <v>46348</v>
      </c>
      <c r="G89" s="666"/>
    </row>
    <row r="90" spans="1:7" x14ac:dyDescent="0.2">
      <c r="A90" s="661"/>
      <c r="B90" s="662"/>
      <c r="C90" s="663"/>
      <c r="D90" s="664"/>
      <c r="E90" s="665"/>
      <c r="F90" s="665"/>
      <c r="G90" s="666"/>
    </row>
    <row r="91" spans="1:7" x14ac:dyDescent="0.2">
      <c r="A91" s="661"/>
      <c r="B91" s="662"/>
      <c r="C91" s="663"/>
      <c r="D91" s="664"/>
      <c r="E91" s="665"/>
      <c r="F91" s="665"/>
      <c r="G91" s="6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72873-CBCB-F44A-8503-B3DAD1FD39BA}">
  <sheetPr codeName="Sheet2">
    <pageSetUpPr fitToPage="1"/>
  </sheetPr>
  <dimension ref="A1:BZ182"/>
  <sheetViews>
    <sheetView tabSelected="1" zoomScale="110" zoomScaleNormal="110" workbookViewId="0">
      <pane xSplit="11" ySplit="5" topLeftCell="L6" activePane="bottomRight" state="frozen"/>
      <selection pane="topRight" activeCell="L1" sqref="L1"/>
      <selection pane="bottomLeft" activeCell="A6" sqref="A6"/>
      <selection pane="bottomRight" activeCell="I22" sqref="I22"/>
    </sheetView>
  </sheetViews>
  <sheetFormatPr baseColWidth="10" defaultColWidth="8.83203125" defaultRowHeight="15" x14ac:dyDescent="0.2"/>
  <cols>
    <col min="1" max="1" width="17.1640625" style="79" customWidth="1"/>
    <col min="2" max="2" width="12.5" style="15" customWidth="1"/>
    <col min="3" max="3" width="19.1640625" style="15" customWidth="1"/>
    <col min="4" max="4" width="10.33203125" style="628" customWidth="1"/>
    <col min="5" max="5" width="10.83203125" style="628" bestFit="1" customWidth="1"/>
    <col min="6" max="6" width="11.5" style="15" customWidth="1"/>
    <col min="7" max="7" width="10.83203125" style="15" customWidth="1"/>
    <col min="8" max="8" width="7" style="15" customWidth="1"/>
    <col min="9" max="9" width="6.6640625" style="15" customWidth="1"/>
    <col min="10" max="10" width="7.5" style="15" customWidth="1"/>
    <col min="11" max="11" width="9.33203125" style="15" customWidth="1"/>
    <col min="12" max="20" width="8.83203125" customWidth="1"/>
    <col min="21" max="21" width="8.83203125" style="137" customWidth="1"/>
    <col min="22" max="31" width="8.83203125" customWidth="1"/>
    <col min="32" max="32" width="8.83203125" style="136" customWidth="1"/>
    <col min="33" max="76" width="8.83203125" customWidth="1"/>
    <col min="78" max="78" width="10.1640625" bestFit="1" customWidth="1"/>
  </cols>
  <sheetData>
    <row r="1" spans="1:78" ht="16" thickBot="1" x14ac:dyDescent="0.25">
      <c r="K1" s="54" t="s">
        <v>83</v>
      </c>
      <c r="L1" s="52">
        <v>400</v>
      </c>
      <c r="M1" s="52">
        <v>400</v>
      </c>
      <c r="N1" s="52">
        <v>400</v>
      </c>
      <c r="O1" s="52">
        <v>500</v>
      </c>
      <c r="P1" s="52">
        <v>550</v>
      </c>
      <c r="Q1" s="52">
        <v>550</v>
      </c>
      <c r="R1" s="52">
        <v>500</v>
      </c>
      <c r="S1" s="52">
        <v>550</v>
      </c>
      <c r="T1" s="52">
        <v>550</v>
      </c>
      <c r="U1" s="52">
        <v>550</v>
      </c>
      <c r="V1" s="52">
        <v>550</v>
      </c>
      <c r="W1" s="52">
        <v>350</v>
      </c>
      <c r="X1" s="52">
        <v>350</v>
      </c>
      <c r="Y1" s="52">
        <v>650</v>
      </c>
      <c r="Z1" s="52">
        <v>625</v>
      </c>
      <c r="AA1" s="52">
        <v>350</v>
      </c>
      <c r="AB1" s="52">
        <v>800</v>
      </c>
      <c r="AC1" s="52">
        <v>325</v>
      </c>
      <c r="AD1" s="52">
        <v>750</v>
      </c>
      <c r="AE1" s="52">
        <v>725</v>
      </c>
      <c r="AF1" s="52">
        <v>600</v>
      </c>
      <c r="AG1" s="52">
        <v>475</v>
      </c>
      <c r="AH1" s="52">
        <v>375</v>
      </c>
      <c r="AI1" s="52">
        <v>375</v>
      </c>
      <c r="AJ1" s="52">
        <v>600</v>
      </c>
      <c r="AK1" s="52">
        <v>700</v>
      </c>
      <c r="AL1" s="52">
        <v>400</v>
      </c>
      <c r="AM1" s="52">
        <v>750</v>
      </c>
      <c r="AN1" s="52">
        <v>675</v>
      </c>
      <c r="AO1" s="52">
        <v>600</v>
      </c>
      <c r="AP1" s="52">
        <v>450</v>
      </c>
      <c r="AQ1" s="52">
        <v>650</v>
      </c>
      <c r="AR1" s="52">
        <v>750</v>
      </c>
      <c r="AS1" s="52">
        <v>450</v>
      </c>
      <c r="AT1" s="52">
        <v>400</v>
      </c>
      <c r="AU1" s="52">
        <v>400</v>
      </c>
      <c r="AV1" s="52">
        <v>450</v>
      </c>
      <c r="AW1" s="52">
        <v>750</v>
      </c>
      <c r="AX1" s="52">
        <v>675</v>
      </c>
      <c r="AY1" s="52">
        <v>500</v>
      </c>
      <c r="AZ1" s="515">
        <v>900</v>
      </c>
      <c r="BA1" s="515">
        <v>750</v>
      </c>
      <c r="BB1" s="515">
        <v>600</v>
      </c>
      <c r="BC1" s="515">
        <v>800</v>
      </c>
      <c r="BD1" s="515">
        <v>1000</v>
      </c>
      <c r="BE1" s="515">
        <v>800</v>
      </c>
      <c r="BF1" s="515">
        <v>500</v>
      </c>
      <c r="BG1" s="515">
        <v>1000</v>
      </c>
      <c r="BH1" s="515">
        <v>1000</v>
      </c>
      <c r="BI1" s="515">
        <v>800</v>
      </c>
      <c r="BJ1" s="515">
        <v>650</v>
      </c>
      <c r="BK1" s="515">
        <v>750</v>
      </c>
      <c r="BL1" s="515">
        <v>1000</v>
      </c>
      <c r="BM1" s="515">
        <v>1000</v>
      </c>
      <c r="BN1" s="515">
        <v>600</v>
      </c>
      <c r="BO1" s="515">
        <v>700</v>
      </c>
      <c r="BP1" s="515">
        <v>1000</v>
      </c>
      <c r="BQ1" s="515">
        <v>700</v>
      </c>
      <c r="BR1" s="515">
        <v>850</v>
      </c>
      <c r="BS1" s="515">
        <v>850</v>
      </c>
      <c r="BT1" s="515">
        <v>850</v>
      </c>
      <c r="BU1" s="515">
        <v>700</v>
      </c>
      <c r="BV1" s="515">
        <v>700</v>
      </c>
      <c r="BW1" s="515">
        <v>850</v>
      </c>
      <c r="BX1" s="515">
        <v>850</v>
      </c>
    </row>
    <row r="2" spans="1:78" ht="16" thickBot="1" x14ac:dyDescent="0.25">
      <c r="A2" s="951"/>
      <c r="B2" s="952"/>
      <c r="C2" s="952"/>
      <c r="D2" s="952"/>
      <c r="E2" s="952"/>
      <c r="F2" s="980"/>
      <c r="G2" s="952"/>
      <c r="H2" s="954"/>
      <c r="I2" s="955" t="s">
        <v>248</v>
      </c>
      <c r="J2" s="795"/>
      <c r="K2" s="939">
        <f>SUM(Q2:BP2)</f>
        <v>163857</v>
      </c>
      <c r="L2" s="201">
        <f t="shared" ref="L2:AQ2" si="0">SUM(L6:L152)</f>
        <v>2176</v>
      </c>
      <c r="M2" s="201">
        <f t="shared" si="0"/>
        <v>1500</v>
      </c>
      <c r="N2" s="201">
        <f t="shared" si="0"/>
        <v>1814</v>
      </c>
      <c r="O2" s="201">
        <f t="shared" si="0"/>
        <v>1450</v>
      </c>
      <c r="P2" s="201">
        <f t="shared" si="0"/>
        <v>1050</v>
      </c>
      <c r="Q2" s="201">
        <f t="shared" si="0"/>
        <v>3331</v>
      </c>
      <c r="R2" s="201">
        <f t="shared" si="0"/>
        <v>1963</v>
      </c>
      <c r="S2" s="201">
        <f t="shared" si="0"/>
        <v>2537</v>
      </c>
      <c r="T2" s="201">
        <f t="shared" si="0"/>
        <v>2750</v>
      </c>
      <c r="U2" s="201">
        <f t="shared" si="0"/>
        <v>2750</v>
      </c>
      <c r="V2" s="201">
        <f t="shared" si="0"/>
        <v>3125</v>
      </c>
      <c r="W2" s="201">
        <f t="shared" si="0"/>
        <v>2186</v>
      </c>
      <c r="X2" s="201">
        <f t="shared" si="0"/>
        <v>1616</v>
      </c>
      <c r="Y2" s="201">
        <f t="shared" si="0"/>
        <v>3369</v>
      </c>
      <c r="Z2" s="201">
        <f t="shared" si="0"/>
        <v>2955</v>
      </c>
      <c r="AA2" s="201">
        <f t="shared" si="0"/>
        <v>1522</v>
      </c>
      <c r="AB2" s="201">
        <f t="shared" si="0"/>
        <v>3544</v>
      </c>
      <c r="AC2" s="201">
        <f t="shared" si="0"/>
        <v>1100</v>
      </c>
      <c r="AD2" s="201">
        <f t="shared" si="0"/>
        <v>2872</v>
      </c>
      <c r="AE2" s="201">
        <f t="shared" si="0"/>
        <v>2716</v>
      </c>
      <c r="AF2" s="201">
        <f t="shared" si="0"/>
        <v>1957</v>
      </c>
      <c r="AG2" s="201">
        <f t="shared" si="0"/>
        <v>2388</v>
      </c>
      <c r="AH2" s="201">
        <f t="shared" si="0"/>
        <v>2250</v>
      </c>
      <c r="AI2" s="201">
        <f t="shared" si="0"/>
        <v>2242</v>
      </c>
      <c r="AJ2" s="201">
        <f t="shared" si="0"/>
        <v>2980</v>
      </c>
      <c r="AK2" s="201">
        <f t="shared" si="0"/>
        <v>2406</v>
      </c>
      <c r="AL2" s="201">
        <f t="shared" si="0"/>
        <v>1000</v>
      </c>
      <c r="AM2" s="201">
        <f t="shared" si="0"/>
        <v>2972</v>
      </c>
      <c r="AN2" s="201">
        <f t="shared" si="0"/>
        <v>3600</v>
      </c>
      <c r="AO2" s="201">
        <f t="shared" si="0"/>
        <v>3018</v>
      </c>
      <c r="AP2" s="201">
        <f t="shared" si="0"/>
        <v>2286</v>
      </c>
      <c r="AQ2" s="201">
        <f t="shared" si="0"/>
        <v>3250</v>
      </c>
      <c r="AR2" s="201">
        <f t="shared" ref="AR2:BX2" si="1">SUM(AR6:AR152)</f>
        <v>3800</v>
      </c>
      <c r="AS2" s="201">
        <f t="shared" si="1"/>
        <v>2202</v>
      </c>
      <c r="AT2" s="201">
        <f t="shared" si="1"/>
        <v>2760</v>
      </c>
      <c r="AU2" s="201">
        <f t="shared" si="1"/>
        <v>3990</v>
      </c>
      <c r="AV2" s="201">
        <f t="shared" si="1"/>
        <v>3298</v>
      </c>
      <c r="AW2" s="201">
        <f t="shared" si="1"/>
        <v>3650</v>
      </c>
      <c r="AX2" s="201">
        <f t="shared" si="1"/>
        <v>3520</v>
      </c>
      <c r="AY2" s="201">
        <f t="shared" si="1"/>
        <v>2500</v>
      </c>
      <c r="AZ2" s="201">
        <f t="shared" si="1"/>
        <v>4547</v>
      </c>
      <c r="BA2" s="201">
        <f t="shared" si="1"/>
        <v>3948</v>
      </c>
      <c r="BB2" s="201">
        <f t="shared" si="1"/>
        <v>3137</v>
      </c>
      <c r="BC2" s="201">
        <f t="shared" si="1"/>
        <v>4100</v>
      </c>
      <c r="BD2" s="201">
        <f t="shared" si="1"/>
        <v>5003</v>
      </c>
      <c r="BE2" s="201">
        <f t="shared" si="1"/>
        <v>5559</v>
      </c>
      <c r="BF2" s="201">
        <f t="shared" si="1"/>
        <v>4203</v>
      </c>
      <c r="BG2" s="201">
        <f t="shared" si="1"/>
        <v>5929</v>
      </c>
      <c r="BH2" s="201">
        <f t="shared" si="1"/>
        <v>4986</v>
      </c>
      <c r="BI2" s="201">
        <f t="shared" si="1"/>
        <v>4029</v>
      </c>
      <c r="BJ2" s="201">
        <f t="shared" si="1"/>
        <v>3414</v>
      </c>
      <c r="BK2" s="201">
        <f t="shared" si="1"/>
        <v>3000</v>
      </c>
      <c r="BL2" s="201">
        <f t="shared" si="1"/>
        <v>4884</v>
      </c>
      <c r="BM2" s="201">
        <f t="shared" si="1"/>
        <v>4663</v>
      </c>
      <c r="BN2" s="201">
        <f t="shared" si="1"/>
        <v>3000</v>
      </c>
      <c r="BO2" s="201">
        <f t="shared" si="1"/>
        <v>2800</v>
      </c>
      <c r="BP2" s="201">
        <f t="shared" si="1"/>
        <v>2250</v>
      </c>
      <c r="BQ2" s="201">
        <f t="shared" si="1"/>
        <v>0</v>
      </c>
      <c r="BR2" s="201">
        <f t="shared" si="1"/>
        <v>0</v>
      </c>
      <c r="BS2" s="201">
        <f t="shared" si="1"/>
        <v>0</v>
      </c>
      <c r="BT2" s="201">
        <f t="shared" si="1"/>
        <v>0</v>
      </c>
      <c r="BU2" s="201">
        <f t="shared" si="1"/>
        <v>0</v>
      </c>
      <c r="BV2" s="201">
        <f t="shared" si="1"/>
        <v>0</v>
      </c>
      <c r="BW2" s="201">
        <f t="shared" si="1"/>
        <v>0</v>
      </c>
      <c r="BX2" s="201">
        <f t="shared" si="1"/>
        <v>0</v>
      </c>
    </row>
    <row r="3" spans="1:78" s="134" customFormat="1" ht="16" thickBot="1" x14ac:dyDescent="0.25">
      <c r="A3" s="951"/>
      <c r="B3" s="952"/>
      <c r="C3" s="952"/>
      <c r="D3" s="952"/>
      <c r="E3" s="952"/>
      <c r="F3" s="952"/>
      <c r="G3" s="952"/>
      <c r="H3" s="953"/>
      <c r="I3" s="955" t="s">
        <v>250</v>
      </c>
      <c r="J3" s="795"/>
      <c r="K3" s="939">
        <f>SUM(Q3:BP3)</f>
        <v>160325</v>
      </c>
      <c r="L3" s="720">
        <f>L1*5</f>
        <v>2000</v>
      </c>
      <c r="M3" s="514">
        <f>M1*5</f>
        <v>2000</v>
      </c>
      <c r="N3" s="514">
        <f>N1*5</f>
        <v>2000</v>
      </c>
      <c r="O3" s="514">
        <f>O1*3</f>
        <v>1500</v>
      </c>
      <c r="P3" s="720">
        <f>P1*3</f>
        <v>1650</v>
      </c>
      <c r="Q3" s="514">
        <f>Q1*5</f>
        <v>2750</v>
      </c>
      <c r="R3" s="514">
        <f>R1*5</f>
        <v>2500</v>
      </c>
      <c r="S3" s="514">
        <f>S1*3.5</f>
        <v>1925</v>
      </c>
      <c r="T3" s="514">
        <f t="shared" ref="T3:AB3" si="2">T1*5</f>
        <v>2750</v>
      </c>
      <c r="U3" s="720">
        <f t="shared" si="2"/>
        <v>2750</v>
      </c>
      <c r="V3" s="514">
        <f t="shared" si="2"/>
        <v>2750</v>
      </c>
      <c r="W3" s="514">
        <f t="shared" si="2"/>
        <v>1750</v>
      </c>
      <c r="X3" s="514">
        <f t="shared" si="2"/>
        <v>1750</v>
      </c>
      <c r="Y3" s="720">
        <f t="shared" si="2"/>
        <v>3250</v>
      </c>
      <c r="Z3" s="514">
        <f t="shared" si="2"/>
        <v>3125</v>
      </c>
      <c r="AA3" s="514">
        <f t="shared" si="2"/>
        <v>1750</v>
      </c>
      <c r="AB3" s="514">
        <f t="shared" si="2"/>
        <v>4000</v>
      </c>
      <c r="AC3" s="720">
        <f>AC1*4</f>
        <v>1300</v>
      </c>
      <c r="AD3" s="514">
        <f>AD1*4</f>
        <v>3000</v>
      </c>
      <c r="AE3" s="514">
        <f>AE1*4</f>
        <v>2900</v>
      </c>
      <c r="AF3" s="718">
        <f>AF1*4</f>
        <v>2400</v>
      </c>
      <c r="AG3" s="720">
        <f>AG1*5</f>
        <v>2375</v>
      </c>
      <c r="AH3" s="514">
        <f>AH1*6</f>
        <v>2250</v>
      </c>
      <c r="AI3" s="514">
        <f>AI1*6</f>
        <v>2250</v>
      </c>
      <c r="AJ3" s="514">
        <f t="shared" ref="AJ3:BJ3" si="3">AJ1*5</f>
        <v>3000</v>
      </c>
      <c r="AK3" s="514">
        <f t="shared" si="3"/>
        <v>3500</v>
      </c>
      <c r="AL3" s="720">
        <f t="shared" si="3"/>
        <v>2000</v>
      </c>
      <c r="AM3" s="514">
        <f t="shared" si="3"/>
        <v>3750</v>
      </c>
      <c r="AN3" s="514">
        <f t="shared" si="3"/>
        <v>3375</v>
      </c>
      <c r="AO3" s="514">
        <f t="shared" si="3"/>
        <v>3000</v>
      </c>
      <c r="AP3" s="720">
        <f t="shared" si="3"/>
        <v>2250</v>
      </c>
      <c r="AQ3" s="514">
        <f t="shared" si="3"/>
        <v>3250</v>
      </c>
      <c r="AR3" s="514">
        <f t="shared" si="3"/>
        <v>3750</v>
      </c>
      <c r="AS3" s="514">
        <f t="shared" si="3"/>
        <v>2250</v>
      </c>
      <c r="AT3" s="514">
        <f t="shared" si="3"/>
        <v>2000</v>
      </c>
      <c r="AU3" s="720">
        <f t="shared" si="3"/>
        <v>2000</v>
      </c>
      <c r="AV3" s="514">
        <f t="shared" si="3"/>
        <v>2250</v>
      </c>
      <c r="AW3" s="514">
        <f t="shared" si="3"/>
        <v>3750</v>
      </c>
      <c r="AX3" s="514">
        <f t="shared" si="3"/>
        <v>3375</v>
      </c>
      <c r="AY3" s="720">
        <f t="shared" si="3"/>
        <v>2500</v>
      </c>
      <c r="AZ3" s="514">
        <f t="shared" si="3"/>
        <v>4500</v>
      </c>
      <c r="BA3" s="514">
        <f t="shared" si="3"/>
        <v>3750</v>
      </c>
      <c r="BB3" s="514">
        <f t="shared" si="3"/>
        <v>3000</v>
      </c>
      <c r="BC3" s="720">
        <f t="shared" si="3"/>
        <v>4000</v>
      </c>
      <c r="BD3" s="514">
        <f t="shared" si="3"/>
        <v>5000</v>
      </c>
      <c r="BE3" s="514">
        <f t="shared" si="3"/>
        <v>4000</v>
      </c>
      <c r="BF3" s="514">
        <f t="shared" si="3"/>
        <v>2500</v>
      </c>
      <c r="BG3" s="514">
        <f t="shared" si="3"/>
        <v>5000</v>
      </c>
      <c r="BH3" s="720">
        <f t="shared" si="3"/>
        <v>5000</v>
      </c>
      <c r="BI3" s="514">
        <f t="shared" si="3"/>
        <v>4000</v>
      </c>
      <c r="BJ3" s="514">
        <f t="shared" si="3"/>
        <v>3250</v>
      </c>
      <c r="BK3" s="514">
        <f>BK1*4</f>
        <v>3000</v>
      </c>
      <c r="BL3" s="720">
        <f>BL1*5</f>
        <v>5000</v>
      </c>
      <c r="BM3" s="514">
        <f>BM1*5</f>
        <v>5000</v>
      </c>
      <c r="BN3" s="514">
        <f>BN1*5</f>
        <v>3000</v>
      </c>
      <c r="BO3" s="514">
        <f>BO1*4</f>
        <v>2800</v>
      </c>
      <c r="BP3" s="514">
        <f>BP1*4</f>
        <v>4000</v>
      </c>
      <c r="BQ3" s="720">
        <f t="shared" ref="BQ3:BX3" si="4">BQ1*5</f>
        <v>3500</v>
      </c>
      <c r="BR3" s="514">
        <f t="shared" si="4"/>
        <v>4250</v>
      </c>
      <c r="BS3" s="514">
        <f t="shared" si="4"/>
        <v>4250</v>
      </c>
      <c r="BT3" s="514">
        <f t="shared" si="4"/>
        <v>4250</v>
      </c>
      <c r="BU3" s="720">
        <f t="shared" si="4"/>
        <v>3500</v>
      </c>
      <c r="BV3" s="514">
        <f t="shared" si="4"/>
        <v>3500</v>
      </c>
      <c r="BW3" s="514">
        <f t="shared" si="4"/>
        <v>4250</v>
      </c>
      <c r="BX3" s="514">
        <f t="shared" si="4"/>
        <v>4250</v>
      </c>
    </row>
    <row r="4" spans="1:78" ht="17" customHeight="1" thickBot="1" x14ac:dyDescent="0.25">
      <c r="A4" s="794"/>
      <c r="B4" s="668" t="s">
        <v>82</v>
      </c>
      <c r="C4" s="669"/>
      <c r="D4" s="669"/>
      <c r="E4" s="669"/>
      <c r="F4" s="670"/>
      <c r="G4" s="667"/>
      <c r="H4" s="795"/>
      <c r="I4" s="955" t="s">
        <v>251</v>
      </c>
      <c r="J4" s="795"/>
      <c r="K4" s="940">
        <f>+K2-K3</f>
        <v>3532</v>
      </c>
      <c r="L4" s="720">
        <f t="shared" ref="L4:AQ4" si="5">L2-L3</f>
        <v>176</v>
      </c>
      <c r="M4" s="514">
        <f t="shared" si="5"/>
        <v>-500</v>
      </c>
      <c r="N4" s="514">
        <f t="shared" si="5"/>
        <v>-186</v>
      </c>
      <c r="O4" s="514">
        <f t="shared" si="5"/>
        <v>-50</v>
      </c>
      <c r="P4" s="720">
        <f t="shared" si="5"/>
        <v>-600</v>
      </c>
      <c r="Q4" s="514">
        <f t="shared" si="5"/>
        <v>581</v>
      </c>
      <c r="R4" s="514">
        <f t="shared" si="5"/>
        <v>-537</v>
      </c>
      <c r="S4" s="514">
        <f t="shared" si="5"/>
        <v>612</v>
      </c>
      <c r="T4" s="514">
        <f t="shared" si="5"/>
        <v>0</v>
      </c>
      <c r="U4" s="720">
        <f t="shared" si="5"/>
        <v>0</v>
      </c>
      <c r="V4" s="514">
        <f t="shared" si="5"/>
        <v>375</v>
      </c>
      <c r="W4" s="514">
        <f t="shared" si="5"/>
        <v>436</v>
      </c>
      <c r="X4" s="514">
        <f t="shared" si="5"/>
        <v>-134</v>
      </c>
      <c r="Y4" s="720">
        <f t="shared" si="5"/>
        <v>119</v>
      </c>
      <c r="Z4" s="514">
        <f t="shared" si="5"/>
        <v>-170</v>
      </c>
      <c r="AA4" s="514">
        <f t="shared" si="5"/>
        <v>-228</v>
      </c>
      <c r="AB4" s="514">
        <f t="shared" si="5"/>
        <v>-456</v>
      </c>
      <c r="AC4" s="720">
        <f t="shared" si="5"/>
        <v>-200</v>
      </c>
      <c r="AD4" s="514">
        <f t="shared" si="5"/>
        <v>-128</v>
      </c>
      <c r="AE4" s="514">
        <f t="shared" si="5"/>
        <v>-184</v>
      </c>
      <c r="AF4" s="718">
        <f t="shared" si="5"/>
        <v>-443</v>
      </c>
      <c r="AG4" s="720">
        <f t="shared" si="5"/>
        <v>13</v>
      </c>
      <c r="AH4" s="514">
        <f t="shared" si="5"/>
        <v>0</v>
      </c>
      <c r="AI4" s="514">
        <f t="shared" si="5"/>
        <v>-8</v>
      </c>
      <c r="AJ4" s="514">
        <f t="shared" si="5"/>
        <v>-20</v>
      </c>
      <c r="AK4" s="514">
        <f t="shared" si="5"/>
        <v>-1094</v>
      </c>
      <c r="AL4" s="720">
        <f t="shared" si="5"/>
        <v>-1000</v>
      </c>
      <c r="AM4" s="514">
        <f t="shared" si="5"/>
        <v>-778</v>
      </c>
      <c r="AN4" s="514">
        <f t="shared" si="5"/>
        <v>225</v>
      </c>
      <c r="AO4" s="514">
        <f t="shared" si="5"/>
        <v>18</v>
      </c>
      <c r="AP4" s="720">
        <f t="shared" si="5"/>
        <v>36</v>
      </c>
      <c r="AQ4" s="514">
        <f t="shared" si="5"/>
        <v>0</v>
      </c>
      <c r="AR4" s="514">
        <f t="shared" ref="AR4:BW4" si="6">AR2-AR3</f>
        <v>50</v>
      </c>
      <c r="AS4" s="514">
        <f t="shared" si="6"/>
        <v>-48</v>
      </c>
      <c r="AT4" s="514">
        <f t="shared" si="6"/>
        <v>760</v>
      </c>
      <c r="AU4" s="720">
        <f t="shared" si="6"/>
        <v>1990</v>
      </c>
      <c r="AV4" s="514">
        <f t="shared" si="6"/>
        <v>1048</v>
      </c>
      <c r="AW4" s="514">
        <f t="shared" si="6"/>
        <v>-100</v>
      </c>
      <c r="AX4" s="514">
        <f t="shared" si="6"/>
        <v>145</v>
      </c>
      <c r="AY4" s="720">
        <f t="shared" si="6"/>
        <v>0</v>
      </c>
      <c r="AZ4" s="514">
        <f t="shared" si="6"/>
        <v>47</v>
      </c>
      <c r="BA4" s="514">
        <f t="shared" si="6"/>
        <v>198</v>
      </c>
      <c r="BB4" s="514">
        <f t="shared" si="6"/>
        <v>137</v>
      </c>
      <c r="BC4" s="720">
        <f t="shared" si="6"/>
        <v>100</v>
      </c>
      <c r="BD4" s="514">
        <f t="shared" si="6"/>
        <v>3</v>
      </c>
      <c r="BE4" s="514">
        <f t="shared" si="6"/>
        <v>1559</v>
      </c>
      <c r="BF4" s="514">
        <f t="shared" si="6"/>
        <v>1703</v>
      </c>
      <c r="BG4" s="514">
        <f t="shared" si="6"/>
        <v>929</v>
      </c>
      <c r="BH4" s="720">
        <f t="shared" si="6"/>
        <v>-14</v>
      </c>
      <c r="BI4" s="514">
        <f t="shared" si="6"/>
        <v>29</v>
      </c>
      <c r="BJ4" s="514">
        <f t="shared" si="6"/>
        <v>164</v>
      </c>
      <c r="BK4" s="514">
        <f t="shared" si="6"/>
        <v>0</v>
      </c>
      <c r="BL4" s="720">
        <f t="shared" si="6"/>
        <v>-116</v>
      </c>
      <c r="BM4" s="514">
        <f t="shared" si="6"/>
        <v>-337</v>
      </c>
      <c r="BN4" s="514">
        <f t="shared" si="6"/>
        <v>0</v>
      </c>
      <c r="BO4" s="514">
        <f t="shared" si="6"/>
        <v>0</v>
      </c>
      <c r="BP4" s="514">
        <f t="shared" si="6"/>
        <v>-1750</v>
      </c>
      <c r="BQ4" s="720">
        <f t="shared" si="6"/>
        <v>-3500</v>
      </c>
      <c r="BR4" s="514">
        <f t="shared" si="6"/>
        <v>-4250</v>
      </c>
      <c r="BS4" s="514">
        <f t="shared" si="6"/>
        <v>-4250</v>
      </c>
      <c r="BT4" s="514">
        <f t="shared" si="6"/>
        <v>-4250</v>
      </c>
      <c r="BU4" s="720">
        <f t="shared" si="6"/>
        <v>-3500</v>
      </c>
      <c r="BV4" s="514">
        <f t="shared" si="6"/>
        <v>-3500</v>
      </c>
      <c r="BW4" s="514">
        <f t="shared" si="6"/>
        <v>-4250</v>
      </c>
      <c r="BX4" s="514">
        <f t="shared" ref="BX4" si="7">BX2-BX3</f>
        <v>-4250</v>
      </c>
    </row>
    <row r="5" spans="1:78" s="15" customFormat="1" ht="65" thickBot="1" x14ac:dyDescent="0.25">
      <c r="A5" s="53" t="s">
        <v>85</v>
      </c>
      <c r="B5" s="851" t="s">
        <v>89</v>
      </c>
      <c r="C5" s="54" t="s">
        <v>86</v>
      </c>
      <c r="D5" s="949" t="s">
        <v>882</v>
      </c>
      <c r="E5" s="327" t="s">
        <v>883</v>
      </c>
      <c r="F5" s="950" t="s">
        <v>376</v>
      </c>
      <c r="G5" s="327" t="s">
        <v>377</v>
      </c>
      <c r="H5" s="982" t="s">
        <v>91</v>
      </c>
      <c r="I5" s="56" t="s">
        <v>92</v>
      </c>
      <c r="J5" s="864" t="s">
        <v>873</v>
      </c>
      <c r="K5" s="327" t="s">
        <v>874</v>
      </c>
      <c r="L5" s="956">
        <f>M5-7</f>
        <v>45996</v>
      </c>
      <c r="M5" s="957">
        <f>N5-7</f>
        <v>46003</v>
      </c>
      <c r="N5" s="958">
        <f>O5-7</f>
        <v>46010</v>
      </c>
      <c r="O5" s="959">
        <f>P5-7</f>
        <v>46017</v>
      </c>
      <c r="P5" s="960">
        <f>Setting!B2</f>
        <v>46024</v>
      </c>
      <c r="Q5" s="958">
        <f t="shared" ref="Q5" si="8">+P5+7</f>
        <v>46031</v>
      </c>
      <c r="R5" s="958">
        <f t="shared" ref="R5" si="9">+Q5+7</f>
        <v>46038</v>
      </c>
      <c r="S5" s="958">
        <f t="shared" ref="S5" si="10">+R5+7</f>
        <v>46045</v>
      </c>
      <c r="T5" s="959">
        <f t="shared" ref="T5" si="11">+S5+7</f>
        <v>46052</v>
      </c>
      <c r="U5" s="960">
        <f t="shared" ref="U5" si="12">+T5+7</f>
        <v>46059</v>
      </c>
      <c r="V5" s="958">
        <f t="shared" ref="V5" si="13">+U5+7</f>
        <v>46066</v>
      </c>
      <c r="W5" s="958">
        <f t="shared" ref="W5" si="14">+V5+7</f>
        <v>46073</v>
      </c>
      <c r="X5" s="959">
        <f t="shared" ref="X5" si="15">+W5+7</f>
        <v>46080</v>
      </c>
      <c r="Y5" s="960">
        <f t="shared" ref="Y5" si="16">+X5+7</f>
        <v>46087</v>
      </c>
      <c r="Z5" s="958">
        <f t="shared" ref="Z5" si="17">+Y5+7</f>
        <v>46094</v>
      </c>
      <c r="AA5" s="958">
        <f t="shared" ref="AA5" si="18">+Z5+7</f>
        <v>46101</v>
      </c>
      <c r="AB5" s="959">
        <f t="shared" ref="AB5" si="19">+AA5+7</f>
        <v>46108</v>
      </c>
      <c r="AC5" s="961">
        <f t="shared" ref="AC5" si="20">+AB5+7</f>
        <v>46115</v>
      </c>
      <c r="AD5" s="958">
        <f t="shared" ref="AD5" si="21">+AC5+7</f>
        <v>46122</v>
      </c>
      <c r="AE5" s="958">
        <f t="shared" ref="AE5" si="22">+AD5+7</f>
        <v>46129</v>
      </c>
      <c r="AF5" s="959">
        <f t="shared" ref="AF5" si="23">+AE5+7</f>
        <v>46136</v>
      </c>
      <c r="AG5" s="960">
        <f t="shared" ref="AG5" si="24">+AF5+7</f>
        <v>46143</v>
      </c>
      <c r="AH5" s="962">
        <f t="shared" ref="AH5" si="25">+AG5+7</f>
        <v>46150</v>
      </c>
      <c r="AI5" s="962">
        <f t="shared" ref="AI5" si="26">+AH5+7</f>
        <v>46157</v>
      </c>
      <c r="AJ5" s="958">
        <f t="shared" ref="AJ5" si="27">+AI5+7</f>
        <v>46164</v>
      </c>
      <c r="AK5" s="959">
        <f t="shared" ref="AK5" si="28">+AJ5+7</f>
        <v>46171</v>
      </c>
      <c r="AL5" s="960">
        <f t="shared" ref="AL5" si="29">+AK5+7</f>
        <v>46178</v>
      </c>
      <c r="AM5" s="958">
        <f t="shared" ref="AM5" si="30">+AL5+7</f>
        <v>46185</v>
      </c>
      <c r="AN5" s="958">
        <f t="shared" ref="AN5" si="31">+AM5+7</f>
        <v>46192</v>
      </c>
      <c r="AO5" s="959">
        <f t="shared" ref="AO5" si="32">+AN5+7</f>
        <v>46199</v>
      </c>
      <c r="AP5" s="960">
        <f t="shared" ref="AP5" si="33">+AO5+7</f>
        <v>46206</v>
      </c>
      <c r="AQ5" s="958">
        <f t="shared" ref="AQ5" si="34">+AP5+7</f>
        <v>46213</v>
      </c>
      <c r="AR5" s="958">
        <f t="shared" ref="AR5" si="35">+AQ5+7</f>
        <v>46220</v>
      </c>
      <c r="AS5" s="958">
        <f t="shared" ref="AS5" si="36">+AR5+7</f>
        <v>46227</v>
      </c>
      <c r="AT5" s="959">
        <f t="shared" ref="AT5" si="37">+AS5+7</f>
        <v>46234</v>
      </c>
      <c r="AU5" s="960">
        <f t="shared" ref="AU5" si="38">+AT5+7</f>
        <v>46241</v>
      </c>
      <c r="AV5" s="958">
        <f t="shared" ref="AV5" si="39">+AU5+7</f>
        <v>46248</v>
      </c>
      <c r="AW5" s="958">
        <f t="shared" ref="AW5" si="40">+AV5+7</f>
        <v>46255</v>
      </c>
      <c r="AX5" s="959">
        <f t="shared" ref="AX5" si="41">+AW5+7</f>
        <v>46262</v>
      </c>
      <c r="AY5" s="960">
        <f t="shared" ref="AY5" si="42">+AX5+7</f>
        <v>46269</v>
      </c>
      <c r="AZ5" s="958">
        <f t="shared" ref="AZ5" si="43">+AY5+7</f>
        <v>46276</v>
      </c>
      <c r="BA5" s="958">
        <f t="shared" ref="BA5" si="44">+AZ5+7</f>
        <v>46283</v>
      </c>
      <c r="BB5" s="959">
        <f t="shared" ref="BB5" si="45">+BA5+7</f>
        <v>46290</v>
      </c>
      <c r="BC5" s="960">
        <f t="shared" ref="BC5" si="46">+BB5+7</f>
        <v>46297</v>
      </c>
      <c r="BD5" s="963">
        <f t="shared" ref="BD5" si="47">+BC5+7</f>
        <v>46304</v>
      </c>
      <c r="BE5" s="958">
        <f t="shared" ref="BE5" si="48">+BD5+7</f>
        <v>46311</v>
      </c>
      <c r="BF5" s="958">
        <f t="shared" ref="BF5" si="49">+BE5+7</f>
        <v>46318</v>
      </c>
      <c r="BG5" s="959">
        <f t="shared" ref="BG5" si="50">+BF5+7</f>
        <v>46325</v>
      </c>
      <c r="BH5" s="960">
        <f t="shared" ref="BH5" si="51">+BG5+7</f>
        <v>46332</v>
      </c>
      <c r="BI5" s="963">
        <f t="shared" ref="BI5" si="52">+BH5+7</f>
        <v>46339</v>
      </c>
      <c r="BJ5" s="958">
        <f t="shared" ref="BJ5" si="53">+BI5+7</f>
        <v>46346</v>
      </c>
      <c r="BK5" s="959">
        <f t="shared" ref="BK5" si="54">+BJ5+7</f>
        <v>46353</v>
      </c>
      <c r="BL5" s="960">
        <f t="shared" ref="BL5" si="55">+BK5+7</f>
        <v>46360</v>
      </c>
      <c r="BM5" s="958">
        <f t="shared" ref="BM5" si="56">+BL5+7</f>
        <v>46367</v>
      </c>
      <c r="BN5" s="958">
        <f t="shared" ref="BN5" si="57">+BM5+7</f>
        <v>46374</v>
      </c>
      <c r="BO5" s="958">
        <f t="shared" ref="BO5" si="58">+BN5+7</f>
        <v>46381</v>
      </c>
      <c r="BP5" s="959">
        <f t="shared" ref="BP5" si="59">+BO5+7</f>
        <v>46388</v>
      </c>
      <c r="BQ5" s="960">
        <f t="shared" ref="BQ5" si="60">+BP5+7</f>
        <v>46395</v>
      </c>
      <c r="BR5" s="958">
        <f t="shared" ref="BR5" si="61">+BQ5+7</f>
        <v>46402</v>
      </c>
      <c r="BS5" s="958">
        <f t="shared" ref="BS5" si="62">+BR5+7</f>
        <v>46409</v>
      </c>
      <c r="BT5" s="959">
        <f t="shared" ref="BT5" si="63">+BS5+7</f>
        <v>46416</v>
      </c>
      <c r="BU5" s="960">
        <f t="shared" ref="BU5" si="64">+BT5+7</f>
        <v>46423</v>
      </c>
      <c r="BV5" s="958">
        <f t="shared" ref="BV5" si="65">+BU5+7</f>
        <v>46430</v>
      </c>
      <c r="BW5" s="958">
        <f t="shared" ref="BW5" si="66">+BV5+7</f>
        <v>46437</v>
      </c>
      <c r="BX5" s="959">
        <f t="shared" ref="BX5" si="67">+BW5+7</f>
        <v>46444</v>
      </c>
      <c r="BY5" s="585"/>
      <c r="BZ5" s="585"/>
    </row>
    <row r="6" spans="1:78" x14ac:dyDescent="0.2">
      <c r="A6" s="633">
        <v>4500230404</v>
      </c>
      <c r="B6" s="11" t="s">
        <v>8</v>
      </c>
      <c r="C6" s="942" t="s">
        <v>823</v>
      </c>
      <c r="D6" s="711">
        <v>2604</v>
      </c>
      <c r="E6" s="828" t="str">
        <f>IFERROR(VLOOKUP(A6,ContainerSchedule!$A:$E,5,0),"")</f>
        <v/>
      </c>
      <c r="F6" s="828">
        <v>46254</v>
      </c>
      <c r="G6" s="943">
        <v>45982</v>
      </c>
      <c r="H6" s="11">
        <f t="shared" ref="H6:H17" si="68">SUM(L6:BX6)</f>
        <v>1329</v>
      </c>
      <c r="I6" s="711">
        <f t="shared" ref="I6:I37" si="69">D6-H6</f>
        <v>1275</v>
      </c>
      <c r="J6" s="1019" cm="1">
        <f t="array" ref="J6">IFERROR(_xlfn.XLOOKUP(TRUE,$L6:$BY6&lt;&gt;"",$L6:$BY6,,0,-1),"")</f>
        <v>1329</v>
      </c>
      <c r="K6" s="946">
        <f t="shared" ref="K6:K37" si="70">IFERROR(INDEX($L$5:$BZ$5,MATCH($J6,$L6:$BZ6,0)),"")</f>
        <v>45996</v>
      </c>
      <c r="L6" s="12">
        <v>1329</v>
      </c>
      <c r="M6" s="12"/>
      <c r="N6" s="12"/>
      <c r="P6" s="17"/>
      <c r="T6" s="13"/>
      <c r="U6" s="12"/>
      <c r="V6" s="12"/>
      <c r="W6" s="12"/>
      <c r="X6" s="585"/>
      <c r="Y6" s="80"/>
      <c r="Z6" s="995"/>
      <c r="AA6" s="996"/>
      <c r="AB6" s="15"/>
      <c r="AC6" s="993"/>
      <c r="AD6" s="585"/>
      <c r="AE6" s="643"/>
      <c r="AF6" s="985"/>
      <c r="AG6" s="643"/>
      <c r="AH6" s="643"/>
      <c r="AI6" s="643"/>
      <c r="AJ6" s="643"/>
      <c r="AK6" s="985"/>
      <c r="AL6" s="643"/>
      <c r="AM6" s="643"/>
      <c r="AN6" s="643"/>
      <c r="AO6" s="990"/>
      <c r="AP6" s="991"/>
      <c r="AQ6" s="643"/>
      <c r="AR6" s="643"/>
      <c r="AS6" s="643"/>
      <c r="AT6" s="990"/>
      <c r="AU6" s="991"/>
      <c r="AV6" s="643"/>
      <c r="AW6" s="967"/>
      <c r="AX6" s="643"/>
      <c r="AY6" s="991"/>
      <c r="AZ6" s="643"/>
      <c r="BA6" s="643"/>
      <c r="BB6" s="990"/>
      <c r="BC6" s="643"/>
      <c r="BD6" s="643"/>
      <c r="BE6" s="643"/>
      <c r="BF6" s="643"/>
      <c r="BG6" s="990"/>
      <c r="BH6" s="991"/>
      <c r="BI6" s="643"/>
      <c r="BJ6" s="643"/>
      <c r="BK6" s="990"/>
      <c r="BL6" s="991"/>
      <c r="BM6" s="643"/>
      <c r="BN6" s="643"/>
      <c r="BO6" s="643"/>
      <c r="BP6" s="990"/>
      <c r="BQ6" s="991"/>
      <c r="BR6" s="643"/>
      <c r="BS6" s="643"/>
      <c r="BT6" s="990"/>
      <c r="BU6" s="991"/>
      <c r="BV6" s="643"/>
      <c r="BW6" s="643"/>
      <c r="BX6" s="985"/>
      <c r="BZ6" s="650"/>
    </row>
    <row r="7" spans="1:78" x14ac:dyDescent="0.2">
      <c r="A7" s="633" t="s">
        <v>885</v>
      </c>
      <c r="B7" s="11" t="s">
        <v>4</v>
      </c>
      <c r="C7" s="633" t="s">
        <v>177</v>
      </c>
      <c r="D7" s="711">
        <v>2568</v>
      </c>
      <c r="E7" s="828" t="str">
        <f>IFERROR(VLOOKUP(A7,ContainerSchedule!$A:$E,5,0),"")</f>
        <v/>
      </c>
      <c r="F7" s="828">
        <v>45992</v>
      </c>
      <c r="G7" s="828">
        <v>46024</v>
      </c>
      <c r="H7" s="11">
        <f t="shared" si="68"/>
        <v>1732</v>
      </c>
      <c r="I7" s="711">
        <f t="shared" si="69"/>
        <v>836</v>
      </c>
      <c r="J7" s="947" cm="1">
        <f t="array" ref="J7">IFERROR(_xlfn.XLOOKUP(TRUE,$L7:$BY7&lt;&gt;"",$L7:$BY7,,0,-1),"")</f>
        <v>274</v>
      </c>
      <c r="K7" s="946">
        <f t="shared" si="70"/>
        <v>46017</v>
      </c>
      <c r="L7" s="965">
        <v>847</v>
      </c>
      <c r="M7" s="12">
        <v>611</v>
      </c>
      <c r="N7" s="12"/>
      <c r="O7" s="12">
        <v>274</v>
      </c>
      <c r="P7" s="247"/>
      <c r="Q7" s="12"/>
      <c r="R7" s="12"/>
      <c r="S7" s="12"/>
      <c r="T7" s="18"/>
      <c r="X7" s="643"/>
      <c r="Y7" s="247"/>
      <c r="Z7" s="137"/>
      <c r="AA7" s="137"/>
      <c r="AB7" s="137"/>
      <c r="AC7" s="989"/>
      <c r="AD7" s="585"/>
      <c r="AE7" s="643"/>
      <c r="AF7" s="985"/>
      <c r="AG7" s="643"/>
      <c r="AH7" s="643"/>
      <c r="AI7" s="643"/>
      <c r="AJ7" s="643"/>
      <c r="AK7" s="985"/>
      <c r="AL7" s="643"/>
      <c r="AM7" s="643"/>
      <c r="AN7" s="643"/>
      <c r="AO7" s="990"/>
      <c r="AP7" s="991"/>
      <c r="AQ7" s="643"/>
      <c r="AR7" s="643"/>
      <c r="AS7" s="643"/>
      <c r="AT7" s="990"/>
      <c r="AU7" s="991"/>
      <c r="AV7" s="643"/>
      <c r="AW7" s="643"/>
      <c r="AX7" s="643"/>
      <c r="AY7" s="991"/>
      <c r="AZ7" s="643"/>
      <c r="BA7" s="643"/>
      <c r="BB7" s="990"/>
      <c r="BC7" s="643"/>
      <c r="BD7" s="643"/>
      <c r="BE7" s="643"/>
      <c r="BF7" s="643"/>
      <c r="BG7" s="990"/>
      <c r="BH7" s="991"/>
      <c r="BI7" s="643"/>
      <c r="BJ7" s="643"/>
      <c r="BK7" s="990"/>
      <c r="BL7" s="991"/>
      <c r="BM7" s="643"/>
      <c r="BN7" s="643"/>
      <c r="BO7" s="643"/>
      <c r="BP7" s="990"/>
      <c r="BQ7" s="991"/>
      <c r="BR7" s="643"/>
      <c r="BS7" s="643"/>
      <c r="BT7" s="990"/>
      <c r="BU7" s="991"/>
      <c r="BV7" s="643"/>
      <c r="BW7" s="643"/>
      <c r="BX7" s="985"/>
      <c r="BZ7" s="650"/>
    </row>
    <row r="8" spans="1:78" x14ac:dyDescent="0.2">
      <c r="A8" s="633" t="s">
        <v>884</v>
      </c>
      <c r="B8" s="11" t="s">
        <v>4</v>
      </c>
      <c r="C8" s="633" t="s">
        <v>144</v>
      </c>
      <c r="D8" s="711">
        <v>612</v>
      </c>
      <c r="E8" s="828" t="str">
        <f>IFERROR(VLOOKUP(A8,ContainerSchedule!$A:$E,5,0),"")</f>
        <v/>
      </c>
      <c r="F8" s="828">
        <v>45999</v>
      </c>
      <c r="G8" s="828">
        <v>46024</v>
      </c>
      <c r="H8" s="11">
        <f t="shared" si="68"/>
        <v>612</v>
      </c>
      <c r="I8" s="711">
        <f t="shared" si="69"/>
        <v>0</v>
      </c>
      <c r="J8" s="947" cm="1">
        <f t="array" ref="J8">IFERROR(_xlfn.XLOOKUP(TRUE,$L8:$BY8&lt;&gt;"",$L8:$BY8,,0,-1),"")</f>
        <v>612</v>
      </c>
      <c r="K8" s="946">
        <f t="shared" si="70"/>
        <v>46024</v>
      </c>
      <c r="L8" s="12"/>
      <c r="M8" s="965"/>
      <c r="N8" s="12"/>
      <c r="O8" s="12"/>
      <c r="P8" s="14">
        <v>612</v>
      </c>
      <c r="Q8" s="12"/>
      <c r="R8" s="12"/>
      <c r="S8" s="12"/>
      <c r="T8" s="13"/>
      <c r="U8" s="12"/>
      <c r="V8" s="12"/>
      <c r="X8" s="643"/>
      <c r="Y8" s="247"/>
      <c r="Z8" s="137"/>
      <c r="AA8" s="137"/>
      <c r="AB8" s="137"/>
      <c r="AC8" s="989"/>
      <c r="AD8" s="585"/>
      <c r="AE8" s="643"/>
      <c r="AF8" s="985"/>
      <c r="AG8" s="643"/>
      <c r="AH8" s="643"/>
      <c r="AI8" s="643"/>
      <c r="AJ8" s="643"/>
      <c r="AK8" s="985"/>
      <c r="AL8" s="643"/>
      <c r="AM8" s="643"/>
      <c r="AN8" s="643"/>
      <c r="AO8" s="990"/>
      <c r="AP8" s="991"/>
      <c r="AQ8" s="643"/>
      <c r="AR8" s="643"/>
      <c r="AS8" s="643"/>
      <c r="AT8" s="990"/>
      <c r="AU8" s="991"/>
      <c r="AV8" s="643"/>
      <c r="AW8" s="643"/>
      <c r="AX8" s="643"/>
      <c r="AY8" s="991"/>
      <c r="AZ8" s="643"/>
      <c r="BA8" s="643"/>
      <c r="BB8" s="990"/>
      <c r="BC8" s="643"/>
      <c r="BD8" s="643"/>
      <c r="BE8" s="643"/>
      <c r="BF8" s="643"/>
      <c r="BG8" s="990"/>
      <c r="BH8" s="991"/>
      <c r="BI8" s="643"/>
      <c r="BJ8" s="643"/>
      <c r="BK8" s="990"/>
      <c r="BL8" s="991"/>
      <c r="BM8" s="643"/>
      <c r="BN8" s="643"/>
      <c r="BO8" s="643"/>
      <c r="BP8" s="990"/>
      <c r="BQ8" s="991"/>
      <c r="BR8" s="643"/>
      <c r="BS8" s="643"/>
      <c r="BT8" s="990"/>
      <c r="BU8" s="991"/>
      <c r="BV8" s="643"/>
      <c r="BW8" s="643"/>
      <c r="BX8" s="985"/>
      <c r="BZ8" s="650"/>
    </row>
    <row r="9" spans="1:78" x14ac:dyDescent="0.2">
      <c r="A9" s="633" t="s">
        <v>885</v>
      </c>
      <c r="B9" s="11" t="s">
        <v>4</v>
      </c>
      <c r="C9" s="633" t="s">
        <v>144</v>
      </c>
      <c r="D9" s="711">
        <v>1566</v>
      </c>
      <c r="E9" s="828" t="str">
        <f>IFERROR(VLOOKUP(A9,ContainerSchedule!$A:$E,5,0),"")</f>
        <v/>
      </c>
      <c r="F9" s="828">
        <v>45999</v>
      </c>
      <c r="G9" s="828">
        <v>46024</v>
      </c>
      <c r="H9" s="11">
        <f t="shared" si="68"/>
        <v>1566</v>
      </c>
      <c r="I9" s="711">
        <f t="shared" si="69"/>
        <v>0</v>
      </c>
      <c r="J9" s="947" cm="1">
        <f t="array" ref="J9">IFERROR(_xlfn.XLOOKUP(TRUE,$L9:$BY9&lt;&gt;"",$L9:$BY9,,0,-1),"")</f>
        <v>390</v>
      </c>
      <c r="K9" s="946">
        <f t="shared" si="70"/>
        <v>46024</v>
      </c>
      <c r="L9" s="12"/>
      <c r="M9" s="965"/>
      <c r="N9" s="12"/>
      <c r="O9" s="12">
        <v>1176</v>
      </c>
      <c r="P9" s="14">
        <v>390</v>
      </c>
      <c r="Q9" s="12"/>
      <c r="R9" s="12"/>
      <c r="S9" s="12"/>
      <c r="T9" s="13"/>
      <c r="U9" s="12"/>
      <c r="V9" s="12"/>
      <c r="X9" s="643"/>
      <c r="Y9" s="247"/>
      <c r="Z9" s="137"/>
      <c r="AA9" s="137"/>
      <c r="AB9" s="137"/>
      <c r="AC9" s="989"/>
      <c r="AD9" s="585"/>
      <c r="AE9" s="643"/>
      <c r="AF9" s="985"/>
      <c r="AG9" s="643"/>
      <c r="AH9" s="643"/>
      <c r="AI9" s="643"/>
      <c r="AJ9" s="643"/>
      <c r="AK9" s="985"/>
      <c r="AL9" s="643"/>
      <c r="AM9" s="643"/>
      <c r="AN9" s="643"/>
      <c r="AO9" s="990"/>
      <c r="AP9" s="991"/>
      <c r="AQ9" s="643"/>
      <c r="AR9" s="643"/>
      <c r="AS9" s="643"/>
      <c r="AT9" s="990"/>
      <c r="AU9" s="991"/>
      <c r="AV9" s="643"/>
      <c r="AW9" s="643"/>
      <c r="AX9" s="643"/>
      <c r="AY9" s="991"/>
      <c r="AZ9" s="643"/>
      <c r="BA9" s="643"/>
      <c r="BB9" s="990"/>
      <c r="BC9" s="643"/>
      <c r="BD9" s="643"/>
      <c r="BE9" s="643"/>
      <c r="BF9" s="643"/>
      <c r="BG9" s="990"/>
      <c r="BH9" s="991"/>
      <c r="BI9" s="643"/>
      <c r="BJ9" s="643"/>
      <c r="BK9" s="990"/>
      <c r="BL9" s="991"/>
      <c r="BM9" s="643"/>
      <c r="BN9" s="643"/>
      <c r="BO9" s="643"/>
      <c r="BP9" s="990"/>
      <c r="BQ9" s="991"/>
      <c r="BR9" s="643"/>
      <c r="BS9" s="643"/>
      <c r="BT9" s="990"/>
      <c r="BU9" s="991"/>
      <c r="BV9" s="643"/>
      <c r="BW9" s="643"/>
      <c r="BX9" s="985"/>
      <c r="BZ9" s="650"/>
    </row>
    <row r="10" spans="1:78" x14ac:dyDescent="0.2">
      <c r="A10" s="941"/>
      <c r="B10" s="11" t="s">
        <v>60</v>
      </c>
      <c r="C10" s="633" t="s">
        <v>302</v>
      </c>
      <c r="D10" s="711">
        <v>600</v>
      </c>
      <c r="E10" s="828" t="str">
        <f>IFERROR(VLOOKUP(A10,ContainerSchedule!$A:$E,5,0),"")</f>
        <v/>
      </c>
      <c r="F10" s="828">
        <v>45995</v>
      </c>
      <c r="G10" s="828">
        <v>45992</v>
      </c>
      <c r="H10" s="11">
        <f t="shared" si="68"/>
        <v>600</v>
      </c>
      <c r="I10" s="711">
        <f t="shared" si="69"/>
        <v>0</v>
      </c>
      <c r="J10" s="947" cm="1">
        <f t="array" ref="J10">IFERROR(_xlfn.XLOOKUP(TRUE,$L10:$BY10&lt;&gt;"",$L10:$BY10,,0,-1),"")</f>
        <v>324</v>
      </c>
      <c r="K10" s="946">
        <f t="shared" si="70"/>
        <v>46031</v>
      </c>
      <c r="L10" s="965"/>
      <c r="M10" s="12">
        <v>276</v>
      </c>
      <c r="N10" s="12"/>
      <c r="O10" s="12"/>
      <c r="P10" s="17"/>
      <c r="Q10" s="12">
        <v>324</v>
      </c>
      <c r="R10" s="12"/>
      <c r="S10" s="12"/>
      <c r="T10" s="13"/>
      <c r="U10" s="12"/>
      <c r="V10" s="12"/>
      <c r="Y10" s="14"/>
      <c r="Z10" s="12"/>
      <c r="AC10" s="984"/>
      <c r="AD10" s="846"/>
      <c r="AE10" s="846"/>
      <c r="AF10" s="985"/>
      <c r="AG10" s="846"/>
      <c r="AH10" s="846"/>
      <c r="AI10" s="846"/>
      <c r="AJ10" s="846"/>
      <c r="AK10" s="986"/>
      <c r="AL10" s="846"/>
      <c r="AM10" s="846"/>
      <c r="AN10" s="846"/>
      <c r="AO10" s="987"/>
      <c r="AP10" s="988"/>
      <c r="AQ10" s="846"/>
      <c r="AR10" s="846"/>
      <c r="AS10" s="846"/>
      <c r="AT10" s="987"/>
      <c r="AU10" s="988"/>
      <c r="AV10" s="846"/>
      <c r="AW10" s="846"/>
      <c r="AX10" s="846"/>
      <c r="AY10" s="988"/>
      <c r="AZ10" s="846"/>
      <c r="BA10" s="846"/>
      <c r="BB10" s="987"/>
      <c r="BC10" s="846"/>
      <c r="BD10" s="846"/>
      <c r="BE10" s="846"/>
      <c r="BF10" s="846"/>
      <c r="BG10" s="987"/>
      <c r="BH10" s="988"/>
      <c r="BI10" s="846"/>
      <c r="BJ10" s="846"/>
      <c r="BK10" s="987"/>
      <c r="BL10" s="988"/>
      <c r="BM10" s="846"/>
      <c r="BN10" s="846"/>
      <c r="BO10" s="846"/>
      <c r="BP10" s="987"/>
      <c r="BQ10" s="988"/>
      <c r="BR10" s="846"/>
      <c r="BS10" s="846"/>
      <c r="BT10" s="987"/>
      <c r="BU10" s="988"/>
      <c r="BV10" s="846"/>
      <c r="BW10" s="846"/>
      <c r="BX10" s="986"/>
      <c r="BZ10" s="650"/>
    </row>
    <row r="11" spans="1:78" ht="18" customHeight="1" x14ac:dyDescent="0.2">
      <c r="A11" s="941"/>
      <c r="B11" s="11" t="s">
        <v>60</v>
      </c>
      <c r="C11" s="633" t="s">
        <v>383</v>
      </c>
      <c r="D11" s="711">
        <v>600</v>
      </c>
      <c r="E11" s="828" t="str">
        <f>IFERROR(VLOOKUP(A11,ContainerSchedule!$A:$E,5,0),"")</f>
        <v/>
      </c>
      <c r="F11" s="828">
        <v>46015</v>
      </c>
      <c r="G11" s="828">
        <v>45992</v>
      </c>
      <c r="H11" s="11">
        <f t="shared" si="68"/>
        <v>600</v>
      </c>
      <c r="I11" s="711">
        <f t="shared" si="69"/>
        <v>0</v>
      </c>
      <c r="J11" s="947" cm="1">
        <f t="array" ref="J11">IFERROR(_xlfn.XLOOKUP(TRUE,$L11:$BY11&lt;&gt;"",$L11:$BY11,,0,-1),"")</f>
        <v>504</v>
      </c>
      <c r="K11" s="946">
        <f t="shared" si="70"/>
        <v>46031</v>
      </c>
      <c r="L11" s="12"/>
      <c r="M11" s="12">
        <v>96</v>
      </c>
      <c r="N11" s="12"/>
      <c r="O11" s="965"/>
      <c r="P11" s="17"/>
      <c r="Q11" s="12">
        <v>504</v>
      </c>
      <c r="R11" s="12"/>
      <c r="T11" s="13"/>
      <c r="U11" s="12"/>
      <c r="V11" s="12"/>
      <c r="X11" s="643"/>
      <c r="Y11" s="14"/>
      <c r="Z11" s="12"/>
      <c r="AA11" s="12"/>
      <c r="AB11" s="137"/>
      <c r="AC11" s="989"/>
      <c r="AD11" s="585"/>
      <c r="AE11" s="643"/>
      <c r="AF11" s="985"/>
      <c r="AG11" s="643"/>
      <c r="AH11" s="643"/>
      <c r="AI11" s="643"/>
      <c r="AJ11" s="643"/>
      <c r="AK11" s="985"/>
      <c r="AL11" s="643"/>
      <c r="AM11" s="643"/>
      <c r="AN11" s="643"/>
      <c r="AO11" s="990"/>
      <c r="AP11" s="991"/>
      <c r="AQ11" s="643"/>
      <c r="AR11" s="643"/>
      <c r="AS11" s="643"/>
      <c r="AT11" s="990"/>
      <c r="AU11" s="991"/>
      <c r="AV11" s="643"/>
      <c r="AW11" s="643"/>
      <c r="AX11" s="643"/>
      <c r="AY11" s="991"/>
      <c r="AZ11" s="643"/>
      <c r="BA11" s="643"/>
      <c r="BB11" s="990"/>
      <c r="BC11" s="643"/>
      <c r="BD11" s="643"/>
      <c r="BE11" s="643"/>
      <c r="BF11" s="643"/>
      <c r="BG11" s="990"/>
      <c r="BH11" s="991"/>
      <c r="BI11" s="643"/>
      <c r="BJ11" s="643"/>
      <c r="BK11" s="990"/>
      <c r="BL11" s="991"/>
      <c r="BM11" s="643"/>
      <c r="BN11" s="643"/>
      <c r="BO11" s="643"/>
      <c r="BP11" s="990"/>
      <c r="BQ11" s="991"/>
      <c r="BR11" s="643"/>
      <c r="BS11" s="643"/>
      <c r="BT11" s="990"/>
      <c r="BU11" s="991"/>
      <c r="BV11" s="643"/>
      <c r="BW11" s="643"/>
      <c r="BX11" s="985"/>
      <c r="BZ11" s="650"/>
    </row>
    <row r="12" spans="1:78" x14ac:dyDescent="0.2">
      <c r="A12" s="941"/>
      <c r="B12" s="11" t="s">
        <v>60</v>
      </c>
      <c r="C12" s="633" t="s">
        <v>760</v>
      </c>
      <c r="D12" s="711">
        <v>600</v>
      </c>
      <c r="E12" s="828" t="str">
        <f>IFERROR(VLOOKUP(A12,ContainerSchedule!$A:$E,5,0),"")</f>
        <v/>
      </c>
      <c r="F12" s="828">
        <v>45995</v>
      </c>
      <c r="G12" s="828">
        <v>45992</v>
      </c>
      <c r="H12" s="11">
        <f t="shared" si="68"/>
        <v>600</v>
      </c>
      <c r="I12" s="711">
        <f t="shared" si="69"/>
        <v>0</v>
      </c>
      <c r="J12" s="947" cm="1">
        <f t="array" ref="J12">IFERROR(_xlfn.XLOOKUP(TRUE,$L12:$BY12&lt;&gt;"",$L12:$BY12,,0,-1),"")</f>
        <v>246</v>
      </c>
      <c r="K12" s="946">
        <f t="shared" si="70"/>
        <v>46038</v>
      </c>
      <c r="L12" s="965"/>
      <c r="M12" s="12">
        <v>228</v>
      </c>
      <c r="N12" s="12"/>
      <c r="O12" s="12"/>
      <c r="P12" s="17"/>
      <c r="Q12" s="12">
        <v>126</v>
      </c>
      <c r="R12" s="12">
        <v>246</v>
      </c>
      <c r="S12" s="12"/>
      <c r="T12" s="13"/>
      <c r="U12" s="12"/>
      <c r="V12" s="12"/>
      <c r="Y12" s="14"/>
      <c r="Z12" s="12"/>
      <c r="AC12" s="984"/>
      <c r="AD12" s="846"/>
      <c r="AE12" s="846"/>
      <c r="AF12" s="985"/>
      <c r="AG12" s="846"/>
      <c r="AH12" s="846"/>
      <c r="AI12" s="846"/>
      <c r="AJ12" s="846"/>
      <c r="AK12" s="986"/>
      <c r="AL12" s="846"/>
      <c r="AM12" s="846"/>
      <c r="AN12" s="846"/>
      <c r="AO12" s="987"/>
      <c r="AP12" s="988"/>
      <c r="AQ12" s="846"/>
      <c r="AR12" s="846"/>
      <c r="AS12" s="846"/>
      <c r="AT12" s="987"/>
      <c r="AU12" s="988"/>
      <c r="AV12" s="846"/>
      <c r="AW12" s="846"/>
      <c r="AX12" s="846"/>
      <c r="AY12" s="988"/>
      <c r="AZ12" s="846"/>
      <c r="BA12" s="846"/>
      <c r="BB12" s="987"/>
      <c r="BC12" s="846"/>
      <c r="BD12" s="846"/>
      <c r="BE12" s="846"/>
      <c r="BF12" s="846"/>
      <c r="BG12" s="987"/>
      <c r="BH12" s="988"/>
      <c r="BI12" s="846"/>
      <c r="BJ12" s="846"/>
      <c r="BK12" s="987"/>
      <c r="BL12" s="988"/>
      <c r="BM12" s="846"/>
      <c r="BN12" s="846"/>
      <c r="BO12" s="846"/>
      <c r="BP12" s="987"/>
      <c r="BQ12" s="988"/>
      <c r="BR12" s="846"/>
      <c r="BS12" s="846"/>
      <c r="BT12" s="987"/>
      <c r="BU12" s="988"/>
      <c r="BV12" s="846"/>
      <c r="BW12" s="846"/>
      <c r="BX12" s="986"/>
      <c r="BZ12" s="650"/>
    </row>
    <row r="13" spans="1:78" x14ac:dyDescent="0.2">
      <c r="A13" s="941"/>
      <c r="B13" s="11" t="s">
        <v>60</v>
      </c>
      <c r="C13" s="633" t="s">
        <v>297</v>
      </c>
      <c r="D13" s="711">
        <v>600</v>
      </c>
      <c r="E13" s="828" t="str">
        <f>IFERROR(VLOOKUP(A13,ContainerSchedule!$A:$E,5,0),"")</f>
        <v/>
      </c>
      <c r="F13" s="828">
        <v>46015</v>
      </c>
      <c r="G13" s="828">
        <v>45992</v>
      </c>
      <c r="H13" s="11">
        <f t="shared" si="68"/>
        <v>600</v>
      </c>
      <c r="I13" s="711">
        <f t="shared" si="69"/>
        <v>0</v>
      </c>
      <c r="J13" s="947" cm="1">
        <f t="array" ref="J13">IFERROR(_xlfn.XLOOKUP(TRUE,$L13:$BY13&lt;&gt;"",$L13:$BY13,,0,-1),"")</f>
        <v>45</v>
      </c>
      <c r="K13" s="946">
        <f t="shared" si="70"/>
        <v>46038</v>
      </c>
      <c r="L13" s="12"/>
      <c r="M13" s="12">
        <v>129</v>
      </c>
      <c r="N13" s="12"/>
      <c r="O13" s="965"/>
      <c r="P13" s="17"/>
      <c r="Q13" s="12">
        <v>426</v>
      </c>
      <c r="R13" s="12">
        <v>45</v>
      </c>
      <c r="S13" s="12"/>
      <c r="T13" s="13"/>
      <c r="U13" s="12"/>
      <c r="V13" s="12"/>
      <c r="Y13" s="14"/>
      <c r="Z13" s="12"/>
      <c r="AC13" s="984"/>
      <c r="AD13" s="846"/>
      <c r="AE13" s="846"/>
      <c r="AF13" s="985"/>
      <c r="AG13" s="846"/>
      <c r="AH13" s="846"/>
      <c r="AI13" s="846"/>
      <c r="AJ13" s="846"/>
      <c r="AK13" s="986"/>
      <c r="AL13" s="846"/>
      <c r="AM13" s="846"/>
      <c r="AN13" s="846"/>
      <c r="AO13" s="987"/>
      <c r="AP13" s="988"/>
      <c r="AQ13" s="846"/>
      <c r="AR13" s="846"/>
      <c r="AS13" s="846"/>
      <c r="AT13" s="987"/>
      <c r="AU13" s="988"/>
      <c r="AV13" s="846"/>
      <c r="AW13" s="846"/>
      <c r="AX13" s="846"/>
      <c r="AY13" s="988"/>
      <c r="AZ13" s="846"/>
      <c r="BA13" s="846"/>
      <c r="BB13" s="987"/>
      <c r="BC13" s="846"/>
      <c r="BD13" s="846"/>
      <c r="BE13" s="846"/>
      <c r="BF13" s="846"/>
      <c r="BG13" s="987"/>
      <c r="BH13" s="988"/>
      <c r="BI13" s="846"/>
      <c r="BJ13" s="846"/>
      <c r="BK13" s="987"/>
      <c r="BL13" s="988"/>
      <c r="BM13" s="846"/>
      <c r="BN13" s="846"/>
      <c r="BO13" s="846"/>
      <c r="BP13" s="987"/>
      <c r="BQ13" s="988"/>
      <c r="BR13" s="846"/>
      <c r="BS13" s="846"/>
      <c r="BT13" s="987"/>
      <c r="BU13" s="988"/>
      <c r="BV13" s="846"/>
      <c r="BW13" s="846"/>
      <c r="BX13" s="986"/>
      <c r="BZ13" s="650"/>
    </row>
    <row r="14" spans="1:78" ht="22" customHeight="1" x14ac:dyDescent="0.2">
      <c r="A14" s="633" t="s">
        <v>884</v>
      </c>
      <c r="B14" s="11" t="s">
        <v>4</v>
      </c>
      <c r="C14" s="633" t="s">
        <v>144</v>
      </c>
      <c r="D14" s="711">
        <v>1254</v>
      </c>
      <c r="E14" s="828" t="str">
        <f>IFERROR(VLOOKUP(A14,ContainerSchedule!$A:$E,5,0),"")</f>
        <v/>
      </c>
      <c r="F14" s="828">
        <v>45999</v>
      </c>
      <c r="G14" s="828">
        <v>46024</v>
      </c>
      <c r="H14" s="11">
        <f t="shared" si="68"/>
        <v>1254</v>
      </c>
      <c r="I14" s="711">
        <f t="shared" si="69"/>
        <v>0</v>
      </c>
      <c r="J14" s="947" cm="1">
        <f t="array" ref="J14">IFERROR(_xlfn.XLOOKUP(TRUE,$L14:$BY14&lt;&gt;"",$L14:$BY14,,0,-1),"")</f>
        <v>36</v>
      </c>
      <c r="K14" s="946">
        <f t="shared" si="70"/>
        <v>46038</v>
      </c>
      <c r="L14" s="12"/>
      <c r="M14" s="965"/>
      <c r="N14" s="12"/>
      <c r="O14" s="12"/>
      <c r="P14" s="14">
        <v>48</v>
      </c>
      <c r="Q14" s="12">
        <v>1170</v>
      </c>
      <c r="R14" s="12">
        <v>36</v>
      </c>
      <c r="S14" s="12"/>
      <c r="T14" s="13"/>
      <c r="U14" s="12"/>
      <c r="V14" s="12"/>
      <c r="X14" s="643"/>
      <c r="Y14" s="247"/>
      <c r="Z14" s="137"/>
      <c r="AA14" s="137"/>
      <c r="AB14" s="137"/>
      <c r="AC14" s="989"/>
      <c r="AD14" s="585"/>
      <c r="AE14" s="643"/>
      <c r="AF14" s="985"/>
      <c r="AG14" s="643"/>
      <c r="AH14" s="643"/>
      <c r="AI14" s="643"/>
      <c r="AJ14" s="643"/>
      <c r="AK14" s="985"/>
      <c r="AL14" s="643"/>
      <c r="AM14" s="643"/>
      <c r="AN14" s="643"/>
      <c r="AO14" s="990"/>
      <c r="AP14" s="991"/>
      <c r="AQ14" s="643"/>
      <c r="AR14" s="643"/>
      <c r="AS14" s="643"/>
      <c r="AT14" s="990"/>
      <c r="AU14" s="991"/>
      <c r="AV14" s="643"/>
      <c r="AW14" s="643"/>
      <c r="AX14" s="643"/>
      <c r="AY14" s="991"/>
      <c r="AZ14" s="643"/>
      <c r="BA14" s="643"/>
      <c r="BB14" s="990"/>
      <c r="BC14" s="643"/>
      <c r="BD14" s="643"/>
      <c r="BE14" s="643"/>
      <c r="BF14" s="643"/>
      <c r="BG14" s="990"/>
      <c r="BH14" s="991"/>
      <c r="BI14" s="643"/>
      <c r="BJ14" s="643"/>
      <c r="BK14" s="990"/>
      <c r="BL14" s="991"/>
      <c r="BM14" s="643"/>
      <c r="BN14" s="643"/>
      <c r="BO14" s="643"/>
      <c r="BP14" s="990"/>
      <c r="BQ14" s="991"/>
      <c r="BR14" s="643"/>
      <c r="BS14" s="643"/>
      <c r="BT14" s="990"/>
      <c r="BU14" s="991"/>
      <c r="BV14" s="643"/>
      <c r="BW14" s="643"/>
      <c r="BX14" s="985"/>
      <c r="BZ14" s="650"/>
    </row>
    <row r="15" spans="1:78" x14ac:dyDescent="0.2">
      <c r="A15" s="633" t="s">
        <v>886</v>
      </c>
      <c r="B15" s="11" t="s">
        <v>4</v>
      </c>
      <c r="C15" s="633" t="s">
        <v>177</v>
      </c>
      <c r="D15" s="11">
        <v>864</v>
      </c>
      <c r="E15" s="828" t="str">
        <f>IFERROR(VLOOKUP(A15,ContainerSchedule!$A:$E,5,0),"")</f>
        <v/>
      </c>
      <c r="F15" s="828">
        <v>46008</v>
      </c>
      <c r="G15" s="828">
        <v>46040</v>
      </c>
      <c r="H15" s="11">
        <f t="shared" si="68"/>
        <v>864</v>
      </c>
      <c r="I15" s="711">
        <f t="shared" si="69"/>
        <v>0</v>
      </c>
      <c r="J15" s="947" cm="1">
        <f t="array" ref="J15">IFERROR(_xlfn.XLOOKUP(TRUE,$L15:$BY15&lt;&gt;"",$L15:$BY15,,0,-1),"")</f>
        <v>864</v>
      </c>
      <c r="K15" s="946">
        <f t="shared" si="70"/>
        <v>46038</v>
      </c>
      <c r="L15" s="12"/>
      <c r="M15" s="12"/>
      <c r="N15" s="965"/>
      <c r="O15" s="12"/>
      <c r="P15" s="17"/>
      <c r="Q15" s="181"/>
      <c r="R15" s="181">
        <v>864</v>
      </c>
      <c r="S15" s="181"/>
      <c r="T15" s="18"/>
      <c r="U15" s="12"/>
      <c r="W15" s="181"/>
      <c r="X15" s="643"/>
      <c r="Y15" s="752"/>
      <c r="Z15" s="137"/>
      <c r="AA15" s="137"/>
      <c r="AB15" s="137"/>
      <c r="AC15" s="989"/>
      <c r="AD15" s="585"/>
      <c r="AE15" s="643"/>
      <c r="AF15" s="985"/>
      <c r="AG15" s="643"/>
      <c r="AH15" s="643"/>
      <c r="AI15" s="643"/>
      <c r="AJ15" s="643"/>
      <c r="AK15" s="985"/>
      <c r="AL15" s="643"/>
      <c r="AM15" s="643"/>
      <c r="AN15" s="643"/>
      <c r="AO15" s="990"/>
      <c r="AP15" s="991"/>
      <c r="AQ15" s="643"/>
      <c r="AR15" s="643"/>
      <c r="AS15" s="643"/>
      <c r="AT15" s="990"/>
      <c r="AU15" s="991"/>
      <c r="AV15" s="643"/>
      <c r="AW15" s="643"/>
      <c r="AX15" s="643"/>
      <c r="AY15" s="991"/>
      <c r="AZ15" s="643"/>
      <c r="BA15" s="643"/>
      <c r="BB15" s="990"/>
      <c r="BC15" s="643"/>
      <c r="BD15" s="643"/>
      <c r="BE15" s="643"/>
      <c r="BF15" s="643"/>
      <c r="BG15" s="990"/>
      <c r="BH15" s="991"/>
      <c r="BI15" s="643"/>
      <c r="BJ15" s="643"/>
      <c r="BK15" s="990"/>
      <c r="BL15" s="991"/>
      <c r="BM15" s="643"/>
      <c r="BN15" s="643"/>
      <c r="BO15" s="643"/>
      <c r="BP15" s="990"/>
      <c r="BQ15" s="991"/>
      <c r="BR15" s="643"/>
      <c r="BS15" s="643"/>
      <c r="BT15" s="990"/>
      <c r="BU15" s="991"/>
      <c r="BV15" s="643"/>
      <c r="BW15" s="643"/>
      <c r="BX15" s="985"/>
      <c r="BZ15" s="650"/>
    </row>
    <row r="16" spans="1:78" x14ac:dyDescent="0.2">
      <c r="A16" s="633"/>
      <c r="B16" s="11" t="s">
        <v>60</v>
      </c>
      <c r="C16" s="633" t="s">
        <v>865</v>
      </c>
      <c r="D16" s="711">
        <v>600</v>
      </c>
      <c r="E16" s="828" t="str">
        <f>IFERROR(VLOOKUP(A16,ContainerSchedule!$A:$E,5,0),"")</f>
        <v/>
      </c>
      <c r="F16" s="828">
        <v>46031</v>
      </c>
      <c r="G16" s="828">
        <v>45992</v>
      </c>
      <c r="H16" s="11">
        <f t="shared" si="68"/>
        <v>600</v>
      </c>
      <c r="I16" s="711">
        <f t="shared" si="69"/>
        <v>0</v>
      </c>
      <c r="J16" s="947" cm="1">
        <f t="array" ref="J16">IFERROR(_xlfn.XLOOKUP(TRUE,$L16:$BY16&lt;&gt;"",$L16:$BY16,,0,-1),"")</f>
        <v>600</v>
      </c>
      <c r="K16" s="946">
        <f t="shared" si="70"/>
        <v>46059</v>
      </c>
      <c r="L16" s="12"/>
      <c r="M16" s="12"/>
      <c r="N16" s="12"/>
      <c r="O16" s="12"/>
      <c r="P16" s="17"/>
      <c r="Q16" s="965"/>
      <c r="R16" s="12"/>
      <c r="S16" s="12"/>
      <c r="T16" s="13"/>
      <c r="U16" s="147">
        <v>600</v>
      </c>
      <c r="V16" s="12"/>
      <c r="Y16" s="14"/>
      <c r="Z16" s="12"/>
      <c r="AC16" s="984"/>
      <c r="AD16" s="846"/>
      <c r="AE16" s="846"/>
      <c r="AF16" s="985"/>
      <c r="AG16" s="846"/>
      <c r="AH16" s="846"/>
      <c r="AI16" s="846"/>
      <c r="AJ16" s="846"/>
      <c r="AK16" s="986"/>
      <c r="AL16" s="846"/>
      <c r="AM16" s="846"/>
      <c r="AN16" s="846"/>
      <c r="AO16" s="987"/>
      <c r="AP16" s="988"/>
      <c r="AQ16" s="846"/>
      <c r="AR16" s="846"/>
      <c r="AS16" s="846"/>
      <c r="AT16" s="987"/>
      <c r="AU16" s="988"/>
      <c r="AV16" s="846"/>
      <c r="AW16" s="846"/>
      <c r="AX16" s="846"/>
      <c r="AY16" s="988"/>
      <c r="AZ16" s="846"/>
      <c r="BA16" s="846"/>
      <c r="BB16" s="987"/>
      <c r="BC16" s="846"/>
      <c r="BD16" s="846"/>
      <c r="BE16" s="846"/>
      <c r="BF16" s="846"/>
      <c r="BG16" s="987"/>
      <c r="BH16" s="988"/>
      <c r="BI16" s="846"/>
      <c r="BJ16" s="846"/>
      <c r="BK16" s="987"/>
      <c r="BL16" s="988"/>
      <c r="BM16" s="846"/>
      <c r="BN16" s="846"/>
      <c r="BO16" s="846"/>
      <c r="BP16" s="987"/>
      <c r="BQ16" s="988"/>
      <c r="BR16" s="846"/>
      <c r="BS16" s="846"/>
      <c r="BT16" s="987"/>
      <c r="BU16" s="988"/>
      <c r="BV16" s="846"/>
      <c r="BW16" s="846"/>
      <c r="BX16" s="986"/>
      <c r="BZ16" s="650"/>
    </row>
    <row r="17" spans="1:78" ht="16" x14ac:dyDescent="0.2">
      <c r="A17" s="843" t="s">
        <v>818</v>
      </c>
      <c r="B17" s="11" t="s">
        <v>29</v>
      </c>
      <c r="C17" s="633" t="s">
        <v>311</v>
      </c>
      <c r="D17" s="11">
        <v>120</v>
      </c>
      <c r="E17" s="828">
        <f>IFERROR(VLOOKUP(A17,ContainerSchedule!$A:$E,5,0),"")</f>
        <v>46034</v>
      </c>
      <c r="F17" s="828">
        <f>VLOOKUP(A17,ContainerSchedule!$A$1:$F$91,6,0)</f>
        <v>46061</v>
      </c>
      <c r="G17" s="828"/>
      <c r="H17" s="11">
        <f t="shared" si="68"/>
        <v>120</v>
      </c>
      <c r="I17" s="711">
        <f t="shared" si="69"/>
        <v>0</v>
      </c>
      <c r="J17" s="947" cm="1">
        <f t="array" ref="J17">IFERROR(_xlfn.XLOOKUP(TRUE,$L17:$BY17&lt;&gt;"",$L17:$BY17,,0,-1),"")</f>
        <v>120</v>
      </c>
      <c r="K17" s="946">
        <f t="shared" si="70"/>
        <v>46066</v>
      </c>
      <c r="L17" s="12"/>
      <c r="M17" s="12"/>
      <c r="N17" s="12"/>
      <c r="O17" s="12"/>
      <c r="P17" s="14"/>
      <c r="Q17" s="12"/>
      <c r="R17" s="12"/>
      <c r="S17" s="147"/>
      <c r="T17" s="148"/>
      <c r="U17" s="147"/>
      <c r="V17" s="964">
        <v>120</v>
      </c>
      <c r="W17" s="147"/>
      <c r="X17" s="147"/>
      <c r="Y17" s="146"/>
      <c r="Z17" s="147"/>
      <c r="AA17" s="147"/>
      <c r="AB17" s="147"/>
      <c r="AC17" s="999"/>
      <c r="AD17" s="997"/>
      <c r="AE17" s="997"/>
      <c r="AF17" s="1001"/>
      <c r="AG17" s="1002"/>
      <c r="AH17" s="585"/>
      <c r="AI17" s="643"/>
      <c r="AJ17" s="643"/>
      <c r="AK17" s="985"/>
      <c r="AL17" s="643"/>
      <c r="AM17" s="643"/>
      <c r="AN17" s="643"/>
      <c r="AO17" s="990"/>
      <c r="AP17" s="991"/>
      <c r="AQ17" s="643"/>
      <c r="AR17" s="643"/>
      <c r="AS17" s="643"/>
      <c r="AT17" s="990"/>
      <c r="AU17" s="991"/>
      <c r="AV17" s="643"/>
      <c r="AW17" s="643"/>
      <c r="AX17" s="643"/>
      <c r="AY17" s="991"/>
      <c r="AZ17" s="643"/>
      <c r="BA17" s="643"/>
      <c r="BB17" s="990"/>
      <c r="BC17" s="643"/>
      <c r="BD17" s="643"/>
      <c r="BE17" s="643"/>
      <c r="BF17" s="643"/>
      <c r="BG17" s="990"/>
      <c r="BH17" s="991"/>
      <c r="BI17" s="643"/>
      <c r="BJ17" s="643"/>
      <c r="BK17" s="990"/>
      <c r="BL17" s="991"/>
      <c r="BM17" s="643"/>
      <c r="BN17" s="643"/>
      <c r="BO17" s="643"/>
      <c r="BP17" s="990"/>
      <c r="BQ17" s="991"/>
      <c r="BR17" s="643"/>
      <c r="BS17" s="643"/>
      <c r="BT17" s="990"/>
      <c r="BU17" s="991"/>
      <c r="BV17" s="643"/>
      <c r="BW17" s="643"/>
      <c r="BX17" s="985"/>
      <c r="BZ17" s="650"/>
    </row>
    <row r="18" spans="1:78" x14ac:dyDescent="0.2">
      <c r="A18" s="841" t="s">
        <v>113</v>
      </c>
      <c r="B18" s="11" t="s">
        <v>15</v>
      </c>
      <c r="C18" s="649" t="s">
        <v>820</v>
      </c>
      <c r="D18" s="711">
        <v>2430</v>
      </c>
      <c r="E18" s="828" t="str">
        <f>IFERROR(VLOOKUP(A18,ContainerSchedule!$A:$E,5,0),"")</f>
        <v/>
      </c>
      <c r="F18" s="828">
        <v>46026</v>
      </c>
      <c r="G18" s="828">
        <v>45986</v>
      </c>
      <c r="H18" s="11">
        <f>SUM(L18:AK18)</f>
        <v>2430</v>
      </c>
      <c r="I18" s="711">
        <f t="shared" si="69"/>
        <v>0</v>
      </c>
      <c r="J18" s="1013" cm="1">
        <f t="array" ref="J18">IFERROR(_xlfn.XLOOKUP(TRUE,$L18:$BY18&lt;&gt;"",$L18:$BY18,,0,-1),"")</f>
        <v>696</v>
      </c>
      <c r="K18" s="946">
        <f t="shared" si="70"/>
        <v>46073</v>
      </c>
      <c r="L18" s="12"/>
      <c r="M18" s="147">
        <v>160</v>
      </c>
      <c r="N18" s="147">
        <v>1154</v>
      </c>
      <c r="O18" s="147"/>
      <c r="P18" s="17"/>
      <c r="Q18" s="964"/>
      <c r="R18" s="147">
        <v>420</v>
      </c>
      <c r="S18" s="147"/>
      <c r="T18" s="148"/>
      <c r="U18" s="12"/>
      <c r="V18" s="12"/>
      <c r="W18" s="147">
        <v>696</v>
      </c>
      <c r="X18" s="147"/>
      <c r="Y18" s="17"/>
      <c r="AC18" s="984"/>
      <c r="AD18" s="846"/>
      <c r="AE18" s="846"/>
      <c r="AF18" s="985"/>
      <c r="AG18" s="846"/>
      <c r="AH18" s="846"/>
      <c r="AI18" s="846"/>
      <c r="AJ18" s="846"/>
      <c r="AK18" s="986"/>
      <c r="AL18" s="846"/>
      <c r="AM18" s="846"/>
      <c r="AN18" s="846"/>
      <c r="AO18" s="987"/>
      <c r="AP18" s="988"/>
      <c r="AQ18" s="846"/>
      <c r="AR18" s="846"/>
      <c r="AS18" s="846"/>
      <c r="AT18" s="987"/>
      <c r="AU18" s="988"/>
      <c r="AV18" s="846"/>
      <c r="AW18" s="846"/>
      <c r="AX18" s="846"/>
      <c r="AY18" s="988"/>
      <c r="AZ18" s="846"/>
      <c r="BA18" s="846"/>
      <c r="BB18" s="987"/>
      <c r="BC18" s="846"/>
      <c r="BD18" s="846"/>
      <c r="BE18" s="846"/>
      <c r="BF18" s="846"/>
      <c r="BG18" s="987"/>
      <c r="BH18" s="988"/>
      <c r="BI18" s="846"/>
      <c r="BJ18" s="846"/>
      <c r="BK18" s="987"/>
      <c r="BL18" s="988"/>
      <c r="BM18" s="846"/>
      <c r="BN18" s="846"/>
      <c r="BO18" s="846"/>
      <c r="BP18" s="987"/>
      <c r="BQ18" s="988"/>
      <c r="BR18" s="846"/>
      <c r="BS18" s="846"/>
      <c r="BT18" s="987"/>
      <c r="BU18" s="988"/>
      <c r="BV18" s="846"/>
      <c r="BW18" s="846"/>
      <c r="BX18" s="986"/>
      <c r="BZ18" s="650"/>
    </row>
    <row r="19" spans="1:78" x14ac:dyDescent="0.2">
      <c r="A19" s="633" t="s">
        <v>886</v>
      </c>
      <c r="B19" s="11" t="s">
        <v>4</v>
      </c>
      <c r="C19" s="633" t="s">
        <v>144</v>
      </c>
      <c r="D19" s="11">
        <v>11352</v>
      </c>
      <c r="E19" s="828" t="str">
        <f>IFERROR(VLOOKUP(A19,ContainerSchedule!$A:$E,5,0),"")</f>
        <v/>
      </c>
      <c r="F19" s="828">
        <v>46059</v>
      </c>
      <c r="G19" s="828">
        <v>46040</v>
      </c>
      <c r="H19" s="11">
        <f t="shared" ref="H19:H50" si="71">SUM(L19:BX19)</f>
        <v>11352</v>
      </c>
      <c r="I19" s="711">
        <f t="shared" si="69"/>
        <v>0</v>
      </c>
      <c r="J19" s="947" cm="1">
        <f t="array" ref="J19">IFERROR(_xlfn.XLOOKUP(TRUE,$L19:$BY19&lt;&gt;"",$L19:$BY19,,0,-1),"")</f>
        <v>1490</v>
      </c>
      <c r="K19" s="946">
        <f t="shared" si="70"/>
        <v>46073</v>
      </c>
      <c r="L19" s="12"/>
      <c r="M19" s="12"/>
      <c r="N19" s="147"/>
      <c r="O19" s="12"/>
      <c r="P19" s="17"/>
      <c r="Q19" s="12"/>
      <c r="R19" s="12"/>
      <c r="S19" s="12">
        <v>2537</v>
      </c>
      <c r="T19" s="13">
        <v>2750</v>
      </c>
      <c r="U19" s="965">
        <v>2150</v>
      </c>
      <c r="V19" s="12">
        <v>2425</v>
      </c>
      <c r="W19" s="12">
        <v>1490</v>
      </c>
      <c r="X19" s="585"/>
      <c r="Y19" s="752"/>
      <c r="Z19" s="992"/>
      <c r="AA19" s="12"/>
      <c r="AB19" s="12"/>
      <c r="AC19" s="993"/>
      <c r="AD19" s="585"/>
      <c r="AE19" s="643"/>
      <c r="AF19" s="985"/>
      <c r="AG19" s="643"/>
      <c r="AH19" s="643"/>
      <c r="AI19" s="643"/>
      <c r="AJ19" s="643"/>
      <c r="AK19" s="985"/>
      <c r="AL19" s="643"/>
      <c r="AM19" s="643"/>
      <c r="AN19" s="643"/>
      <c r="AO19" s="990"/>
      <c r="AP19" s="991"/>
      <c r="AQ19" s="643"/>
      <c r="AR19" s="643"/>
      <c r="AS19" s="643"/>
      <c r="AT19" s="990"/>
      <c r="AU19" s="991"/>
      <c r="AV19" s="643"/>
      <c r="AW19" s="643"/>
      <c r="AX19" s="643"/>
      <c r="AY19" s="991"/>
      <c r="AZ19" s="643"/>
      <c r="BA19" s="643"/>
      <c r="BB19" s="990"/>
      <c r="BC19" s="643"/>
      <c r="BD19" s="643"/>
      <c r="BE19" s="643"/>
      <c r="BF19" s="643"/>
      <c r="BG19" s="990"/>
      <c r="BH19" s="991"/>
      <c r="BI19" s="643"/>
      <c r="BJ19" s="643"/>
      <c r="BK19" s="990"/>
      <c r="BL19" s="991"/>
      <c r="BM19" s="643"/>
      <c r="BN19" s="643"/>
      <c r="BO19" s="643"/>
      <c r="BP19" s="990"/>
      <c r="BQ19" s="991"/>
      <c r="BR19" s="643"/>
      <c r="BS19" s="643"/>
      <c r="BT19" s="990"/>
      <c r="BU19" s="991"/>
      <c r="BV19" s="643"/>
      <c r="BW19" s="643"/>
      <c r="BX19" s="985"/>
      <c r="BZ19" s="650"/>
    </row>
    <row r="20" spans="1:78" ht="16" x14ac:dyDescent="0.2">
      <c r="A20" s="843" t="s">
        <v>819</v>
      </c>
      <c r="B20" s="11" t="s">
        <v>29</v>
      </c>
      <c r="C20" s="633" t="s">
        <v>311</v>
      </c>
      <c r="D20" s="11">
        <v>1372</v>
      </c>
      <c r="E20" s="828" t="str">
        <f>IFERROR(VLOOKUP(A20,ContainerSchedule!$A:$E,5,0),"")</f>
        <v/>
      </c>
      <c r="F20" s="828">
        <v>46043</v>
      </c>
      <c r="G20" s="828"/>
      <c r="H20" s="11">
        <f t="shared" si="71"/>
        <v>1372</v>
      </c>
      <c r="I20" s="711">
        <f t="shared" si="69"/>
        <v>0</v>
      </c>
      <c r="J20" s="947" cm="1">
        <f t="array" ref="J20">IFERROR(_xlfn.XLOOKUP(TRUE,$L20:$BY20&lt;&gt;"",$L20:$BY20,,0,-1),"")</f>
        <v>792</v>
      </c>
      <c r="K20" s="946">
        <f t="shared" si="70"/>
        <v>46080</v>
      </c>
      <c r="L20" s="12"/>
      <c r="M20" s="12"/>
      <c r="N20" s="12"/>
      <c r="O20" s="12"/>
      <c r="P20" s="14"/>
      <c r="Q20" s="12"/>
      <c r="R20" s="12"/>
      <c r="S20" s="964"/>
      <c r="T20" s="148"/>
      <c r="U20" s="147"/>
      <c r="V20" s="147">
        <v>580</v>
      </c>
      <c r="W20" s="147"/>
      <c r="X20" s="147">
        <v>792</v>
      </c>
      <c r="Y20" s="146"/>
      <c r="Z20" s="147"/>
      <c r="AA20" s="147"/>
      <c r="AB20" s="147"/>
      <c r="AC20" s="999"/>
      <c r="AD20" s="997"/>
      <c r="AE20" s="997"/>
      <c r="AF20" s="1001"/>
      <c r="AG20" s="1002"/>
      <c r="AH20" s="585"/>
      <c r="AI20" s="643"/>
      <c r="AJ20" s="643"/>
      <c r="AK20" s="985"/>
      <c r="AL20" s="643"/>
      <c r="AM20" s="643"/>
      <c r="AN20" s="643"/>
      <c r="AO20" s="990"/>
      <c r="AP20" s="991"/>
      <c r="AQ20" s="643"/>
      <c r="AR20" s="643"/>
      <c r="AS20" s="643"/>
      <c r="AT20" s="990"/>
      <c r="AU20" s="991"/>
      <c r="AV20" s="643"/>
      <c r="AW20" s="643"/>
      <c r="AX20" s="643"/>
      <c r="AY20" s="991"/>
      <c r="AZ20" s="643"/>
      <c r="BA20" s="643"/>
      <c r="BB20" s="990"/>
      <c r="BC20" s="643"/>
      <c r="BD20" s="643"/>
      <c r="BE20" s="643"/>
      <c r="BF20" s="643"/>
      <c r="BG20" s="990"/>
      <c r="BH20" s="991"/>
      <c r="BI20" s="643"/>
      <c r="BJ20" s="643"/>
      <c r="BK20" s="990"/>
      <c r="BL20" s="991"/>
      <c r="BM20" s="643"/>
      <c r="BN20" s="643"/>
      <c r="BO20" s="643"/>
      <c r="BP20" s="990"/>
      <c r="BQ20" s="991"/>
      <c r="BR20" s="643"/>
      <c r="BS20" s="643"/>
      <c r="BT20" s="990"/>
      <c r="BU20" s="991"/>
      <c r="BV20" s="643"/>
      <c r="BW20" s="643"/>
      <c r="BX20" s="985"/>
      <c r="BZ20" s="650"/>
    </row>
    <row r="21" spans="1:78" x14ac:dyDescent="0.2">
      <c r="A21" s="1018" t="s">
        <v>879</v>
      </c>
      <c r="B21" s="632" t="s">
        <v>4</v>
      </c>
      <c r="C21" s="649" t="s">
        <v>144</v>
      </c>
      <c r="D21" s="632">
        <v>2676</v>
      </c>
      <c r="E21" s="828">
        <f>IFERROR(VLOOKUP(A21,ContainerSchedule!$A:$E,5,0),"")</f>
        <v>46034</v>
      </c>
      <c r="F21" s="828">
        <f>VLOOKUP(A21,ContainerSchedule!$A$1:$F$91,6,0)</f>
        <v>46061</v>
      </c>
      <c r="G21" s="828">
        <v>45705</v>
      </c>
      <c r="H21" s="11">
        <f t="shared" si="71"/>
        <v>2676</v>
      </c>
      <c r="I21" s="837">
        <f t="shared" si="69"/>
        <v>0</v>
      </c>
      <c r="J21" s="948" cm="1">
        <f t="array" ref="J21">IFERROR(_xlfn.XLOOKUP(TRUE,$L21:$BY21&lt;&gt;"",$L21:$BY21,,0,-1),"")</f>
        <v>2676</v>
      </c>
      <c r="K21" s="946">
        <f t="shared" si="70"/>
        <v>46087</v>
      </c>
      <c r="L21" s="137"/>
      <c r="M21" s="137"/>
      <c r="N21" s="137"/>
      <c r="O21" s="137"/>
      <c r="P21" s="247"/>
      <c r="Q21" s="137"/>
      <c r="R21" s="181"/>
      <c r="S21" s="181"/>
      <c r="T21" s="271"/>
      <c r="V21" s="968"/>
      <c r="W21" s="181"/>
      <c r="X21" s="12"/>
      <c r="Y21" s="14">
        <v>2676</v>
      </c>
      <c r="Z21" s="12"/>
      <c r="AA21" s="12"/>
      <c r="AB21" s="181"/>
      <c r="AC21" s="989"/>
      <c r="AD21" s="585"/>
      <c r="AE21" s="643"/>
      <c r="AF21" s="985"/>
      <c r="AG21" s="1002"/>
      <c r="AH21" s="585"/>
      <c r="AI21" s="585"/>
      <c r="AJ21" s="585"/>
      <c r="AK21" s="1003"/>
      <c r="AL21" s="585"/>
      <c r="AM21" s="585"/>
      <c r="AN21" s="585"/>
      <c r="AO21" s="1004"/>
      <c r="AP21" s="1005"/>
      <c r="AQ21" s="643"/>
      <c r="AR21" s="643"/>
      <c r="AS21" s="643"/>
      <c r="AT21" s="990"/>
      <c r="AU21" s="991"/>
      <c r="AV21" s="643"/>
      <c r="AW21" s="643"/>
      <c r="AX21" s="643"/>
      <c r="AY21" s="991"/>
      <c r="AZ21" s="643"/>
      <c r="BA21" s="643"/>
      <c r="BB21" s="990"/>
      <c r="BC21" s="643"/>
      <c r="BD21" s="643"/>
      <c r="BE21" s="643"/>
      <c r="BF21" s="643"/>
      <c r="BG21" s="990"/>
      <c r="BH21" s="991"/>
      <c r="BI21" s="643"/>
      <c r="BJ21" s="643"/>
      <c r="BK21" s="990"/>
      <c r="BL21" s="991"/>
      <c r="BM21" s="643"/>
      <c r="BN21" s="643"/>
      <c r="BO21" s="643"/>
      <c r="BP21" s="990"/>
      <c r="BQ21" s="991"/>
      <c r="BR21" s="643"/>
      <c r="BS21" s="643"/>
      <c r="BT21" s="990"/>
      <c r="BU21" s="991"/>
      <c r="BV21" s="643"/>
      <c r="BW21" s="643"/>
      <c r="BX21" s="985"/>
      <c r="BZ21" s="650"/>
    </row>
    <row r="22" spans="1:78" x14ac:dyDescent="0.2">
      <c r="A22" s="836" t="s">
        <v>879</v>
      </c>
      <c r="B22" s="632" t="s">
        <v>4</v>
      </c>
      <c r="C22" s="649" t="s">
        <v>177</v>
      </c>
      <c r="D22" s="632">
        <v>1512</v>
      </c>
      <c r="E22" s="828">
        <f>IFERROR(VLOOKUP(A22,ContainerSchedule!$A:$E,5,0),"")</f>
        <v>46034</v>
      </c>
      <c r="F22" s="828">
        <f>VLOOKUP(A22,ContainerSchedule!$A$1:$F$91,6,0)</f>
        <v>46061</v>
      </c>
      <c r="G22" s="828">
        <v>45705</v>
      </c>
      <c r="H22" s="11">
        <f t="shared" si="71"/>
        <v>1512</v>
      </c>
      <c r="I22" s="837">
        <f t="shared" si="69"/>
        <v>0</v>
      </c>
      <c r="J22" s="948" cm="1">
        <f t="array" ref="J22">IFERROR(_xlfn.XLOOKUP(TRUE,$L22:$BY22&lt;&gt;"",$L22:$BY22,,0,-1),"")</f>
        <v>937</v>
      </c>
      <c r="K22" s="946">
        <f t="shared" si="70"/>
        <v>46094</v>
      </c>
      <c r="L22" s="137"/>
      <c r="M22" s="137"/>
      <c r="N22" s="137"/>
      <c r="O22" s="137"/>
      <c r="P22" s="247"/>
      <c r="Q22" s="137"/>
      <c r="R22" s="181"/>
      <c r="S22" s="181"/>
      <c r="T22" s="271"/>
      <c r="V22" s="968"/>
      <c r="W22" s="181"/>
      <c r="X22" s="12"/>
      <c r="Y22" s="14">
        <v>575</v>
      </c>
      <c r="Z22" s="12">
        <v>937</v>
      </c>
      <c r="AA22" s="12"/>
      <c r="AB22" s="181"/>
      <c r="AC22" s="989"/>
      <c r="AD22" s="585"/>
      <c r="AE22" s="643"/>
      <c r="AF22" s="985"/>
      <c r="AG22" s="1002"/>
      <c r="AH22" s="585"/>
      <c r="AI22" s="585"/>
      <c r="AJ22" s="585"/>
      <c r="AK22" s="1003"/>
      <c r="AL22" s="585"/>
      <c r="AM22" s="585"/>
      <c r="AN22" s="585"/>
      <c r="AO22" s="1004"/>
      <c r="AP22" s="1005"/>
      <c r="AQ22" s="643"/>
      <c r="AR22" s="643"/>
      <c r="AS22" s="643"/>
      <c r="AT22" s="990"/>
      <c r="AU22" s="991"/>
      <c r="AV22" s="643"/>
      <c r="AW22" s="643"/>
      <c r="AX22" s="643"/>
      <c r="AY22" s="991"/>
      <c r="AZ22" s="643"/>
      <c r="BA22" s="643"/>
      <c r="BB22" s="990"/>
      <c r="BC22" s="643"/>
      <c r="BD22" s="643"/>
      <c r="BE22" s="643"/>
      <c r="BF22" s="643"/>
      <c r="BG22" s="990"/>
      <c r="BH22" s="991"/>
      <c r="BI22" s="643"/>
      <c r="BJ22" s="643"/>
      <c r="BK22" s="990"/>
      <c r="BL22" s="991"/>
      <c r="BM22" s="643"/>
      <c r="BN22" s="643"/>
      <c r="BO22" s="643"/>
      <c r="BP22" s="990"/>
      <c r="BQ22" s="991"/>
      <c r="BR22" s="643"/>
      <c r="BS22" s="643"/>
      <c r="BT22" s="990"/>
      <c r="BU22" s="991"/>
      <c r="BV22" s="643"/>
      <c r="BW22" s="643"/>
      <c r="BX22" s="985"/>
      <c r="BZ22" s="650"/>
    </row>
    <row r="23" spans="1:78" x14ac:dyDescent="0.2">
      <c r="A23" s="836" t="s">
        <v>880</v>
      </c>
      <c r="B23" s="632" t="s">
        <v>4</v>
      </c>
      <c r="C23" s="649" t="s">
        <v>807</v>
      </c>
      <c r="D23" s="632">
        <v>612</v>
      </c>
      <c r="E23" s="828">
        <f>IFERROR(VLOOKUP(A23,ContainerSchedule!$A:$E,5,0),"")</f>
        <v>46048</v>
      </c>
      <c r="F23" s="828">
        <f>VLOOKUP(A23,ContainerSchedule!$A$1:$F$91,6,0)</f>
        <v>46079</v>
      </c>
      <c r="G23" s="828">
        <v>45705</v>
      </c>
      <c r="H23" s="11">
        <f t="shared" si="71"/>
        <v>612</v>
      </c>
      <c r="I23" s="837">
        <f t="shared" si="69"/>
        <v>0</v>
      </c>
      <c r="J23" s="948" cm="1">
        <f t="array" ref="J23">IFERROR(_xlfn.XLOOKUP(TRUE,$L23:$BY23&lt;&gt;"",$L23:$BY23,,0,-1),"")</f>
        <v>612</v>
      </c>
      <c r="K23" s="946">
        <f t="shared" si="70"/>
        <v>46094</v>
      </c>
      <c r="L23" s="137"/>
      <c r="M23" s="137"/>
      <c r="N23" s="137"/>
      <c r="O23" s="137"/>
      <c r="P23" s="247"/>
      <c r="Q23" s="137"/>
      <c r="R23" s="181"/>
      <c r="S23" s="181"/>
      <c r="T23" s="271"/>
      <c r="V23" s="137"/>
      <c r="W23" s="181"/>
      <c r="X23" s="971"/>
      <c r="Y23" s="14"/>
      <c r="Z23" s="12">
        <v>612</v>
      </c>
      <c r="AA23" s="12"/>
      <c r="AB23" s="181"/>
      <c r="AC23" s="989"/>
      <c r="AD23" s="585"/>
      <c r="AE23" s="643"/>
      <c r="AF23" s="985"/>
      <c r="AG23" s="1002"/>
      <c r="AH23" s="585"/>
      <c r="AI23" s="585"/>
      <c r="AJ23" s="585"/>
      <c r="AK23" s="1003"/>
      <c r="AL23" s="585"/>
      <c r="AM23" s="585"/>
      <c r="AN23" s="585"/>
      <c r="AO23" s="1004"/>
      <c r="AP23" s="1005"/>
      <c r="AQ23" s="643"/>
      <c r="AR23" s="643"/>
      <c r="AS23" s="643"/>
      <c r="AT23" s="990"/>
      <c r="AU23" s="991"/>
      <c r="AV23" s="643"/>
      <c r="AW23" s="643"/>
      <c r="AX23" s="643"/>
      <c r="AY23" s="991"/>
      <c r="AZ23" s="643"/>
      <c r="BA23" s="643"/>
      <c r="BB23" s="990"/>
      <c r="BC23" s="643"/>
      <c r="BD23" s="643"/>
      <c r="BE23" s="643"/>
      <c r="BF23" s="643"/>
      <c r="BG23" s="990"/>
      <c r="BH23" s="991"/>
      <c r="BI23" s="643"/>
      <c r="BJ23" s="643"/>
      <c r="BK23" s="990"/>
      <c r="BL23" s="991"/>
      <c r="BM23" s="643"/>
      <c r="BN23" s="643"/>
      <c r="BO23" s="643"/>
      <c r="BP23" s="990"/>
      <c r="BQ23" s="991"/>
      <c r="BR23" s="643"/>
      <c r="BS23" s="643"/>
      <c r="BT23" s="990"/>
      <c r="BU23" s="991"/>
      <c r="BV23" s="643"/>
      <c r="BW23" s="643"/>
      <c r="BX23" s="985"/>
      <c r="BZ23" s="650"/>
    </row>
    <row r="24" spans="1:78" ht="22" customHeight="1" x14ac:dyDescent="0.2">
      <c r="A24" s="836" t="s">
        <v>880</v>
      </c>
      <c r="B24" s="632" t="s">
        <v>4</v>
      </c>
      <c r="C24" s="649" t="s">
        <v>809</v>
      </c>
      <c r="D24" s="632">
        <v>606</v>
      </c>
      <c r="E24" s="828">
        <f>IFERROR(VLOOKUP(A24,ContainerSchedule!$A:$E,5,0),"")</f>
        <v>46048</v>
      </c>
      <c r="F24" s="828">
        <f>VLOOKUP(A24,ContainerSchedule!$A$1:$F$91,6,0)</f>
        <v>46079</v>
      </c>
      <c r="G24" s="828">
        <v>45705</v>
      </c>
      <c r="H24" s="11">
        <f t="shared" si="71"/>
        <v>606</v>
      </c>
      <c r="I24" s="837">
        <f t="shared" si="69"/>
        <v>0</v>
      </c>
      <c r="J24" s="948" cm="1">
        <f t="array" ref="J24">IFERROR(_xlfn.XLOOKUP(TRUE,$L24:$BY24&lt;&gt;"",$L24:$BY24,,0,-1),"")</f>
        <v>606</v>
      </c>
      <c r="K24" s="946">
        <f t="shared" si="70"/>
        <v>46094</v>
      </c>
      <c r="L24" s="137"/>
      <c r="M24" s="137"/>
      <c r="N24" s="137"/>
      <c r="O24" s="137"/>
      <c r="P24" s="247"/>
      <c r="Q24" s="137"/>
      <c r="R24" s="181"/>
      <c r="S24" s="181"/>
      <c r="T24" s="271"/>
      <c r="V24" s="137"/>
      <c r="W24" s="181"/>
      <c r="X24" s="971"/>
      <c r="Y24" s="14"/>
      <c r="Z24" s="12">
        <v>606</v>
      </c>
      <c r="AA24" s="12"/>
      <c r="AB24" s="181"/>
      <c r="AC24" s="989"/>
      <c r="AD24" s="585"/>
      <c r="AE24" s="643"/>
      <c r="AF24" s="985"/>
      <c r="AG24" s="1002"/>
      <c r="AH24" s="585"/>
      <c r="AI24" s="585"/>
      <c r="AJ24" s="585"/>
      <c r="AK24" s="1003"/>
      <c r="AL24" s="585"/>
      <c r="AM24" s="585"/>
      <c r="AN24" s="585"/>
      <c r="AO24" s="1004"/>
      <c r="AP24" s="1005"/>
      <c r="AQ24" s="643"/>
      <c r="AR24" s="643"/>
      <c r="AS24" s="643"/>
      <c r="AT24" s="990"/>
      <c r="AU24" s="991"/>
      <c r="AV24" s="643"/>
      <c r="AW24" s="643"/>
      <c r="AX24" s="643"/>
      <c r="AY24" s="991"/>
      <c r="AZ24" s="643"/>
      <c r="BA24" s="643"/>
      <c r="BB24" s="990"/>
      <c r="BC24" s="643"/>
      <c r="BD24" s="643"/>
      <c r="BE24" s="643"/>
      <c r="BF24" s="643"/>
      <c r="BG24" s="990"/>
      <c r="BH24" s="991"/>
      <c r="BI24" s="643"/>
      <c r="BJ24" s="643"/>
      <c r="BK24" s="990"/>
      <c r="BL24" s="991"/>
      <c r="BM24" s="643"/>
      <c r="BN24" s="643"/>
      <c r="BO24" s="643"/>
      <c r="BP24" s="990"/>
      <c r="BQ24" s="991"/>
      <c r="BR24" s="643"/>
      <c r="BS24" s="643"/>
      <c r="BT24" s="990"/>
      <c r="BU24" s="991"/>
      <c r="BV24" s="643"/>
      <c r="BW24" s="643"/>
      <c r="BX24" s="985"/>
      <c r="BZ24" s="650"/>
    </row>
    <row r="25" spans="1:78" ht="21" customHeight="1" x14ac:dyDescent="0.2">
      <c r="A25" s="836" t="s">
        <v>881</v>
      </c>
      <c r="B25" s="632" t="s">
        <v>4</v>
      </c>
      <c r="C25" s="649" t="s">
        <v>281</v>
      </c>
      <c r="D25" s="632">
        <v>600</v>
      </c>
      <c r="E25" s="828">
        <f>IFERROR(VLOOKUP(A25,ContainerSchedule!$A:$E,5,0),"")</f>
        <v>46048</v>
      </c>
      <c r="F25" s="828">
        <f>VLOOKUP(A25,ContainerSchedule!$A$1:$F$91,6,0)</f>
        <v>46079</v>
      </c>
      <c r="G25" s="828">
        <v>45705</v>
      </c>
      <c r="H25" s="11">
        <f t="shared" si="71"/>
        <v>600</v>
      </c>
      <c r="I25" s="837">
        <f t="shared" si="69"/>
        <v>0</v>
      </c>
      <c r="J25" s="948" cm="1">
        <f t="array" ref="J25">IFERROR(_xlfn.XLOOKUP(TRUE,$L25:$BY25&lt;&gt;"",$L25:$BY25,,0,-1),"")</f>
        <v>600</v>
      </c>
      <c r="K25" s="946">
        <f t="shared" si="70"/>
        <v>46094</v>
      </c>
      <c r="L25" s="137"/>
      <c r="M25" s="137"/>
      <c r="N25" s="137"/>
      <c r="O25" s="137"/>
      <c r="P25" s="247"/>
      <c r="Q25" s="137"/>
      <c r="R25" s="181"/>
      <c r="S25" s="181"/>
      <c r="T25" s="271"/>
      <c r="V25" s="137"/>
      <c r="W25" s="181"/>
      <c r="X25" s="971"/>
      <c r="Y25" s="14"/>
      <c r="Z25" s="12">
        <v>600</v>
      </c>
      <c r="AA25" s="12"/>
      <c r="AB25" s="181"/>
      <c r="AC25" s="989"/>
      <c r="AD25" s="585"/>
      <c r="AE25" s="643"/>
      <c r="AF25" s="985"/>
      <c r="AG25" s="1002"/>
      <c r="AH25" s="585"/>
      <c r="AI25" s="585"/>
      <c r="AJ25" s="585"/>
      <c r="AK25" s="1003"/>
      <c r="AL25" s="585"/>
      <c r="AM25" s="585"/>
      <c r="AN25" s="585"/>
      <c r="AO25" s="1004"/>
      <c r="AP25" s="1005"/>
      <c r="AQ25" s="643"/>
      <c r="AR25" s="643"/>
      <c r="AS25" s="643"/>
      <c r="AT25" s="990"/>
      <c r="AU25" s="991"/>
      <c r="AV25" s="643"/>
      <c r="AW25" s="643"/>
      <c r="AX25" s="643"/>
      <c r="AY25" s="991"/>
      <c r="AZ25" s="643"/>
      <c r="BA25" s="643"/>
      <c r="BB25" s="990"/>
      <c r="BC25" s="643"/>
      <c r="BD25" s="643"/>
      <c r="BE25" s="643"/>
      <c r="BF25" s="643"/>
      <c r="BG25" s="990"/>
      <c r="BH25" s="991"/>
      <c r="BI25" s="643"/>
      <c r="BJ25" s="643"/>
      <c r="BK25" s="990"/>
      <c r="BL25" s="991"/>
      <c r="BM25" s="643"/>
      <c r="BN25" s="643"/>
      <c r="BO25" s="643"/>
      <c r="BP25" s="990"/>
      <c r="BQ25" s="991"/>
      <c r="BR25" s="643"/>
      <c r="BS25" s="643"/>
      <c r="BT25" s="990"/>
      <c r="BU25" s="991"/>
      <c r="BV25" s="643"/>
      <c r="BW25" s="643"/>
      <c r="BX25" s="985"/>
      <c r="BZ25" s="650"/>
    </row>
    <row r="26" spans="1:78" x14ac:dyDescent="0.2">
      <c r="A26" s="841">
        <v>4700626667</v>
      </c>
      <c r="B26" s="11" t="s">
        <v>201</v>
      </c>
      <c r="C26" s="633" t="s">
        <v>829</v>
      </c>
      <c r="D26" s="11">
        <v>480</v>
      </c>
      <c r="E26" s="828" t="str">
        <f>IFERROR(VLOOKUP(A26,ContainerSchedule!$A:$E,5,0),"")</f>
        <v/>
      </c>
      <c r="F26" s="828">
        <v>45775</v>
      </c>
      <c r="G26" s="828">
        <v>46032</v>
      </c>
      <c r="H26" s="11">
        <f t="shared" si="71"/>
        <v>480</v>
      </c>
      <c r="I26" s="711">
        <f t="shared" si="69"/>
        <v>0</v>
      </c>
      <c r="J26" s="947" cm="1">
        <f t="array" ref="J26">IFERROR(_xlfn.XLOOKUP(TRUE,$L26:$BY26&lt;&gt;"",$L26:$BY26,,0,-1),"")</f>
        <v>280</v>
      </c>
      <c r="K26" s="946">
        <f t="shared" si="70"/>
        <v>46101</v>
      </c>
      <c r="P26" s="17"/>
      <c r="Q26" s="143"/>
      <c r="R26" s="181"/>
      <c r="S26" s="144"/>
      <c r="T26" s="145"/>
      <c r="V26" s="181"/>
      <c r="X26" s="585"/>
      <c r="Y26" s="247"/>
      <c r="Z26" s="994">
        <v>200</v>
      </c>
      <c r="AA26" s="994">
        <v>280</v>
      </c>
      <c r="AB26" s="137"/>
      <c r="AC26" s="989"/>
      <c r="AD26" s="585"/>
      <c r="AE26" s="643"/>
      <c r="AF26" s="985"/>
      <c r="AG26" s="643"/>
      <c r="AH26" s="643"/>
      <c r="AI26" s="643"/>
      <c r="AJ26" s="643"/>
      <c r="AK26" s="985"/>
      <c r="AL26" s="643"/>
      <c r="AM26" s="643"/>
      <c r="AN26" s="643"/>
      <c r="AO26" s="990"/>
      <c r="AP26" s="991"/>
      <c r="AQ26" s="643"/>
      <c r="AR26" s="643"/>
      <c r="AS26" s="643"/>
      <c r="AT26" s="990"/>
      <c r="AU26" s="991"/>
      <c r="AV26" s="643"/>
      <c r="AW26" s="643"/>
      <c r="AX26" s="643"/>
      <c r="AY26" s="991"/>
      <c r="AZ26" s="643"/>
      <c r="BA26" s="643"/>
      <c r="BB26" s="990"/>
      <c r="BC26" s="643"/>
      <c r="BD26" s="643"/>
      <c r="BE26" s="643"/>
      <c r="BF26" s="643"/>
      <c r="BG26" s="990"/>
      <c r="BH26" s="991"/>
      <c r="BI26" s="643"/>
      <c r="BJ26" s="643"/>
      <c r="BK26" s="990"/>
      <c r="BL26" s="991"/>
      <c r="BM26" s="643"/>
      <c r="BN26" s="643"/>
      <c r="BO26" s="643"/>
      <c r="BP26" s="990"/>
      <c r="BQ26" s="991"/>
      <c r="BR26" s="643"/>
      <c r="BS26" s="643"/>
      <c r="BT26" s="990"/>
      <c r="BU26" s="991"/>
      <c r="BV26" s="643"/>
      <c r="BW26" s="643"/>
      <c r="BX26" s="985"/>
      <c r="BZ26" s="650"/>
    </row>
    <row r="27" spans="1:78" x14ac:dyDescent="0.2">
      <c r="A27" s="841">
        <v>4700626667</v>
      </c>
      <c r="B27" s="11" t="s">
        <v>201</v>
      </c>
      <c r="C27" s="633" t="s">
        <v>830</v>
      </c>
      <c r="D27" s="11">
        <v>600</v>
      </c>
      <c r="E27" s="828" t="str">
        <f>IFERROR(VLOOKUP(A27,ContainerSchedule!$A:$E,5,0),"")</f>
        <v/>
      </c>
      <c r="F27" s="828">
        <v>45693</v>
      </c>
      <c r="G27" s="828">
        <v>46032</v>
      </c>
      <c r="H27" s="11">
        <f t="shared" si="71"/>
        <v>600</v>
      </c>
      <c r="I27" s="711">
        <f t="shared" si="69"/>
        <v>0</v>
      </c>
      <c r="J27" s="947" cm="1">
        <f t="array" ref="J27">IFERROR(_xlfn.XLOOKUP(TRUE,$L27:$BY27&lt;&gt;"",$L27:$BY27,,0,-1),"")</f>
        <v>600</v>
      </c>
      <c r="K27" s="946">
        <f t="shared" si="70"/>
        <v>46101</v>
      </c>
      <c r="P27" s="17"/>
      <c r="Q27" s="143"/>
      <c r="R27" s="181"/>
      <c r="S27" s="144"/>
      <c r="T27" s="145"/>
      <c r="V27" s="181"/>
      <c r="X27" s="585"/>
      <c r="Y27" s="247"/>
      <c r="Z27" s="994"/>
      <c r="AA27" s="994">
        <v>600</v>
      </c>
      <c r="AB27" s="137"/>
      <c r="AC27" s="989"/>
      <c r="AD27" s="585"/>
      <c r="AE27" s="643"/>
      <c r="AF27" s="985"/>
      <c r="AG27" s="643"/>
      <c r="AH27" s="643"/>
      <c r="AI27" s="643"/>
      <c r="AJ27" s="643"/>
      <c r="AK27" s="985"/>
      <c r="AL27" s="643"/>
      <c r="AM27" s="643"/>
      <c r="AN27" s="643"/>
      <c r="AO27" s="990"/>
      <c r="AP27" s="991"/>
      <c r="AQ27" s="643"/>
      <c r="AR27" s="643"/>
      <c r="AS27" s="643"/>
      <c r="AT27" s="990"/>
      <c r="AU27" s="991"/>
      <c r="AV27" s="643"/>
      <c r="AW27" s="643"/>
      <c r="AX27" s="643"/>
      <c r="AY27" s="991"/>
      <c r="AZ27" s="643"/>
      <c r="BA27" s="643"/>
      <c r="BB27" s="990"/>
      <c r="BC27" s="643"/>
      <c r="BD27" s="643"/>
      <c r="BE27" s="643"/>
      <c r="BF27" s="643"/>
      <c r="BG27" s="990"/>
      <c r="BH27" s="991"/>
      <c r="BI27" s="643"/>
      <c r="BJ27" s="643"/>
      <c r="BK27" s="990"/>
      <c r="BL27" s="991"/>
      <c r="BM27" s="643"/>
      <c r="BN27" s="643"/>
      <c r="BO27" s="643"/>
      <c r="BP27" s="990"/>
      <c r="BQ27" s="991"/>
      <c r="BR27" s="643"/>
      <c r="BS27" s="643"/>
      <c r="BT27" s="990"/>
      <c r="BU27" s="991"/>
      <c r="BV27" s="643"/>
      <c r="BW27" s="643"/>
      <c r="BX27" s="985"/>
      <c r="BZ27" s="650"/>
    </row>
    <row r="28" spans="1:78" x14ac:dyDescent="0.2">
      <c r="A28" s="845" t="s">
        <v>876</v>
      </c>
      <c r="B28" s="632" t="s">
        <v>4</v>
      </c>
      <c r="C28" s="649" t="s">
        <v>807</v>
      </c>
      <c r="D28" s="632">
        <v>642</v>
      </c>
      <c r="E28" s="828">
        <f>IFERROR(VLOOKUP(A28,ContainerSchedule!$A:$E,5,0),"")</f>
        <v>46058</v>
      </c>
      <c r="F28" s="828">
        <f>VLOOKUP(A28,ContainerSchedule!$A$1:$F$91,6,0)</f>
        <v>46084</v>
      </c>
      <c r="G28" s="831">
        <v>46099</v>
      </c>
      <c r="H28" s="11">
        <f t="shared" si="71"/>
        <v>642</v>
      </c>
      <c r="I28" s="837">
        <f t="shared" si="69"/>
        <v>0</v>
      </c>
      <c r="J28" s="948" cm="1">
        <f t="array" ref="J28">IFERROR(_xlfn.XLOOKUP(TRUE,$L28:$BY28&lt;&gt;"",$L28:$BY28,,0,-1),"")</f>
        <v>642</v>
      </c>
      <c r="K28" s="946">
        <f t="shared" si="70"/>
        <v>46101</v>
      </c>
      <c r="P28" s="17"/>
      <c r="R28" s="181"/>
      <c r="S28" s="181"/>
      <c r="T28" s="18"/>
      <c r="W28" s="181"/>
      <c r="X28" s="181"/>
      <c r="Y28" s="973"/>
      <c r="Z28" s="137"/>
      <c r="AA28" s="12">
        <v>642</v>
      </c>
      <c r="AB28" s="12"/>
      <c r="AC28" s="989"/>
      <c r="AD28" s="585"/>
      <c r="AE28" s="643"/>
      <c r="AF28" s="985"/>
      <c r="AG28" s="585"/>
      <c r="AH28" s="585"/>
      <c r="AI28" s="585"/>
      <c r="AJ28" s="585"/>
      <c r="AK28" s="1003"/>
      <c r="AL28" s="585"/>
      <c r="AM28" s="585"/>
      <c r="AN28" s="585"/>
      <c r="AO28" s="1004"/>
      <c r="AP28" s="1005"/>
      <c r="AQ28" s="643"/>
      <c r="AR28" s="643"/>
      <c r="AS28" s="643"/>
      <c r="AT28" s="990"/>
      <c r="AU28" s="991"/>
      <c r="AV28" s="643"/>
      <c r="AW28" s="643"/>
      <c r="AX28" s="643"/>
      <c r="AY28" s="991"/>
      <c r="AZ28" s="643"/>
      <c r="BA28" s="643"/>
      <c r="BB28" s="990"/>
      <c r="BC28" s="643"/>
      <c r="BD28" s="643"/>
      <c r="BE28" s="643"/>
      <c r="BF28" s="643"/>
      <c r="BG28" s="990"/>
      <c r="BH28" s="991"/>
      <c r="BI28" s="643"/>
      <c r="BJ28" s="643"/>
      <c r="BK28" s="990"/>
      <c r="BL28" s="991"/>
      <c r="BM28" s="643"/>
      <c r="BN28" s="643"/>
      <c r="BO28" s="643"/>
      <c r="BP28" s="990"/>
      <c r="BQ28" s="991"/>
      <c r="BR28" s="643"/>
      <c r="BS28" s="643"/>
      <c r="BT28" s="990"/>
      <c r="BU28" s="991"/>
      <c r="BV28" s="643"/>
      <c r="BW28" s="643"/>
      <c r="BX28" s="985"/>
      <c r="BZ28" s="650"/>
    </row>
    <row r="29" spans="1:78" ht="16" x14ac:dyDescent="0.2">
      <c r="A29" s="850" t="s">
        <v>817</v>
      </c>
      <c r="B29" s="11" t="s">
        <v>29</v>
      </c>
      <c r="C29" s="633" t="s">
        <v>311</v>
      </c>
      <c r="D29" s="11">
        <v>488</v>
      </c>
      <c r="E29" s="828">
        <f>IFERROR(VLOOKUP(A29,ContainerSchedule!$A:$E,5,0),"")</f>
        <v>46034</v>
      </c>
      <c r="F29" s="828">
        <f>VLOOKUP(A29,ContainerSchedule!$A$1:$F$91,6,0)</f>
        <v>46061</v>
      </c>
      <c r="G29" s="828"/>
      <c r="H29" s="11">
        <f t="shared" si="71"/>
        <v>488</v>
      </c>
      <c r="I29" s="711">
        <f t="shared" si="69"/>
        <v>0</v>
      </c>
      <c r="J29" s="947" cm="1">
        <f t="array" ref="J29">IFERROR(_xlfn.XLOOKUP(TRUE,$L29:$BY29&lt;&gt;"",$L29:$BY29,,0,-1),"")</f>
        <v>488</v>
      </c>
      <c r="K29" s="946">
        <f t="shared" si="70"/>
        <v>46108</v>
      </c>
      <c r="L29" s="12"/>
      <c r="M29" s="12"/>
      <c r="N29" s="12"/>
      <c r="O29" s="12"/>
      <c r="P29" s="14"/>
      <c r="Q29" s="12"/>
      <c r="R29" s="12"/>
      <c r="S29" s="147"/>
      <c r="T29" s="148"/>
      <c r="U29" s="147"/>
      <c r="V29" s="964"/>
      <c r="W29" s="147"/>
      <c r="X29" s="147"/>
      <c r="Y29" s="146"/>
      <c r="Z29" s="147"/>
      <c r="AA29" s="147"/>
      <c r="AB29" s="147">
        <v>488</v>
      </c>
      <c r="AC29" s="999"/>
      <c r="AD29" s="997"/>
      <c r="AE29" s="997"/>
      <c r="AF29" s="1001"/>
      <c r="AG29" s="1002"/>
      <c r="AH29" s="585"/>
      <c r="AI29" s="643"/>
      <c r="AJ29" s="643"/>
      <c r="AK29" s="985"/>
      <c r="AL29" s="643"/>
      <c r="AM29" s="643"/>
      <c r="AN29" s="643"/>
      <c r="AO29" s="990"/>
      <c r="AP29" s="991"/>
      <c r="AQ29" s="643"/>
      <c r="AR29" s="643"/>
      <c r="AS29" s="643"/>
      <c r="AT29" s="990"/>
      <c r="AU29" s="991"/>
      <c r="AV29" s="643"/>
      <c r="AW29" s="643"/>
      <c r="AX29" s="643"/>
      <c r="AY29" s="991"/>
      <c r="AZ29" s="643"/>
      <c r="BA29" s="643"/>
      <c r="BB29" s="990"/>
      <c r="BC29" s="643"/>
      <c r="BD29" s="643"/>
      <c r="BE29" s="643"/>
      <c r="BF29" s="643"/>
      <c r="BG29" s="990"/>
      <c r="BH29" s="991"/>
      <c r="BI29" s="643"/>
      <c r="BJ29" s="643"/>
      <c r="BK29" s="990"/>
      <c r="BL29" s="991"/>
      <c r="BM29" s="643"/>
      <c r="BN29" s="643"/>
      <c r="BO29" s="643"/>
      <c r="BP29" s="990"/>
      <c r="BQ29" s="991"/>
      <c r="BR29" s="643"/>
      <c r="BS29" s="643"/>
      <c r="BT29" s="990"/>
      <c r="BU29" s="991"/>
      <c r="BV29" s="643"/>
      <c r="BW29" s="643"/>
      <c r="BX29" s="985"/>
      <c r="BZ29" s="650"/>
    </row>
    <row r="30" spans="1:78" x14ac:dyDescent="0.2">
      <c r="A30" s="845" t="s">
        <v>875</v>
      </c>
      <c r="B30" s="632" t="s">
        <v>4</v>
      </c>
      <c r="C30" s="649" t="s">
        <v>177</v>
      </c>
      <c r="D30" s="632">
        <v>624</v>
      </c>
      <c r="E30" s="828">
        <f>IFERROR(VLOOKUP(A30,ContainerSchedule!$A:$E,5,0),"")</f>
        <v>46058</v>
      </c>
      <c r="F30" s="828">
        <f>VLOOKUP(A30,ContainerSchedule!$A$1:$F$91,6,0)</f>
        <v>46084</v>
      </c>
      <c r="G30" s="831">
        <v>46099</v>
      </c>
      <c r="H30" s="11">
        <f t="shared" si="71"/>
        <v>624</v>
      </c>
      <c r="I30" s="837">
        <f t="shared" si="69"/>
        <v>0</v>
      </c>
      <c r="J30" s="948" cm="1">
        <f t="array" ref="J30">IFERROR(_xlfn.XLOOKUP(TRUE,$L30:$BY30&lt;&gt;"",$L30:$BY30,,0,-1),"")</f>
        <v>624</v>
      </c>
      <c r="K30" s="946">
        <f t="shared" si="70"/>
        <v>46108</v>
      </c>
      <c r="P30" s="17"/>
      <c r="R30" s="181"/>
      <c r="S30" s="181"/>
      <c r="T30" s="18"/>
      <c r="W30" s="181"/>
      <c r="X30" s="181"/>
      <c r="Y30" s="973"/>
      <c r="Z30" s="12"/>
      <c r="AA30" s="12"/>
      <c r="AB30" s="12">
        <v>624</v>
      </c>
      <c r="AC30" s="989"/>
      <c r="AD30" s="585"/>
      <c r="AE30" s="643"/>
      <c r="AF30" s="985"/>
      <c r="AG30" s="585"/>
      <c r="AH30" s="585"/>
      <c r="AI30" s="585"/>
      <c r="AJ30" s="585"/>
      <c r="AK30" s="1003"/>
      <c r="AL30" s="585"/>
      <c r="AM30" s="585"/>
      <c r="AN30" s="585"/>
      <c r="AO30" s="1004"/>
      <c r="AP30" s="1005"/>
      <c r="AQ30" s="643"/>
      <c r="AR30" s="643"/>
      <c r="AS30" s="643"/>
      <c r="AT30" s="990"/>
      <c r="AU30" s="991"/>
      <c r="AV30" s="643"/>
      <c r="AW30" s="643"/>
      <c r="AX30" s="643"/>
      <c r="AY30" s="991"/>
      <c r="AZ30" s="643"/>
      <c r="BA30" s="643"/>
      <c r="BB30" s="990"/>
      <c r="BC30" s="643"/>
      <c r="BD30" s="643"/>
      <c r="BE30" s="643"/>
      <c r="BF30" s="643"/>
      <c r="BG30" s="990"/>
      <c r="BH30" s="991"/>
      <c r="BI30" s="643"/>
      <c r="BJ30" s="643"/>
      <c r="BK30" s="990"/>
      <c r="BL30" s="991"/>
      <c r="BM30" s="643"/>
      <c r="BN30" s="643"/>
      <c r="BO30" s="643"/>
      <c r="BP30" s="990"/>
      <c r="BQ30" s="991"/>
      <c r="BR30" s="643"/>
      <c r="BS30" s="643"/>
      <c r="BT30" s="990"/>
      <c r="BU30" s="991"/>
      <c r="BV30" s="643"/>
      <c r="BW30" s="643"/>
      <c r="BX30" s="985"/>
      <c r="BZ30" s="650"/>
    </row>
    <row r="31" spans="1:78" x14ac:dyDescent="0.2">
      <c r="A31" s="836" t="s">
        <v>875</v>
      </c>
      <c r="B31" s="632" t="s">
        <v>4</v>
      </c>
      <c r="C31" s="649" t="s">
        <v>144</v>
      </c>
      <c r="D31" s="632">
        <v>648</v>
      </c>
      <c r="E31" s="828">
        <f>IFERROR(VLOOKUP(A31,ContainerSchedule!$A:$E,5,0),"")</f>
        <v>46058</v>
      </c>
      <c r="F31" s="828">
        <f>VLOOKUP(A31,ContainerSchedule!$A$1:$F$91,6,0)</f>
        <v>46084</v>
      </c>
      <c r="G31" s="831">
        <v>46099</v>
      </c>
      <c r="H31" s="11">
        <f t="shared" si="71"/>
        <v>648</v>
      </c>
      <c r="I31" s="837">
        <f t="shared" si="69"/>
        <v>0</v>
      </c>
      <c r="J31" s="948" cm="1">
        <f t="array" ref="J31">IFERROR(_xlfn.XLOOKUP(TRUE,$L31:$BY31&lt;&gt;"",$L31:$BY31,,0,-1),"")</f>
        <v>648</v>
      </c>
      <c r="K31" s="946">
        <f t="shared" si="70"/>
        <v>46108</v>
      </c>
      <c r="P31" s="17"/>
      <c r="R31" s="181"/>
      <c r="S31" s="181"/>
      <c r="T31" s="18"/>
      <c r="W31" s="181"/>
      <c r="X31" s="181"/>
      <c r="Y31" s="973"/>
      <c r="Z31" s="137"/>
      <c r="AA31" s="12"/>
      <c r="AB31" s="12">
        <v>648</v>
      </c>
      <c r="AC31" s="989"/>
      <c r="AD31" s="585"/>
      <c r="AE31" s="643"/>
      <c r="AF31" s="985"/>
      <c r="AG31" s="585"/>
      <c r="AH31" s="585"/>
      <c r="AI31" s="585"/>
      <c r="AJ31" s="585"/>
      <c r="AK31" s="1003"/>
      <c r="AL31" s="585"/>
      <c r="AM31" s="585"/>
      <c r="AN31" s="585"/>
      <c r="AO31" s="1004"/>
      <c r="AP31" s="1005"/>
      <c r="AQ31" s="643"/>
      <c r="AR31" s="643"/>
      <c r="AS31" s="643"/>
      <c r="AT31" s="990"/>
      <c r="AU31" s="991"/>
      <c r="AV31" s="643"/>
      <c r="AW31" s="643"/>
      <c r="AX31" s="643"/>
      <c r="AY31" s="991"/>
      <c r="AZ31" s="643"/>
      <c r="BA31" s="643"/>
      <c r="BB31" s="990"/>
      <c r="BC31" s="643"/>
      <c r="BD31" s="643"/>
      <c r="BE31" s="643"/>
      <c r="BF31" s="643"/>
      <c r="BG31" s="990"/>
      <c r="BH31" s="991"/>
      <c r="BI31" s="643"/>
      <c r="BJ31" s="643"/>
      <c r="BK31" s="990"/>
      <c r="BL31" s="991"/>
      <c r="BM31" s="643"/>
      <c r="BN31" s="643"/>
      <c r="BO31" s="643"/>
      <c r="BP31" s="990"/>
      <c r="BQ31" s="991"/>
      <c r="BR31" s="643"/>
      <c r="BS31" s="643"/>
      <c r="BT31" s="990"/>
      <c r="BU31" s="991"/>
      <c r="BV31" s="643"/>
      <c r="BW31" s="643"/>
      <c r="BX31" s="985"/>
      <c r="BZ31" s="650"/>
    </row>
    <row r="32" spans="1:78" ht="18" customHeight="1" x14ac:dyDescent="0.2">
      <c r="A32" s="1016" t="s">
        <v>876</v>
      </c>
      <c r="B32" s="632" t="s">
        <v>4</v>
      </c>
      <c r="C32" s="649" t="s">
        <v>809</v>
      </c>
      <c r="D32" s="632">
        <v>654</v>
      </c>
      <c r="E32" s="828">
        <f>IFERROR(VLOOKUP(A32,ContainerSchedule!$A:$E,5,0),"")</f>
        <v>46058</v>
      </c>
      <c r="F32" s="828">
        <f>VLOOKUP(A32,ContainerSchedule!$A$1:$F$91,6,0)</f>
        <v>46084</v>
      </c>
      <c r="G32" s="831">
        <v>46099</v>
      </c>
      <c r="H32" s="11">
        <f t="shared" si="71"/>
        <v>654</v>
      </c>
      <c r="I32" s="837">
        <f t="shared" si="69"/>
        <v>0</v>
      </c>
      <c r="J32" s="948" cm="1">
        <f t="array" ref="J32">IFERROR(_xlfn.XLOOKUP(TRUE,$L32:$BY32&lt;&gt;"",$L32:$BY32,,0,-1),"")</f>
        <v>654</v>
      </c>
      <c r="K32" s="946">
        <f t="shared" si="70"/>
        <v>46108</v>
      </c>
      <c r="P32" s="17"/>
      <c r="R32" s="181"/>
      <c r="S32" s="181"/>
      <c r="T32" s="18"/>
      <c r="W32" s="181"/>
      <c r="X32" s="181"/>
      <c r="Y32" s="973"/>
      <c r="Z32" s="137"/>
      <c r="AA32" s="12"/>
      <c r="AB32" s="12">
        <v>654</v>
      </c>
      <c r="AC32" s="989"/>
      <c r="AD32" s="585"/>
      <c r="AE32" s="643"/>
      <c r="AF32" s="985"/>
      <c r="AG32" s="585"/>
      <c r="AH32" s="585"/>
      <c r="AI32" s="585"/>
      <c r="AJ32" s="585"/>
      <c r="AK32" s="1003"/>
      <c r="AL32" s="585"/>
      <c r="AM32" s="585"/>
      <c r="AN32" s="585"/>
      <c r="AO32" s="1004"/>
      <c r="AP32" s="1005"/>
      <c r="AQ32" s="643"/>
      <c r="AR32" s="643"/>
      <c r="AS32" s="643"/>
      <c r="AT32" s="990"/>
      <c r="AU32" s="991"/>
      <c r="AV32" s="643"/>
      <c r="AW32" s="643"/>
      <c r="AX32" s="643"/>
      <c r="AY32" s="991"/>
      <c r="AZ32" s="643"/>
      <c r="BA32" s="643"/>
      <c r="BB32" s="990"/>
      <c r="BC32" s="643"/>
      <c r="BD32" s="643"/>
      <c r="BE32" s="643"/>
      <c r="BF32" s="643"/>
      <c r="BG32" s="990"/>
      <c r="BH32" s="991"/>
      <c r="BI32" s="643"/>
      <c r="BJ32" s="643"/>
      <c r="BK32" s="990"/>
      <c r="BL32" s="991"/>
      <c r="BM32" s="643"/>
      <c r="BN32" s="643"/>
      <c r="BO32" s="643"/>
      <c r="BP32" s="990"/>
      <c r="BQ32" s="991"/>
      <c r="BR32" s="643"/>
      <c r="BS32" s="643"/>
      <c r="BT32" s="990"/>
      <c r="BU32" s="991"/>
      <c r="BV32" s="643"/>
      <c r="BW32" s="643"/>
      <c r="BX32" s="985"/>
      <c r="BZ32" s="650"/>
    </row>
    <row r="33" spans="1:78" ht="18" customHeight="1" x14ac:dyDescent="0.2">
      <c r="A33" s="1015" t="s">
        <v>878</v>
      </c>
      <c r="B33" s="632" t="s">
        <v>4</v>
      </c>
      <c r="C33" s="649" t="s">
        <v>278</v>
      </c>
      <c r="D33" s="632">
        <v>930</v>
      </c>
      <c r="E33" s="828">
        <f>IFERROR(VLOOKUP(A33,ContainerSchedule!$A:$E,5,0),"")</f>
        <v>46057</v>
      </c>
      <c r="F33" s="828">
        <f>VLOOKUP(A33,ContainerSchedule!$A$1:$F$91,6,0)</f>
        <v>46084</v>
      </c>
      <c r="G33" s="831">
        <v>46099</v>
      </c>
      <c r="H33" s="11">
        <f t="shared" si="71"/>
        <v>930</v>
      </c>
      <c r="I33" s="837">
        <f t="shared" si="69"/>
        <v>0</v>
      </c>
      <c r="J33" s="948" cm="1">
        <f t="array" ref="J33">IFERROR(_xlfn.XLOOKUP(TRUE,$L33:$BY33&lt;&gt;"",$L33:$BY33,,0,-1),"")</f>
        <v>930</v>
      </c>
      <c r="K33" s="946">
        <f t="shared" si="70"/>
        <v>46108</v>
      </c>
      <c r="P33" s="17"/>
      <c r="R33" s="181"/>
      <c r="S33" s="181"/>
      <c r="T33" s="18"/>
      <c r="W33" s="181"/>
      <c r="X33" s="181"/>
      <c r="Y33" s="973"/>
      <c r="Z33" s="137"/>
      <c r="AA33" s="12"/>
      <c r="AB33" s="137">
        <v>930</v>
      </c>
      <c r="AC33" s="993"/>
      <c r="AD33" s="585"/>
      <c r="AE33" s="643"/>
      <c r="AF33" s="985"/>
      <c r="AG33" s="585"/>
      <c r="AH33" s="585"/>
      <c r="AI33" s="585"/>
      <c r="AJ33" s="585"/>
      <c r="AK33" s="1003"/>
      <c r="AL33" s="585"/>
      <c r="AM33" s="585"/>
      <c r="AN33" s="585"/>
      <c r="AO33" s="1004"/>
      <c r="AP33" s="1005"/>
      <c r="AQ33" s="643"/>
      <c r="AR33" s="643"/>
      <c r="AS33" s="643"/>
      <c r="AT33" s="990"/>
      <c r="AU33" s="991"/>
      <c r="AV33" s="643"/>
      <c r="AW33" s="643"/>
      <c r="AX33" s="643"/>
      <c r="AY33" s="991"/>
      <c r="AZ33" s="643"/>
      <c r="BA33" s="643"/>
      <c r="BB33" s="990"/>
      <c r="BC33" s="643"/>
      <c r="BD33" s="643"/>
      <c r="BE33" s="643"/>
      <c r="BF33" s="643"/>
      <c r="BG33" s="990"/>
      <c r="BH33" s="991"/>
      <c r="BI33" s="643"/>
      <c r="BJ33" s="643"/>
      <c r="BK33" s="990"/>
      <c r="BL33" s="991"/>
      <c r="BM33" s="643"/>
      <c r="BN33" s="643"/>
      <c r="BO33" s="643"/>
      <c r="BP33" s="990"/>
      <c r="BQ33" s="991"/>
      <c r="BR33" s="643"/>
      <c r="BS33" s="643"/>
      <c r="BT33" s="990"/>
      <c r="BU33" s="991"/>
      <c r="BV33" s="643"/>
      <c r="BW33" s="643"/>
      <c r="BX33" s="985"/>
      <c r="BZ33" s="650"/>
    </row>
    <row r="34" spans="1:78" ht="18" customHeight="1" x14ac:dyDescent="0.2">
      <c r="A34" s="633">
        <v>339472</v>
      </c>
      <c r="B34" s="11" t="s">
        <v>15</v>
      </c>
      <c r="C34" s="649" t="s">
        <v>820</v>
      </c>
      <c r="D34" s="711">
        <v>2502</v>
      </c>
      <c r="E34" s="828" t="str">
        <f>IFERROR(VLOOKUP(A34,ContainerSchedule!$A:$E,5,0),"")</f>
        <v/>
      </c>
      <c r="F34" s="828">
        <v>45994</v>
      </c>
      <c r="G34" s="828">
        <v>46016</v>
      </c>
      <c r="H34" s="11">
        <f t="shared" si="71"/>
        <v>2502</v>
      </c>
      <c r="I34" s="711">
        <f t="shared" si="69"/>
        <v>0</v>
      </c>
      <c r="J34" s="947" cm="1">
        <f t="array" ref="J34">IFERROR(_xlfn.XLOOKUP(TRUE,$L34:$BY34&lt;&gt;"",$L34:$BY34,,0,-1),"")</f>
        <v>1018</v>
      </c>
      <c r="K34" s="946">
        <f t="shared" si="70"/>
        <v>46115</v>
      </c>
      <c r="L34" s="969"/>
      <c r="M34" s="766"/>
      <c r="N34" s="147">
        <v>660</v>
      </c>
      <c r="O34" s="12"/>
      <c r="P34" s="14"/>
      <c r="Q34" s="12"/>
      <c r="R34" s="147"/>
      <c r="S34" s="147"/>
      <c r="T34" s="148"/>
      <c r="U34" s="12"/>
      <c r="V34" s="12"/>
      <c r="W34" s="147"/>
      <c r="X34" s="997">
        <v>624</v>
      </c>
      <c r="Y34" s="146"/>
      <c r="Z34" s="992"/>
      <c r="AA34" s="998"/>
      <c r="AB34" s="147">
        <v>200</v>
      </c>
      <c r="AC34" s="999">
        <v>1018</v>
      </c>
      <c r="AD34" s="997"/>
      <c r="AE34" s="1000"/>
      <c r="AF34" s="985"/>
      <c r="AG34" s="997"/>
      <c r="AH34" s="643"/>
      <c r="AI34" s="643"/>
      <c r="AJ34" s="643"/>
      <c r="AK34" s="985"/>
      <c r="AL34" s="643"/>
      <c r="AM34" s="643"/>
      <c r="AN34" s="643"/>
      <c r="AO34" s="990"/>
      <c r="AP34" s="991"/>
      <c r="AQ34" s="643"/>
      <c r="AR34" s="643"/>
      <c r="AS34" s="643"/>
      <c r="AT34" s="990"/>
      <c r="AU34" s="991"/>
      <c r="AV34" s="643"/>
      <c r="AW34" s="643"/>
      <c r="AX34" s="643"/>
      <c r="AY34" s="991"/>
      <c r="AZ34" s="643"/>
      <c r="BA34" s="643"/>
      <c r="BB34" s="990"/>
      <c r="BC34" s="643"/>
      <c r="BD34" s="643"/>
      <c r="BE34" s="643"/>
      <c r="BF34" s="643"/>
      <c r="BG34" s="990"/>
      <c r="BH34" s="991"/>
      <c r="BI34" s="643"/>
      <c r="BJ34" s="643"/>
      <c r="BK34" s="990"/>
      <c r="BL34" s="991"/>
      <c r="BM34" s="643"/>
      <c r="BN34" s="643"/>
      <c r="BO34" s="643"/>
      <c r="BP34" s="990"/>
      <c r="BQ34" s="991"/>
      <c r="BR34" s="643"/>
      <c r="BS34" s="643"/>
      <c r="BT34" s="990"/>
      <c r="BU34" s="991"/>
      <c r="BV34" s="643"/>
      <c r="BW34" s="643"/>
      <c r="BX34" s="985"/>
      <c r="BZ34" s="650"/>
    </row>
    <row r="35" spans="1:78" x14ac:dyDescent="0.2">
      <c r="A35" s="649" t="s">
        <v>877</v>
      </c>
      <c r="B35" s="632" t="s">
        <v>4</v>
      </c>
      <c r="C35" s="649" t="s">
        <v>281</v>
      </c>
      <c r="D35" s="632">
        <v>2508</v>
      </c>
      <c r="E35" s="828">
        <f>IFERROR(VLOOKUP(A35,ContainerSchedule!$A:$E,5,0),"")</f>
        <v>46064</v>
      </c>
      <c r="F35" s="828">
        <f>VLOOKUP(A35,ContainerSchedule!$A$1:$F$91,6,0)</f>
        <v>46104</v>
      </c>
      <c r="G35" s="831">
        <v>46099</v>
      </c>
      <c r="H35" s="11">
        <f t="shared" si="71"/>
        <v>2508</v>
      </c>
      <c r="I35" s="837">
        <f t="shared" si="69"/>
        <v>0</v>
      </c>
      <c r="J35" s="948" cm="1">
        <f t="array" ref="J35">IFERROR(_xlfn.XLOOKUP(TRUE,$L35:$BY35&lt;&gt;"",$L35:$BY35,,0,-1),"")</f>
        <v>2508</v>
      </c>
      <c r="K35" s="946">
        <f t="shared" si="70"/>
        <v>46122</v>
      </c>
      <c r="P35" s="17"/>
      <c r="R35" s="181"/>
      <c r="S35" s="181"/>
      <c r="T35" s="18"/>
      <c r="W35" s="181"/>
      <c r="X35" s="181"/>
      <c r="Y35" s="247"/>
      <c r="Z35" s="137"/>
      <c r="AA35" s="12"/>
      <c r="AB35" s="968"/>
      <c r="AC35" s="993"/>
      <c r="AD35" s="585">
        <v>2508</v>
      </c>
      <c r="AE35" s="643"/>
      <c r="AF35" s="985"/>
      <c r="AG35" s="585"/>
      <c r="AH35" s="585"/>
      <c r="AI35" s="585"/>
      <c r="AJ35" s="585"/>
      <c r="AK35" s="1003"/>
      <c r="AL35" s="585"/>
      <c r="AM35" s="585"/>
      <c r="AN35" s="585"/>
      <c r="AO35" s="1004"/>
      <c r="AP35" s="1005"/>
      <c r="AQ35" s="643"/>
      <c r="AR35" s="643"/>
      <c r="AS35" s="643"/>
      <c r="AT35" s="990"/>
      <c r="AU35" s="991"/>
      <c r="AV35" s="643"/>
      <c r="AW35" s="643"/>
      <c r="AX35" s="643"/>
      <c r="AY35" s="991"/>
      <c r="AZ35" s="643"/>
      <c r="BA35" s="643"/>
      <c r="BB35" s="990"/>
      <c r="BC35" s="643"/>
      <c r="BD35" s="643"/>
      <c r="BE35" s="643"/>
      <c r="BF35" s="643"/>
      <c r="BG35" s="990"/>
      <c r="BH35" s="991"/>
      <c r="BI35" s="643"/>
      <c r="BJ35" s="643"/>
      <c r="BK35" s="990"/>
      <c r="BL35" s="991"/>
      <c r="BM35" s="643"/>
      <c r="BN35" s="643"/>
      <c r="BO35" s="643"/>
      <c r="BP35" s="990"/>
      <c r="BQ35" s="991"/>
      <c r="BR35" s="643"/>
      <c r="BS35" s="643"/>
      <c r="BT35" s="990"/>
      <c r="BU35" s="991"/>
      <c r="BV35" s="643"/>
      <c r="BW35" s="643"/>
      <c r="BX35" s="985"/>
      <c r="BZ35" s="650"/>
    </row>
    <row r="36" spans="1:78" x14ac:dyDescent="0.2">
      <c r="A36" s="649" t="s">
        <v>324</v>
      </c>
      <c r="B36" s="632" t="s">
        <v>4</v>
      </c>
      <c r="C36" s="649" t="s">
        <v>144</v>
      </c>
      <c r="D36" s="632">
        <v>684</v>
      </c>
      <c r="E36" s="828">
        <f>IFERROR(VLOOKUP(A36,ContainerSchedule!$A:$E,5,0),"")</f>
        <v>46064</v>
      </c>
      <c r="F36" s="828">
        <f>VLOOKUP(A36,ContainerSchedule!$A$1:$F$91,6,0)</f>
        <v>46104</v>
      </c>
      <c r="G36" s="831">
        <v>46121</v>
      </c>
      <c r="H36" s="11">
        <f t="shared" si="71"/>
        <v>684</v>
      </c>
      <c r="I36" s="837">
        <f t="shared" si="69"/>
        <v>0</v>
      </c>
      <c r="J36" s="948" cm="1">
        <f t="array" ref="J36">IFERROR(_xlfn.XLOOKUP(TRUE,$L36:$BY36&lt;&gt;"",$L36:$BY36,,0,-1),"")</f>
        <v>484</v>
      </c>
      <c r="K36" s="946">
        <f t="shared" si="70"/>
        <v>46129</v>
      </c>
      <c r="P36" s="17"/>
      <c r="R36" s="181"/>
      <c r="S36" s="181"/>
      <c r="T36" s="18"/>
      <c r="W36" s="181"/>
      <c r="X36" s="181"/>
      <c r="Y36" s="247"/>
      <c r="Z36" s="137"/>
      <c r="AA36" s="12"/>
      <c r="AB36" s="968"/>
      <c r="AC36" s="993"/>
      <c r="AD36" s="585">
        <v>200</v>
      </c>
      <c r="AE36" s="585">
        <v>484</v>
      </c>
      <c r="AF36" s="1003"/>
      <c r="AG36" s="585"/>
      <c r="AH36" s="585"/>
      <c r="AI36" s="585"/>
      <c r="AJ36" s="585"/>
      <c r="AK36" s="1003"/>
      <c r="AL36" s="585"/>
      <c r="AM36" s="585"/>
      <c r="AN36" s="585"/>
      <c r="AO36" s="1004"/>
      <c r="AP36" s="1005"/>
      <c r="AQ36" s="643"/>
      <c r="AR36" s="643"/>
      <c r="AS36" s="643"/>
      <c r="AT36" s="990"/>
      <c r="AU36" s="991"/>
      <c r="AV36" s="643"/>
      <c r="AW36" s="643"/>
      <c r="AX36" s="643"/>
      <c r="AY36" s="991"/>
      <c r="AZ36" s="643"/>
      <c r="BA36" s="643"/>
      <c r="BB36" s="990"/>
      <c r="BC36" s="643"/>
      <c r="BD36" s="643"/>
      <c r="BE36" s="643"/>
      <c r="BF36" s="643"/>
      <c r="BG36" s="990"/>
      <c r="BH36" s="991"/>
      <c r="BI36" s="643"/>
      <c r="BJ36" s="643"/>
      <c r="BK36" s="990"/>
      <c r="BL36" s="991"/>
      <c r="BM36" s="643"/>
      <c r="BN36" s="643"/>
      <c r="BO36" s="643"/>
      <c r="BP36" s="990"/>
      <c r="BQ36" s="991"/>
      <c r="BR36" s="643"/>
      <c r="BS36" s="643"/>
      <c r="BT36" s="990"/>
      <c r="BU36" s="991"/>
      <c r="BV36" s="643"/>
      <c r="BW36" s="643"/>
      <c r="BX36" s="985"/>
      <c r="BZ36" s="650"/>
    </row>
    <row r="37" spans="1:78" x14ac:dyDescent="0.2">
      <c r="A37" s="649" t="s">
        <v>324</v>
      </c>
      <c r="B37" s="632" t="s">
        <v>4</v>
      </c>
      <c r="C37" s="649" t="s">
        <v>177</v>
      </c>
      <c r="D37" s="632">
        <v>684</v>
      </c>
      <c r="E37" s="828">
        <f>IFERROR(VLOOKUP(A37,ContainerSchedule!$A:$E,5,0),"")</f>
        <v>46064</v>
      </c>
      <c r="F37" s="828">
        <f>VLOOKUP(A37,ContainerSchedule!$A$1:$F$91,6,0)</f>
        <v>46104</v>
      </c>
      <c r="G37" s="831">
        <v>46121</v>
      </c>
      <c r="H37" s="11">
        <f t="shared" si="71"/>
        <v>684</v>
      </c>
      <c r="I37" s="837">
        <f t="shared" si="69"/>
        <v>0</v>
      </c>
      <c r="J37" s="948" cm="1">
        <f t="array" ref="J37">IFERROR(_xlfn.XLOOKUP(TRUE,$L37:$BY37&lt;&gt;"",$L37:$BY37,,0,-1),"")</f>
        <v>684</v>
      </c>
      <c r="K37" s="946">
        <f t="shared" si="70"/>
        <v>46129</v>
      </c>
      <c r="P37" s="17"/>
      <c r="R37" s="181"/>
      <c r="S37" s="181"/>
      <c r="T37" s="18"/>
      <c r="W37" s="181"/>
      <c r="X37" s="181"/>
      <c r="Y37" s="247"/>
      <c r="Z37" s="137"/>
      <c r="AA37" s="12"/>
      <c r="AB37" s="968"/>
      <c r="AC37" s="993"/>
      <c r="AD37" s="585"/>
      <c r="AE37" s="585">
        <v>684</v>
      </c>
      <c r="AF37" s="1003"/>
      <c r="AG37" s="585"/>
      <c r="AH37" s="585"/>
      <c r="AI37" s="585"/>
      <c r="AJ37" s="585"/>
      <c r="AK37" s="1003"/>
      <c r="AL37" s="585"/>
      <c r="AM37" s="585"/>
      <c r="AN37" s="585"/>
      <c r="AO37" s="1004"/>
      <c r="AP37" s="1005"/>
      <c r="AQ37" s="643"/>
      <c r="AR37" s="643"/>
      <c r="AS37" s="643"/>
      <c r="AT37" s="990"/>
      <c r="AU37" s="991"/>
      <c r="AV37" s="643"/>
      <c r="AW37" s="643"/>
      <c r="AX37" s="643"/>
      <c r="AY37" s="991"/>
      <c r="AZ37" s="643"/>
      <c r="BA37" s="643"/>
      <c r="BB37" s="990"/>
      <c r="BC37" s="643"/>
      <c r="BD37" s="643"/>
      <c r="BE37" s="643"/>
      <c r="BF37" s="643"/>
      <c r="BG37" s="990"/>
      <c r="BH37" s="991"/>
      <c r="BI37" s="643"/>
      <c r="BJ37" s="643"/>
      <c r="BK37" s="990"/>
      <c r="BL37" s="991"/>
      <c r="BM37" s="643"/>
      <c r="BN37" s="643"/>
      <c r="BO37" s="643"/>
      <c r="BP37" s="990"/>
      <c r="BQ37" s="991"/>
      <c r="BR37" s="643"/>
      <c r="BS37" s="643"/>
      <c r="BT37" s="990"/>
      <c r="BU37" s="991"/>
      <c r="BV37" s="643"/>
      <c r="BW37" s="643"/>
      <c r="BX37" s="985"/>
      <c r="BZ37" s="650"/>
    </row>
    <row r="38" spans="1:78" x14ac:dyDescent="0.2">
      <c r="A38" s="649" t="s">
        <v>328</v>
      </c>
      <c r="B38" s="632" t="s">
        <v>4</v>
      </c>
      <c r="C38" s="649" t="s">
        <v>807</v>
      </c>
      <c r="D38" s="632">
        <v>684</v>
      </c>
      <c r="E38" s="828">
        <f>IFERROR(VLOOKUP(A38,ContainerSchedule!$A:$E,5,0),"")</f>
        <v>46093</v>
      </c>
      <c r="F38" s="828">
        <v>46125</v>
      </c>
      <c r="G38" s="831">
        <v>46121</v>
      </c>
      <c r="H38" s="11">
        <f t="shared" si="71"/>
        <v>684</v>
      </c>
      <c r="I38" s="837">
        <f t="shared" ref="I38:I69" si="72">D38-H38</f>
        <v>0</v>
      </c>
      <c r="J38" s="948" cm="1">
        <f t="array" ref="J38">IFERROR(_xlfn.XLOOKUP(TRUE,$L38:$BY38&lt;&gt;"",$L38:$BY38,,0,-1),"")</f>
        <v>684</v>
      </c>
      <c r="K38" s="946">
        <f t="shared" ref="K38:K69" si="73">IFERROR(INDEX($L$5:$BZ$5,MATCH($J38,$L38:$BZ38,0)),"")</f>
        <v>46129</v>
      </c>
      <c r="P38" s="17"/>
      <c r="R38" s="181"/>
      <c r="S38" s="181"/>
      <c r="T38" s="18"/>
      <c r="W38" s="181"/>
      <c r="X38" s="181"/>
      <c r="Y38" s="247"/>
      <c r="Z38" s="137"/>
      <c r="AA38" s="12"/>
      <c r="AB38" s="137"/>
      <c r="AC38" s="993"/>
      <c r="AD38" s="585"/>
      <c r="AE38" s="966">
        <v>684</v>
      </c>
      <c r="AF38" s="1003"/>
      <c r="AG38" s="585"/>
      <c r="AH38" s="585"/>
      <c r="AI38" s="585"/>
      <c r="AJ38" s="585"/>
      <c r="AK38" s="1003"/>
      <c r="AL38" s="585"/>
      <c r="AM38" s="585"/>
      <c r="AN38" s="585"/>
      <c r="AO38" s="1004"/>
      <c r="AP38" s="1005"/>
      <c r="AQ38" s="643"/>
      <c r="AR38" s="643"/>
      <c r="AS38" s="643"/>
      <c r="AT38" s="990"/>
      <c r="AU38" s="991"/>
      <c r="AV38" s="643"/>
      <c r="AW38" s="643"/>
      <c r="AX38" s="643"/>
      <c r="AY38" s="991"/>
      <c r="AZ38" s="643"/>
      <c r="BA38" s="643"/>
      <c r="BB38" s="990"/>
      <c r="BC38" s="643"/>
      <c r="BD38" s="643"/>
      <c r="BE38" s="643"/>
      <c r="BF38" s="643"/>
      <c r="BG38" s="990"/>
      <c r="BH38" s="991"/>
      <c r="BI38" s="643"/>
      <c r="BJ38" s="643"/>
      <c r="BK38" s="990"/>
      <c r="BL38" s="991"/>
      <c r="BM38" s="643"/>
      <c r="BN38" s="643"/>
      <c r="BO38" s="643"/>
      <c r="BP38" s="990"/>
      <c r="BQ38" s="991"/>
      <c r="BR38" s="643"/>
      <c r="BS38" s="643"/>
      <c r="BT38" s="990"/>
      <c r="BU38" s="991"/>
      <c r="BV38" s="643"/>
      <c r="BW38" s="643"/>
      <c r="BX38" s="985"/>
      <c r="BZ38" s="650"/>
    </row>
    <row r="39" spans="1:78" ht="21" customHeight="1" x14ac:dyDescent="0.2">
      <c r="A39" s="649" t="s">
        <v>328</v>
      </c>
      <c r="B39" s="632" t="s">
        <v>4</v>
      </c>
      <c r="C39" s="649" t="s">
        <v>809</v>
      </c>
      <c r="D39" s="632">
        <v>624</v>
      </c>
      <c r="E39" s="828">
        <f>IFERROR(VLOOKUP(A39,ContainerSchedule!$A:$E,5,0),"")</f>
        <v>46093</v>
      </c>
      <c r="F39" s="828">
        <v>46125</v>
      </c>
      <c r="G39" s="831">
        <v>46121</v>
      </c>
      <c r="H39" s="11">
        <f t="shared" si="71"/>
        <v>624</v>
      </c>
      <c r="I39" s="837">
        <f t="shared" si="72"/>
        <v>0</v>
      </c>
      <c r="J39" s="948" cm="1">
        <f t="array" ref="J39">IFERROR(_xlfn.XLOOKUP(TRUE,$L39:$BY39&lt;&gt;"",$L39:$BY39,,0,-1),"")</f>
        <v>624</v>
      </c>
      <c r="K39" s="946">
        <f t="shared" si="73"/>
        <v>46129</v>
      </c>
      <c r="P39" s="17"/>
      <c r="R39" s="181"/>
      <c r="S39" s="181"/>
      <c r="T39" s="18"/>
      <c r="W39" s="181"/>
      <c r="X39" s="181"/>
      <c r="Y39" s="247"/>
      <c r="Z39" s="137"/>
      <c r="AA39" s="12"/>
      <c r="AB39" s="137"/>
      <c r="AC39" s="993"/>
      <c r="AD39" s="643"/>
      <c r="AE39" s="966">
        <f>200+424</f>
        <v>624</v>
      </c>
      <c r="AF39" s="1003"/>
      <c r="AG39" s="585"/>
      <c r="AH39" s="585"/>
      <c r="AI39" s="585"/>
      <c r="AJ39" s="585"/>
      <c r="AK39" s="1003"/>
      <c r="AL39" s="585"/>
      <c r="AM39" s="585"/>
      <c r="AN39" s="585"/>
      <c r="AO39" s="1004"/>
      <c r="AP39" s="1005"/>
      <c r="AQ39" s="643"/>
      <c r="AR39" s="643"/>
      <c r="AS39" s="643"/>
      <c r="AT39" s="990"/>
      <c r="AU39" s="991"/>
      <c r="AV39" s="643"/>
      <c r="AW39" s="643"/>
      <c r="AX39" s="643"/>
      <c r="AY39" s="991"/>
      <c r="AZ39" s="643"/>
      <c r="BA39" s="643"/>
      <c r="BB39" s="990"/>
      <c r="BC39" s="643"/>
      <c r="BD39" s="643"/>
      <c r="BE39" s="643"/>
      <c r="BF39" s="643"/>
      <c r="BG39" s="990"/>
      <c r="BH39" s="991"/>
      <c r="BI39" s="643"/>
      <c r="BJ39" s="643"/>
      <c r="BK39" s="990"/>
      <c r="BL39" s="991"/>
      <c r="BM39" s="643"/>
      <c r="BN39" s="643"/>
      <c r="BO39" s="643"/>
      <c r="BP39" s="990"/>
      <c r="BQ39" s="991"/>
      <c r="BR39" s="643"/>
      <c r="BS39" s="643"/>
      <c r="BT39" s="990"/>
      <c r="BU39" s="991"/>
      <c r="BV39" s="643"/>
      <c r="BW39" s="643"/>
      <c r="BX39" s="985"/>
      <c r="BZ39" s="650"/>
    </row>
    <row r="40" spans="1:78" ht="21" customHeight="1" x14ac:dyDescent="0.2">
      <c r="A40" s="941">
        <v>175</v>
      </c>
      <c r="B40" s="11" t="s">
        <v>60</v>
      </c>
      <c r="C40" s="633" t="s">
        <v>309</v>
      </c>
      <c r="D40" s="711">
        <v>600</v>
      </c>
      <c r="E40" s="828" t="str">
        <f>IFERROR(VLOOKUP(A40,ContainerSchedule!$A:$E,5,0),"")</f>
        <v/>
      </c>
      <c r="F40" s="828">
        <v>46058</v>
      </c>
      <c r="G40" s="828">
        <v>45992</v>
      </c>
      <c r="H40" s="11">
        <f t="shared" si="71"/>
        <v>600</v>
      </c>
      <c r="I40" s="711">
        <f t="shared" si="72"/>
        <v>0</v>
      </c>
      <c r="J40" s="947" cm="1">
        <f t="array" ref="J40">IFERROR(_xlfn.XLOOKUP(TRUE,$L40:$BY40&lt;&gt;"",$L40:$BY40,,0,-1),"")</f>
        <v>36</v>
      </c>
      <c r="K40" s="946">
        <f t="shared" si="73"/>
        <v>46136</v>
      </c>
      <c r="L40" s="12"/>
      <c r="M40" s="12"/>
      <c r="N40" s="12"/>
      <c r="O40" s="12"/>
      <c r="P40" s="17"/>
      <c r="Q40" s="12"/>
      <c r="R40" s="12"/>
      <c r="S40" s="12"/>
      <c r="T40" s="13"/>
      <c r="U40" s="965"/>
      <c r="V40" s="12"/>
      <c r="X40" s="585">
        <v>200</v>
      </c>
      <c r="Y40" s="14">
        <v>118</v>
      </c>
      <c r="Z40" s="12"/>
      <c r="AA40" s="137"/>
      <c r="AB40" s="137"/>
      <c r="AC40" s="989">
        <v>82</v>
      </c>
      <c r="AD40" s="643">
        <v>164</v>
      </c>
      <c r="AE40" s="643"/>
      <c r="AF40" s="985">
        <v>36</v>
      </c>
      <c r="AG40" s="643"/>
      <c r="AH40" s="643"/>
      <c r="AI40" s="643"/>
      <c r="AJ40" s="643"/>
      <c r="AK40" s="985"/>
      <c r="AL40" s="643"/>
      <c r="AM40" s="643"/>
      <c r="AN40" s="643"/>
      <c r="AO40" s="990"/>
      <c r="AP40" s="991"/>
      <c r="AQ40" s="643"/>
      <c r="AR40" s="643"/>
      <c r="AS40" s="643"/>
      <c r="AT40" s="990"/>
      <c r="AU40" s="991"/>
      <c r="AV40" s="643"/>
      <c r="AW40" s="643"/>
      <c r="AX40" s="643"/>
      <c r="AY40" s="991"/>
      <c r="AZ40" s="643"/>
      <c r="BA40" s="643"/>
      <c r="BB40" s="990"/>
      <c r="BC40" s="643"/>
      <c r="BD40" s="643"/>
      <c r="BE40" s="643"/>
      <c r="BF40" s="643"/>
      <c r="BG40" s="990"/>
      <c r="BH40" s="991"/>
      <c r="BI40" s="643"/>
      <c r="BJ40" s="643"/>
      <c r="BK40" s="990"/>
      <c r="BL40" s="991"/>
      <c r="BM40" s="643"/>
      <c r="BN40" s="643"/>
      <c r="BO40" s="643"/>
      <c r="BP40" s="990"/>
      <c r="BQ40" s="991"/>
      <c r="BR40" s="643"/>
      <c r="BS40" s="643"/>
      <c r="BT40" s="990"/>
      <c r="BU40" s="991"/>
      <c r="BV40" s="643"/>
      <c r="BW40" s="643"/>
      <c r="BX40" s="985"/>
      <c r="BZ40" s="650"/>
    </row>
    <row r="41" spans="1:78" ht="19" customHeight="1" x14ac:dyDescent="0.2">
      <c r="A41" s="941" t="s">
        <v>378</v>
      </c>
      <c r="B41" s="11" t="s">
        <v>60</v>
      </c>
      <c r="C41" s="633" t="s">
        <v>379</v>
      </c>
      <c r="D41" s="711">
        <v>1200</v>
      </c>
      <c r="E41" s="828" t="str">
        <f>IFERROR(VLOOKUP(A41,ContainerSchedule!$A:$E,5,0),"")</f>
        <v/>
      </c>
      <c r="F41" s="828">
        <v>46056</v>
      </c>
      <c r="G41" s="828">
        <v>45992</v>
      </c>
      <c r="H41" s="11">
        <f t="shared" si="71"/>
        <v>1200</v>
      </c>
      <c r="I41" s="711">
        <f t="shared" si="72"/>
        <v>0</v>
      </c>
      <c r="J41" s="947" cm="1">
        <f t="array" ref="J41">IFERROR(_xlfn.XLOOKUP(TRUE,$L41:$BY41&lt;&gt;"",$L41:$BY41,,0,-1),"")</f>
        <v>323</v>
      </c>
      <c r="K41" s="946">
        <f t="shared" si="73"/>
        <v>46136</v>
      </c>
      <c r="L41" s="12"/>
      <c r="M41" s="12"/>
      <c r="N41" s="12"/>
      <c r="O41" s="12"/>
      <c r="P41" s="17"/>
      <c r="Q41" s="12">
        <v>616</v>
      </c>
      <c r="R41" s="12">
        <v>261</v>
      </c>
      <c r="S41" s="12"/>
      <c r="T41" s="13"/>
      <c r="U41" s="965"/>
      <c r="V41" s="12"/>
      <c r="X41" s="643"/>
      <c r="Y41" s="14"/>
      <c r="Z41" s="12"/>
      <c r="AA41" s="137"/>
      <c r="AB41" s="137"/>
      <c r="AC41" s="989"/>
      <c r="AD41" s="585"/>
      <c r="AE41" s="643"/>
      <c r="AF41" s="985">
        <v>323</v>
      </c>
      <c r="AG41" s="643"/>
      <c r="AH41" s="643"/>
      <c r="AI41" s="643"/>
      <c r="AJ41" s="643"/>
      <c r="AK41" s="985"/>
      <c r="AL41" s="643"/>
      <c r="AM41" s="643"/>
      <c r="AN41" s="643"/>
      <c r="AO41" s="990"/>
      <c r="AP41" s="991"/>
      <c r="AQ41" s="643"/>
      <c r="AR41" s="643"/>
      <c r="AS41" s="643"/>
      <c r="AT41" s="990"/>
      <c r="AU41" s="991"/>
      <c r="AV41" s="643"/>
      <c r="AW41" s="643"/>
      <c r="AX41" s="643"/>
      <c r="AY41" s="991"/>
      <c r="AZ41" s="643"/>
      <c r="BA41" s="643"/>
      <c r="BB41" s="990"/>
      <c r="BC41" s="643"/>
      <c r="BD41" s="643"/>
      <c r="BE41" s="643"/>
      <c r="BF41" s="643"/>
      <c r="BG41" s="990"/>
      <c r="BH41" s="991"/>
      <c r="BI41" s="643"/>
      <c r="BJ41" s="643"/>
      <c r="BK41" s="990"/>
      <c r="BL41" s="991"/>
      <c r="BM41" s="643"/>
      <c r="BN41" s="643"/>
      <c r="BO41" s="643"/>
      <c r="BP41" s="990"/>
      <c r="BQ41" s="991"/>
      <c r="BR41" s="643"/>
      <c r="BS41" s="643"/>
      <c r="BT41" s="990"/>
      <c r="BU41" s="991"/>
      <c r="BV41" s="643"/>
      <c r="BW41" s="643"/>
      <c r="BX41" s="985"/>
      <c r="BZ41" s="650"/>
    </row>
    <row r="42" spans="1:78" ht="19" customHeight="1" x14ac:dyDescent="0.2">
      <c r="A42" s="941" t="s">
        <v>378</v>
      </c>
      <c r="B42" s="11" t="s">
        <v>60</v>
      </c>
      <c r="C42" s="633" t="s">
        <v>380</v>
      </c>
      <c r="D42" s="711">
        <v>408</v>
      </c>
      <c r="E42" s="828" t="str">
        <f>IFERROR(VLOOKUP(A42,ContainerSchedule!$A:$E,5,0),"")</f>
        <v/>
      </c>
      <c r="F42" s="828">
        <v>46043</v>
      </c>
      <c r="G42" s="828">
        <v>45992</v>
      </c>
      <c r="H42" s="11">
        <f t="shared" si="71"/>
        <v>408</v>
      </c>
      <c r="I42" s="711">
        <f t="shared" si="72"/>
        <v>0</v>
      </c>
      <c r="J42" s="947" cm="1">
        <f t="array" ref="J42">IFERROR(_xlfn.XLOOKUP(TRUE,$L42:$BY42&lt;&gt;"",$L42:$BY42,,0,-1),"")</f>
        <v>152</v>
      </c>
      <c r="K42" s="946">
        <f t="shared" si="73"/>
        <v>46136</v>
      </c>
      <c r="L42" s="12"/>
      <c r="M42" s="12"/>
      <c r="N42" s="12"/>
      <c r="O42" s="12"/>
      <c r="P42" s="17"/>
      <c r="Q42" s="12">
        <v>165</v>
      </c>
      <c r="R42" s="12">
        <v>91</v>
      </c>
      <c r="S42" s="965"/>
      <c r="T42" s="13"/>
      <c r="U42" s="12"/>
      <c r="V42" s="12"/>
      <c r="X42" s="643"/>
      <c r="Y42" s="14"/>
      <c r="Z42" s="12"/>
      <c r="AA42" s="137"/>
      <c r="AB42" s="137"/>
      <c r="AC42" s="989"/>
      <c r="AD42" s="585"/>
      <c r="AE42" s="643"/>
      <c r="AF42" s="985">
        <v>152</v>
      </c>
      <c r="AG42" s="643"/>
      <c r="AH42" s="643"/>
      <c r="AI42" s="643"/>
      <c r="AJ42" s="643"/>
      <c r="AK42" s="985"/>
      <c r="AL42" s="643"/>
      <c r="AM42" s="643"/>
      <c r="AN42" s="643"/>
      <c r="AO42" s="990"/>
      <c r="AP42" s="991"/>
      <c r="AQ42" s="643"/>
      <c r="AR42" s="643"/>
      <c r="AS42" s="643"/>
      <c r="AT42" s="990"/>
      <c r="AU42" s="991"/>
      <c r="AV42" s="643"/>
      <c r="AW42" s="643"/>
      <c r="AX42" s="643"/>
      <c r="AY42" s="991"/>
      <c r="AZ42" s="643"/>
      <c r="BA42" s="643"/>
      <c r="BB42" s="990"/>
      <c r="BC42" s="643"/>
      <c r="BD42" s="643"/>
      <c r="BE42" s="643"/>
      <c r="BF42" s="643"/>
      <c r="BG42" s="990"/>
      <c r="BH42" s="991"/>
      <c r="BI42" s="643"/>
      <c r="BJ42" s="643"/>
      <c r="BK42" s="990"/>
      <c r="BL42" s="991"/>
      <c r="BM42" s="643"/>
      <c r="BN42" s="643"/>
      <c r="BO42" s="643"/>
      <c r="BP42" s="990"/>
      <c r="BQ42" s="991"/>
      <c r="BR42" s="643"/>
      <c r="BS42" s="643"/>
      <c r="BT42" s="990"/>
      <c r="BU42" s="991"/>
      <c r="BV42" s="643"/>
      <c r="BW42" s="643"/>
      <c r="BX42" s="985"/>
      <c r="BZ42" s="650"/>
    </row>
    <row r="43" spans="1:78" ht="19" customHeight="1" x14ac:dyDescent="0.2">
      <c r="A43" s="941" t="s">
        <v>381</v>
      </c>
      <c r="B43" s="11" t="s">
        <v>60</v>
      </c>
      <c r="C43" s="633" t="s">
        <v>382</v>
      </c>
      <c r="D43" s="711">
        <v>150</v>
      </c>
      <c r="E43" s="828" t="str">
        <f>IFERROR(VLOOKUP(A43,ContainerSchedule!$A:$E,5,0),"")</f>
        <v/>
      </c>
      <c r="F43" s="828">
        <v>46118</v>
      </c>
      <c r="G43" s="828"/>
      <c r="H43" s="11">
        <f t="shared" si="71"/>
        <v>150</v>
      </c>
      <c r="I43" s="711">
        <f t="shared" si="72"/>
        <v>0</v>
      </c>
      <c r="J43" s="947" cm="1">
        <f t="array" ref="J43">IFERROR(_xlfn.XLOOKUP(TRUE,$L43:$BY43&lt;&gt;"",$L43:$BY43,,0,-1),"")</f>
        <v>150</v>
      </c>
      <c r="K43" s="946">
        <f t="shared" si="73"/>
        <v>46136</v>
      </c>
      <c r="L43" s="12"/>
      <c r="M43" s="12"/>
      <c r="N43" s="12"/>
      <c r="O43" s="12"/>
      <c r="P43" s="17"/>
      <c r="Q43" s="12"/>
      <c r="R43" s="12"/>
      <c r="S43" s="12"/>
      <c r="T43" s="13"/>
      <c r="U43" s="12"/>
      <c r="V43" s="12"/>
      <c r="X43" s="643"/>
      <c r="Y43" s="14"/>
      <c r="Z43" s="12"/>
      <c r="AA43" s="137"/>
      <c r="AB43" s="137"/>
      <c r="AC43" s="989"/>
      <c r="AD43" s="966"/>
      <c r="AE43" s="643"/>
      <c r="AF43" s="985">
        <v>150</v>
      </c>
      <c r="AG43" s="643"/>
      <c r="AH43" s="643"/>
      <c r="AI43" s="643"/>
      <c r="AJ43" s="643"/>
      <c r="AK43" s="985"/>
      <c r="AL43" s="643"/>
      <c r="AM43" s="643"/>
      <c r="AN43" s="643"/>
      <c r="AO43" s="990"/>
      <c r="AP43" s="991"/>
      <c r="AQ43" s="643"/>
      <c r="AR43" s="643"/>
      <c r="AS43" s="643"/>
      <c r="AT43" s="990"/>
      <c r="AU43" s="991"/>
      <c r="AV43" s="643"/>
      <c r="AW43" s="643"/>
      <c r="AX43" s="643"/>
      <c r="AY43" s="991"/>
      <c r="AZ43" s="643"/>
      <c r="BA43" s="643"/>
      <c r="BB43" s="990"/>
      <c r="BC43" s="643"/>
      <c r="BD43" s="643"/>
      <c r="BE43" s="643"/>
      <c r="BF43" s="643"/>
      <c r="BG43" s="990"/>
      <c r="BH43" s="991"/>
      <c r="BI43" s="643"/>
      <c r="BJ43" s="643"/>
      <c r="BK43" s="990"/>
      <c r="BL43" s="991"/>
      <c r="BM43" s="643"/>
      <c r="BN43" s="643"/>
      <c r="BO43" s="643"/>
      <c r="BP43" s="990"/>
      <c r="BQ43" s="991"/>
      <c r="BR43" s="643"/>
      <c r="BS43" s="643"/>
      <c r="BT43" s="990"/>
      <c r="BU43" s="991"/>
      <c r="BV43" s="643"/>
      <c r="BW43" s="643"/>
      <c r="BX43" s="985"/>
      <c r="BZ43" s="650"/>
    </row>
    <row r="44" spans="1:78" ht="19" customHeight="1" x14ac:dyDescent="0.2">
      <c r="A44" s="649" t="s">
        <v>329</v>
      </c>
      <c r="B44" s="632" t="s">
        <v>4</v>
      </c>
      <c r="C44" s="632" t="s">
        <v>278</v>
      </c>
      <c r="D44" s="632">
        <v>696</v>
      </c>
      <c r="E44" s="828">
        <f>IFERROR(VLOOKUP(A44,ContainerSchedule!$A:$E,5,0),"")</f>
        <v>46093</v>
      </c>
      <c r="F44" s="828">
        <v>46125</v>
      </c>
      <c r="G44" s="831">
        <v>46121</v>
      </c>
      <c r="H44" s="11">
        <f t="shared" si="71"/>
        <v>696</v>
      </c>
      <c r="I44" s="837">
        <f t="shared" si="72"/>
        <v>0</v>
      </c>
      <c r="J44" s="948" cm="1">
        <f t="array" ref="J44">IFERROR(_xlfn.XLOOKUP(TRUE,$L44:$BY44&lt;&gt;"",$L44:$BY44,,0,-1),"")</f>
        <v>696</v>
      </c>
      <c r="K44" s="946">
        <f t="shared" si="73"/>
        <v>46136</v>
      </c>
      <c r="P44" s="17"/>
      <c r="R44" s="181"/>
      <c r="S44" s="181"/>
      <c r="T44" s="18"/>
      <c r="W44" s="181"/>
      <c r="X44" s="181"/>
      <c r="Y44" s="247"/>
      <c r="Z44" s="137"/>
      <c r="AA44" s="12"/>
      <c r="AB44" s="137"/>
      <c r="AC44" s="993"/>
      <c r="AD44" s="643"/>
      <c r="AE44" s="966"/>
      <c r="AF44" s="1003">
        <v>696</v>
      </c>
      <c r="AG44" s="585"/>
      <c r="AH44" s="585"/>
      <c r="AI44" s="585"/>
      <c r="AJ44" s="585"/>
      <c r="AK44" s="1003"/>
      <c r="AL44" s="585"/>
      <c r="AM44" s="585"/>
      <c r="AN44" s="585"/>
      <c r="AO44" s="1004"/>
      <c r="AP44" s="1005"/>
      <c r="AQ44" s="643"/>
      <c r="AR44" s="643"/>
      <c r="AS44" s="643"/>
      <c r="AT44" s="990"/>
      <c r="AU44" s="991"/>
      <c r="AV44" s="643"/>
      <c r="AW44" s="643"/>
      <c r="AX44" s="643"/>
      <c r="AY44" s="991"/>
      <c r="AZ44" s="643"/>
      <c r="BA44" s="643"/>
      <c r="BB44" s="990"/>
      <c r="BC44" s="643"/>
      <c r="BD44" s="643"/>
      <c r="BE44" s="643"/>
      <c r="BF44" s="643"/>
      <c r="BG44" s="990"/>
      <c r="BH44" s="991"/>
      <c r="BI44" s="643"/>
      <c r="BJ44" s="643"/>
      <c r="BK44" s="990"/>
      <c r="BL44" s="991"/>
      <c r="BM44" s="643"/>
      <c r="BN44" s="643"/>
      <c r="BO44" s="643"/>
      <c r="BP44" s="990"/>
      <c r="BQ44" s="991"/>
      <c r="BR44" s="643"/>
      <c r="BS44" s="643"/>
      <c r="BT44" s="990"/>
      <c r="BU44" s="991"/>
      <c r="BV44" s="643"/>
      <c r="BW44" s="643"/>
      <c r="BX44" s="985"/>
      <c r="BZ44" s="650"/>
    </row>
    <row r="45" spans="1:78" ht="19" customHeight="1" x14ac:dyDescent="0.2">
      <c r="A45" s="649" t="s">
        <v>330</v>
      </c>
      <c r="B45" s="632" t="s">
        <v>4</v>
      </c>
      <c r="C45" s="649" t="s">
        <v>281</v>
      </c>
      <c r="D45" s="632">
        <v>840</v>
      </c>
      <c r="E45" s="828">
        <f>IFERROR(VLOOKUP(A45,ContainerSchedule!$A:$E,5,0),"")</f>
        <v>46093</v>
      </c>
      <c r="F45" s="828">
        <v>46125</v>
      </c>
      <c r="G45" s="831">
        <v>46121</v>
      </c>
      <c r="H45" s="11">
        <f t="shared" si="71"/>
        <v>840</v>
      </c>
      <c r="I45" s="837">
        <f t="shared" si="72"/>
        <v>0</v>
      </c>
      <c r="J45" s="948" cm="1">
        <f t="array" ref="J45">IFERROR(_xlfn.XLOOKUP(TRUE,$L45:$BY45&lt;&gt;"",$L45:$BY45,,0,-1),"")</f>
        <v>600</v>
      </c>
      <c r="K45" s="946">
        <f t="shared" si="73"/>
        <v>46136</v>
      </c>
      <c r="P45" s="17"/>
      <c r="R45" s="181"/>
      <c r="S45" s="181"/>
      <c r="T45" s="18"/>
      <c r="W45" s="181"/>
      <c r="X45" s="181"/>
      <c r="Y45" s="247"/>
      <c r="Z45" s="137"/>
      <c r="AA45" s="12"/>
      <c r="AB45" s="137"/>
      <c r="AC45" s="993"/>
      <c r="AD45" s="643"/>
      <c r="AE45" s="966">
        <v>240</v>
      </c>
      <c r="AF45" s="1003">
        <v>600</v>
      </c>
      <c r="AG45" s="585"/>
      <c r="AH45" s="585"/>
      <c r="AI45" s="585"/>
      <c r="AJ45" s="585"/>
      <c r="AK45" s="1003"/>
      <c r="AL45" s="585"/>
      <c r="AM45" s="585"/>
      <c r="AN45" s="585"/>
      <c r="AO45" s="1004"/>
      <c r="AP45" s="1005"/>
      <c r="AQ45" s="643"/>
      <c r="AR45" s="643"/>
      <c r="AS45" s="643"/>
      <c r="AT45" s="990"/>
      <c r="AU45" s="991"/>
      <c r="AV45" s="643"/>
      <c r="AW45" s="643"/>
      <c r="AX45" s="643"/>
      <c r="AY45" s="991"/>
      <c r="AZ45" s="643"/>
      <c r="BA45" s="643"/>
      <c r="BB45" s="990"/>
      <c r="BC45" s="643"/>
      <c r="BD45" s="643"/>
      <c r="BE45" s="643"/>
      <c r="BF45" s="643"/>
      <c r="BG45" s="990"/>
      <c r="BH45" s="991"/>
      <c r="BI45" s="643"/>
      <c r="BJ45" s="643"/>
      <c r="BK45" s="990"/>
      <c r="BL45" s="991"/>
      <c r="BM45" s="643"/>
      <c r="BN45" s="643"/>
      <c r="BO45" s="643"/>
      <c r="BP45" s="990"/>
      <c r="BQ45" s="991"/>
      <c r="BR45" s="643"/>
      <c r="BS45" s="643"/>
      <c r="BT45" s="990"/>
      <c r="BU45" s="991"/>
      <c r="BV45" s="643"/>
      <c r="BW45" s="643"/>
      <c r="BX45" s="985"/>
      <c r="BZ45" s="650"/>
    </row>
    <row r="46" spans="1:78" ht="19" customHeight="1" x14ac:dyDescent="0.2">
      <c r="A46" s="649" t="s">
        <v>330</v>
      </c>
      <c r="B46" s="632" t="s">
        <v>4</v>
      </c>
      <c r="C46" s="649" t="s">
        <v>281</v>
      </c>
      <c r="D46" s="632">
        <v>1788</v>
      </c>
      <c r="E46" s="828">
        <f>IFERROR(VLOOKUP(A46,ContainerSchedule!$A:$E,5,0),"")</f>
        <v>46093</v>
      </c>
      <c r="F46" s="828">
        <v>46135</v>
      </c>
      <c r="G46" s="831">
        <v>46121</v>
      </c>
      <c r="H46" s="11">
        <f t="shared" si="71"/>
        <v>1788</v>
      </c>
      <c r="I46" s="837">
        <f t="shared" si="72"/>
        <v>0</v>
      </c>
      <c r="J46" s="948" cm="1">
        <f t="array" ref="J46">IFERROR(_xlfn.XLOOKUP(TRUE,$L46:$BY46&lt;&gt;"",$L46:$BY46,,0,-1),"")</f>
        <v>1788</v>
      </c>
      <c r="K46" s="946">
        <f t="shared" si="73"/>
        <v>46143</v>
      </c>
      <c r="P46" s="17"/>
      <c r="R46" s="181"/>
      <c r="S46" s="181"/>
      <c r="T46" s="18"/>
      <c r="W46" s="181"/>
      <c r="X46" s="181"/>
      <c r="Y46" s="247"/>
      <c r="Z46" s="137"/>
      <c r="AA46" s="12"/>
      <c r="AB46" s="137"/>
      <c r="AC46" s="993"/>
      <c r="AD46" s="643"/>
      <c r="AE46" s="585"/>
      <c r="AF46" s="974"/>
      <c r="AG46" s="585">
        <v>1788</v>
      </c>
      <c r="AH46" s="585"/>
      <c r="AI46" s="585"/>
      <c r="AJ46" s="585"/>
      <c r="AK46" s="1003"/>
      <c r="AL46" s="585"/>
      <c r="AM46" s="585"/>
      <c r="AN46" s="585"/>
      <c r="AO46" s="1004"/>
      <c r="AP46" s="1005"/>
      <c r="AQ46" s="643"/>
      <c r="AR46" s="643"/>
      <c r="AS46" s="643"/>
      <c r="AT46" s="990"/>
      <c r="AU46" s="991"/>
      <c r="AV46" s="643"/>
      <c r="AW46" s="643"/>
      <c r="AX46" s="643"/>
      <c r="AY46" s="991"/>
      <c r="AZ46" s="643"/>
      <c r="BA46" s="643"/>
      <c r="BB46" s="990"/>
      <c r="BC46" s="643"/>
      <c r="BD46" s="643"/>
      <c r="BE46" s="643"/>
      <c r="BF46" s="643"/>
      <c r="BG46" s="990"/>
      <c r="BH46" s="991"/>
      <c r="BI46" s="643"/>
      <c r="BJ46" s="643"/>
      <c r="BK46" s="990"/>
      <c r="BL46" s="991"/>
      <c r="BM46" s="643"/>
      <c r="BN46" s="643"/>
      <c r="BO46" s="643"/>
      <c r="BP46" s="990"/>
      <c r="BQ46" s="991"/>
      <c r="BR46" s="643"/>
      <c r="BS46" s="643"/>
      <c r="BT46" s="990"/>
      <c r="BU46" s="991"/>
      <c r="BV46" s="643"/>
      <c r="BW46" s="643"/>
      <c r="BX46" s="985"/>
      <c r="BZ46" s="650"/>
    </row>
    <row r="47" spans="1:78" ht="21" customHeight="1" x14ac:dyDescent="0.2">
      <c r="A47" s="843" t="s">
        <v>332</v>
      </c>
      <c r="B47" s="11" t="s">
        <v>29</v>
      </c>
      <c r="C47" s="633" t="s">
        <v>311</v>
      </c>
      <c r="D47" s="11">
        <v>1184</v>
      </c>
      <c r="E47" s="828">
        <f>IFERROR(VLOOKUP(A47,ContainerSchedule!$A:$E,5,0),"")</f>
        <v>46108</v>
      </c>
      <c r="F47" s="828">
        <f>VLOOKUP(A47,ContainerSchedule!$A$1:$F$91,6,0)</f>
        <v>46135</v>
      </c>
      <c r="G47" s="828"/>
      <c r="H47" s="11">
        <f t="shared" si="71"/>
        <v>1184</v>
      </c>
      <c r="I47" s="711">
        <f t="shared" si="72"/>
        <v>0</v>
      </c>
      <c r="J47" s="947" cm="1">
        <f t="array" ref="J47">IFERROR(_xlfn.XLOOKUP(TRUE,$L47:$BY47&lt;&gt;"",$L47:$BY47,,0,-1),"")</f>
        <v>584</v>
      </c>
      <c r="K47" s="946">
        <f t="shared" si="73"/>
        <v>46150</v>
      </c>
      <c r="L47" s="12"/>
      <c r="M47" s="12"/>
      <c r="N47" s="12"/>
      <c r="O47" s="12"/>
      <c r="P47" s="14"/>
      <c r="Q47" s="12"/>
      <c r="R47" s="12"/>
      <c r="S47" s="147"/>
      <c r="T47" s="148"/>
      <c r="U47" s="147"/>
      <c r="V47" s="147"/>
      <c r="W47" s="147"/>
      <c r="X47" s="147"/>
      <c r="Y47" s="146"/>
      <c r="Z47" s="147"/>
      <c r="AA47" s="147"/>
      <c r="AB47" s="147"/>
      <c r="AC47" s="999"/>
      <c r="AD47" s="997"/>
      <c r="AE47" s="997"/>
      <c r="AF47" s="970"/>
      <c r="AG47" s="1002">
        <v>600</v>
      </c>
      <c r="AH47" s="585">
        <v>584</v>
      </c>
      <c r="AI47" s="643"/>
      <c r="AJ47" s="643"/>
      <c r="AK47" s="985"/>
      <c r="AL47" s="643"/>
      <c r="AM47" s="643"/>
      <c r="AN47" s="643"/>
      <c r="AO47" s="990"/>
      <c r="AP47" s="991"/>
      <c r="AQ47" s="643"/>
      <c r="AR47" s="643"/>
      <c r="AS47" s="643"/>
      <c r="AT47" s="990"/>
      <c r="AU47" s="991"/>
      <c r="AV47" s="643"/>
      <c r="AW47" s="643"/>
      <c r="AX47" s="643"/>
      <c r="AY47" s="991"/>
      <c r="AZ47" s="643"/>
      <c r="BA47" s="643"/>
      <c r="BB47" s="990"/>
      <c r="BC47" s="643"/>
      <c r="BD47" s="643"/>
      <c r="BE47" s="643"/>
      <c r="BF47" s="643"/>
      <c r="BG47" s="990"/>
      <c r="BH47" s="991"/>
      <c r="BI47" s="643"/>
      <c r="BJ47" s="643"/>
      <c r="BK47" s="990"/>
      <c r="BL47" s="991"/>
      <c r="BM47" s="643"/>
      <c r="BN47" s="643"/>
      <c r="BO47" s="643"/>
      <c r="BP47" s="990"/>
      <c r="BQ47" s="991"/>
      <c r="BR47" s="643"/>
      <c r="BS47" s="643"/>
      <c r="BT47" s="990"/>
      <c r="BU47" s="991"/>
      <c r="BV47" s="643"/>
      <c r="BW47" s="643"/>
      <c r="BX47" s="985"/>
      <c r="BZ47" s="650"/>
    </row>
    <row r="48" spans="1:78" ht="21" customHeight="1" x14ac:dyDescent="0.2">
      <c r="A48" s="649" t="s">
        <v>172</v>
      </c>
      <c r="B48" s="632" t="s">
        <v>15</v>
      </c>
      <c r="C48" s="649" t="s">
        <v>820</v>
      </c>
      <c r="D48" s="632">
        <v>996</v>
      </c>
      <c r="E48" s="828">
        <f>IFERROR(VLOOKUP(A48,ContainerSchedule!$A:$E,5,0),"")</f>
        <v>46107</v>
      </c>
      <c r="F48" s="828">
        <v>46135</v>
      </c>
      <c r="G48" s="828">
        <v>46082</v>
      </c>
      <c r="H48" s="11">
        <f t="shared" si="71"/>
        <v>996</v>
      </c>
      <c r="I48" s="837">
        <f t="shared" si="72"/>
        <v>0</v>
      </c>
      <c r="J48" s="948" cm="1">
        <f t="array" ref="J48">IFERROR(_xlfn.XLOOKUP(TRUE,$L48:$BY48&lt;&gt;"",$L48:$BY48,,0,-1),"")</f>
        <v>996</v>
      </c>
      <c r="K48" s="946">
        <f t="shared" si="73"/>
        <v>46150</v>
      </c>
      <c r="L48" s="137"/>
      <c r="M48" s="137"/>
      <c r="N48" s="137"/>
      <c r="O48" s="137"/>
      <c r="P48" s="247"/>
      <c r="Q48" s="137"/>
      <c r="R48" s="181"/>
      <c r="S48" s="181"/>
      <c r="T48" s="271"/>
      <c r="V48" s="137"/>
      <c r="W48" s="181"/>
      <c r="X48" s="181"/>
      <c r="Y48" s="14"/>
      <c r="Z48" s="12"/>
      <c r="AA48" s="12"/>
      <c r="AB48" s="181"/>
      <c r="AC48" s="989"/>
      <c r="AD48" s="585"/>
      <c r="AE48" s="643"/>
      <c r="AF48" s="972"/>
      <c r="AG48" s="585"/>
      <c r="AH48" s="585">
        <v>996</v>
      </c>
      <c r="AI48" s="585"/>
      <c r="AJ48" s="1002"/>
      <c r="AK48" s="1001"/>
      <c r="AL48" s="585"/>
      <c r="AM48" s="585"/>
      <c r="AN48" s="585"/>
      <c r="AO48" s="1004"/>
      <c r="AP48" s="1005"/>
      <c r="AQ48" s="643"/>
      <c r="AR48" s="643"/>
      <c r="AS48" s="643"/>
      <c r="AT48" s="990"/>
      <c r="AU48" s="991"/>
      <c r="AV48" s="643"/>
      <c r="AW48" s="643"/>
      <c r="AX48" s="643"/>
      <c r="AY48" s="991"/>
      <c r="AZ48" s="643"/>
      <c r="BA48" s="643"/>
      <c r="BB48" s="990"/>
      <c r="BC48" s="643"/>
      <c r="BD48" s="643"/>
      <c r="BE48" s="643"/>
      <c r="BF48" s="643"/>
      <c r="BG48" s="990"/>
      <c r="BH48" s="991"/>
      <c r="BI48" s="643"/>
      <c r="BJ48" s="643"/>
      <c r="BK48" s="990"/>
      <c r="BL48" s="991"/>
      <c r="BM48" s="643"/>
      <c r="BN48" s="643"/>
      <c r="BO48" s="643"/>
      <c r="BP48" s="990"/>
      <c r="BQ48" s="991"/>
      <c r="BR48" s="643"/>
      <c r="BS48" s="643"/>
      <c r="BT48" s="990"/>
      <c r="BU48" s="991"/>
      <c r="BV48" s="643"/>
      <c r="BW48" s="643"/>
      <c r="BX48" s="985"/>
      <c r="BZ48" s="650"/>
    </row>
    <row r="49" spans="1:78" ht="21" customHeight="1" x14ac:dyDescent="0.2">
      <c r="A49" s="649" t="s">
        <v>172</v>
      </c>
      <c r="B49" s="632" t="s">
        <v>15</v>
      </c>
      <c r="C49" s="649" t="s">
        <v>820</v>
      </c>
      <c r="D49" s="632">
        <v>1314</v>
      </c>
      <c r="E49" s="828">
        <f>IFERROR(VLOOKUP(A49,ContainerSchedule!$A:$E,5,0),"")</f>
        <v>46107</v>
      </c>
      <c r="F49" s="828">
        <v>46144</v>
      </c>
      <c r="G49" s="828">
        <v>46082</v>
      </c>
      <c r="H49" s="11">
        <f t="shared" si="71"/>
        <v>1314</v>
      </c>
      <c r="I49" s="837">
        <f t="shared" si="72"/>
        <v>0</v>
      </c>
      <c r="J49" s="948" cm="1">
        <f t="array" ref="J49">IFERROR(_xlfn.XLOOKUP(TRUE,$L49:$BY49&lt;&gt;"",$L49:$BY49,,0,-1),"")</f>
        <v>644</v>
      </c>
      <c r="K49" s="946">
        <f t="shared" si="73"/>
        <v>46157</v>
      </c>
      <c r="L49" s="137"/>
      <c r="M49" s="137"/>
      <c r="N49" s="137"/>
      <c r="O49" s="137"/>
      <c r="P49" s="247"/>
      <c r="Q49" s="137"/>
      <c r="R49" s="181"/>
      <c r="S49" s="181"/>
      <c r="T49" s="271"/>
      <c r="V49" s="137"/>
      <c r="W49" s="181"/>
      <c r="X49" s="181"/>
      <c r="Y49" s="14"/>
      <c r="Z49" s="12"/>
      <c r="AA49" s="12"/>
      <c r="AB49" s="181"/>
      <c r="AC49" s="989"/>
      <c r="AD49" s="585"/>
      <c r="AE49" s="643"/>
      <c r="AF49" s="1006"/>
      <c r="AG49" s="585"/>
      <c r="AH49" s="966">
        <v>670</v>
      </c>
      <c r="AI49" s="585">
        <v>644</v>
      </c>
      <c r="AJ49" s="1002"/>
      <c r="AK49" s="1001"/>
      <c r="AL49" s="585"/>
      <c r="AM49" s="585"/>
      <c r="AN49" s="585"/>
      <c r="AO49" s="1004"/>
      <c r="AP49" s="1005"/>
      <c r="AQ49" s="643"/>
      <c r="AR49" s="643"/>
      <c r="AS49" s="643"/>
      <c r="AT49" s="990"/>
      <c r="AU49" s="991"/>
      <c r="AV49" s="643"/>
      <c r="AW49" s="643"/>
      <c r="AX49" s="643"/>
      <c r="AY49" s="991"/>
      <c r="AZ49" s="643"/>
      <c r="BA49" s="643"/>
      <c r="BB49" s="990"/>
      <c r="BC49" s="643"/>
      <c r="BD49" s="643"/>
      <c r="BE49" s="643"/>
      <c r="BF49" s="643"/>
      <c r="BG49" s="990"/>
      <c r="BH49" s="991"/>
      <c r="BI49" s="643"/>
      <c r="BJ49" s="643"/>
      <c r="BK49" s="990"/>
      <c r="BL49" s="991"/>
      <c r="BM49" s="643"/>
      <c r="BN49" s="643"/>
      <c r="BO49" s="643"/>
      <c r="BP49" s="990"/>
      <c r="BQ49" s="991"/>
      <c r="BR49" s="643"/>
      <c r="BS49" s="643"/>
      <c r="BT49" s="990"/>
      <c r="BU49" s="991"/>
      <c r="BV49" s="643"/>
      <c r="BW49" s="643"/>
      <c r="BX49" s="985"/>
      <c r="BZ49" s="650"/>
    </row>
    <row r="50" spans="1:78" x14ac:dyDescent="0.2">
      <c r="A50" s="649" t="s">
        <v>174</v>
      </c>
      <c r="B50" s="632" t="s">
        <v>15</v>
      </c>
      <c r="C50" s="649" t="s">
        <v>820</v>
      </c>
      <c r="D50" s="632">
        <v>1398</v>
      </c>
      <c r="E50" s="828" t="str">
        <f>IFERROR(VLOOKUP(A50,ContainerSchedule!$A:$E,5,0),"")</f>
        <v/>
      </c>
      <c r="F50" s="828">
        <v>45787</v>
      </c>
      <c r="G50" s="828">
        <v>46113</v>
      </c>
      <c r="H50" s="11">
        <f t="shared" si="71"/>
        <v>1398</v>
      </c>
      <c r="I50" s="837">
        <f t="shared" si="72"/>
        <v>0</v>
      </c>
      <c r="J50" s="948" cm="1">
        <f t="array" ref="J50">IFERROR(_xlfn.XLOOKUP(TRUE,$L50:$BY50&lt;&gt;"",$L50:$BY50,,0,-1),"")</f>
        <v>1398</v>
      </c>
      <c r="K50" s="946">
        <f t="shared" si="73"/>
        <v>46157</v>
      </c>
      <c r="L50" s="137"/>
      <c r="M50" s="137"/>
      <c r="N50" s="137"/>
      <c r="O50" s="137"/>
      <c r="P50" s="247"/>
      <c r="Q50" s="137"/>
      <c r="R50" s="181"/>
      <c r="S50" s="181"/>
      <c r="T50" s="271"/>
      <c r="V50" s="137"/>
      <c r="W50" s="181"/>
      <c r="X50" s="181"/>
      <c r="Y50" s="14"/>
      <c r="Z50" s="12"/>
      <c r="AA50" s="12"/>
      <c r="AB50" s="181"/>
      <c r="AC50" s="989"/>
      <c r="AD50" s="585"/>
      <c r="AE50" s="643"/>
      <c r="AF50" s="985"/>
      <c r="AG50" s="846"/>
      <c r="AH50" s="585"/>
      <c r="AI50" s="585">
        <v>1398</v>
      </c>
      <c r="AJ50" s="1002"/>
      <c r="AK50" s="1001"/>
      <c r="AL50" s="585"/>
      <c r="AM50" s="585"/>
      <c r="AN50" s="585"/>
      <c r="AO50" s="1007"/>
      <c r="AP50" s="1005"/>
      <c r="AQ50" s="643"/>
      <c r="AR50" s="643"/>
      <c r="AS50" s="643"/>
      <c r="AT50" s="990"/>
      <c r="AU50" s="991"/>
      <c r="AV50" s="643"/>
      <c r="AW50" s="643"/>
      <c r="AX50" s="643"/>
      <c r="AY50" s="991"/>
      <c r="AZ50" s="643"/>
      <c r="BA50" s="643"/>
      <c r="BB50" s="990"/>
      <c r="BC50" s="643"/>
      <c r="BD50" s="643"/>
      <c r="BE50" s="643"/>
      <c r="BF50" s="643"/>
      <c r="BG50" s="990"/>
      <c r="BH50" s="991"/>
      <c r="BI50" s="643"/>
      <c r="BJ50" s="643"/>
      <c r="BK50" s="990"/>
      <c r="BL50" s="991"/>
      <c r="BM50" s="643"/>
      <c r="BN50" s="643"/>
      <c r="BO50" s="643"/>
      <c r="BP50" s="990"/>
      <c r="BQ50" s="991"/>
      <c r="BR50" s="643"/>
      <c r="BS50" s="643"/>
      <c r="BT50" s="990"/>
      <c r="BU50" s="991"/>
      <c r="BV50" s="643"/>
      <c r="BW50" s="643"/>
      <c r="BX50" s="985"/>
      <c r="BZ50" s="650"/>
    </row>
    <row r="51" spans="1:78" x14ac:dyDescent="0.2">
      <c r="A51" s="649" t="s">
        <v>174</v>
      </c>
      <c r="B51" s="632" t="s">
        <v>15</v>
      </c>
      <c r="C51" s="649" t="s">
        <v>820</v>
      </c>
      <c r="D51" s="632">
        <v>540</v>
      </c>
      <c r="E51" s="828" t="str">
        <f>IFERROR(VLOOKUP(A51,ContainerSchedule!$A:$E,5,0),"")</f>
        <v/>
      </c>
      <c r="F51" s="828">
        <v>45779</v>
      </c>
      <c r="G51" s="828">
        <v>46113</v>
      </c>
      <c r="H51" s="11">
        <f t="shared" ref="H51:H82" si="74">SUM(L51:BX51)</f>
        <v>540</v>
      </c>
      <c r="I51" s="837">
        <f t="shared" si="72"/>
        <v>0</v>
      </c>
      <c r="J51" s="948" cm="1">
        <f t="array" ref="J51">IFERROR(_xlfn.XLOOKUP(TRUE,$L51:$BY51&lt;&gt;"",$L51:$BY51,,0,-1),"")</f>
        <v>340</v>
      </c>
      <c r="K51" s="946">
        <f t="shared" si="73"/>
        <v>46164</v>
      </c>
      <c r="L51" s="137"/>
      <c r="M51" s="137"/>
      <c r="N51" s="137"/>
      <c r="O51" s="137"/>
      <c r="P51" s="247"/>
      <c r="Q51" s="137"/>
      <c r="R51" s="181"/>
      <c r="S51" s="181"/>
      <c r="T51" s="271"/>
      <c r="V51" s="137"/>
      <c r="W51" s="181"/>
      <c r="X51" s="181"/>
      <c r="Y51" s="14"/>
      <c r="Z51" s="12"/>
      <c r="AA51" s="12"/>
      <c r="AB51" s="181"/>
      <c r="AC51" s="989"/>
      <c r="AD51" s="585"/>
      <c r="AE51" s="643"/>
      <c r="AF51" s="985"/>
      <c r="AG51" s="846"/>
      <c r="AH51" s="585"/>
      <c r="AI51" s="585">
        <v>200</v>
      </c>
      <c r="AJ51" s="1002">
        <v>340</v>
      </c>
      <c r="AK51" s="1001"/>
      <c r="AL51" s="585"/>
      <c r="AM51" s="585"/>
      <c r="AN51" s="585"/>
      <c r="AO51" s="1007"/>
      <c r="AP51" s="1005"/>
      <c r="AQ51" s="643"/>
      <c r="AR51" s="643"/>
      <c r="AS51" s="643"/>
      <c r="AT51" s="990"/>
      <c r="AU51" s="991"/>
      <c r="AV51" s="643"/>
      <c r="AW51" s="643"/>
      <c r="AX51" s="643"/>
      <c r="AY51" s="991"/>
      <c r="AZ51" s="643"/>
      <c r="BA51" s="643"/>
      <c r="BB51" s="990"/>
      <c r="BC51" s="643"/>
      <c r="BD51" s="643"/>
      <c r="BE51" s="643"/>
      <c r="BF51" s="643"/>
      <c r="BG51" s="990"/>
      <c r="BH51" s="991"/>
      <c r="BI51" s="643"/>
      <c r="BJ51" s="643"/>
      <c r="BK51" s="990"/>
      <c r="BL51" s="991"/>
      <c r="BM51" s="643"/>
      <c r="BN51" s="643"/>
      <c r="BO51" s="643"/>
      <c r="BP51" s="990"/>
      <c r="BQ51" s="991"/>
      <c r="BR51" s="643"/>
      <c r="BS51" s="643"/>
      <c r="BT51" s="990"/>
      <c r="BU51" s="991"/>
      <c r="BV51" s="643"/>
      <c r="BW51" s="643"/>
      <c r="BX51" s="985"/>
      <c r="BZ51" s="650"/>
    </row>
    <row r="52" spans="1:78" ht="19" customHeight="1" x14ac:dyDescent="0.2">
      <c r="A52" s="649" t="s">
        <v>335</v>
      </c>
      <c r="B52" s="632" t="s">
        <v>4</v>
      </c>
      <c r="C52" s="649" t="s">
        <v>287</v>
      </c>
      <c r="D52" s="632">
        <v>1440</v>
      </c>
      <c r="E52" s="828">
        <f>IFERROR(VLOOKUP(A52,ContainerSchedule!$A:$E,5,0),"")</f>
        <v>46133</v>
      </c>
      <c r="F52" s="828">
        <f>VLOOKUP(A52,ContainerSchedule!$A$1:$F$91,6,0)</f>
        <v>46160</v>
      </c>
      <c r="G52" s="831">
        <v>46181</v>
      </c>
      <c r="H52" s="632">
        <f t="shared" si="74"/>
        <v>1440</v>
      </c>
      <c r="I52" s="837">
        <f t="shared" si="72"/>
        <v>0</v>
      </c>
      <c r="J52" s="948" cm="1">
        <f t="array" ref="J52">IFERROR(_xlfn.XLOOKUP(TRUE,$L52:$BY52&lt;&gt;"",$L52:$BY52,,0,-1),"")</f>
        <v>1440</v>
      </c>
      <c r="K52" s="946">
        <f t="shared" si="73"/>
        <v>46164</v>
      </c>
      <c r="P52" s="17"/>
      <c r="R52" s="181"/>
      <c r="S52" s="181"/>
      <c r="T52" s="18"/>
      <c r="W52" s="181"/>
      <c r="X52" s="181"/>
      <c r="Y52" s="247"/>
      <c r="Z52" s="137"/>
      <c r="AA52" s="12"/>
      <c r="AB52" s="137"/>
      <c r="AC52" s="993"/>
      <c r="AD52" s="585"/>
      <c r="AE52" s="585"/>
      <c r="AF52" s="1003"/>
      <c r="AG52" s="643"/>
      <c r="AH52" s="643"/>
      <c r="AI52" s="643"/>
      <c r="AJ52" s="967">
        <v>1440</v>
      </c>
      <c r="AK52" s="985"/>
      <c r="AL52" s="643"/>
      <c r="AM52" s="643"/>
      <c r="AN52" s="643"/>
      <c r="AO52" s="990"/>
      <c r="AP52" s="991"/>
      <c r="AQ52" s="643"/>
      <c r="AR52" s="643"/>
      <c r="AS52" s="643"/>
      <c r="AT52" s="990"/>
      <c r="AU52" s="991"/>
      <c r="AV52" s="643"/>
      <c r="AW52" s="643"/>
      <c r="AX52" s="643"/>
      <c r="AY52" s="991"/>
      <c r="AZ52" s="643"/>
      <c r="BA52" s="643"/>
      <c r="BB52" s="990"/>
      <c r="BC52" s="643"/>
      <c r="BD52" s="643"/>
      <c r="BE52" s="643"/>
      <c r="BF52" s="643"/>
      <c r="BG52" s="990"/>
      <c r="BH52" s="991"/>
      <c r="BI52" s="643"/>
      <c r="BJ52" s="643"/>
      <c r="BK52" s="990"/>
      <c r="BL52" s="991"/>
      <c r="BM52" s="643"/>
      <c r="BN52" s="643"/>
      <c r="BO52" s="643"/>
      <c r="BP52" s="990"/>
      <c r="BQ52" s="991"/>
      <c r="BR52" s="643"/>
      <c r="BS52" s="643"/>
      <c r="BT52" s="990"/>
      <c r="BU52" s="991"/>
      <c r="BV52" s="643"/>
      <c r="BW52" s="643"/>
      <c r="BX52" s="985"/>
      <c r="BZ52" s="650"/>
    </row>
    <row r="53" spans="1:78" ht="19" customHeight="1" x14ac:dyDescent="0.2">
      <c r="A53" s="649" t="s">
        <v>384</v>
      </c>
      <c r="B53" s="632" t="s">
        <v>60</v>
      </c>
      <c r="C53" s="649" t="s">
        <v>302</v>
      </c>
      <c r="D53" s="632">
        <v>600</v>
      </c>
      <c r="E53" s="828" t="str">
        <f>IFERROR(VLOOKUP(A53,ContainerSchedule!$A:$E,5,0),"")</f>
        <v/>
      </c>
      <c r="F53" s="828">
        <v>46154</v>
      </c>
      <c r="G53" s="828"/>
      <c r="H53" s="11">
        <f t="shared" si="74"/>
        <v>600</v>
      </c>
      <c r="I53" s="837">
        <f t="shared" si="72"/>
        <v>0</v>
      </c>
      <c r="J53" s="948" cm="1">
        <f t="array" ref="J53">IFERROR(_xlfn.XLOOKUP(TRUE,$L53:$BY53&lt;&gt;"",$L53:$BY53,,0,-1),"")</f>
        <v>600</v>
      </c>
      <c r="K53" s="946">
        <f t="shared" si="73"/>
        <v>46164</v>
      </c>
      <c r="P53" s="17"/>
      <c r="R53" s="181"/>
      <c r="S53" s="181"/>
      <c r="T53" s="18"/>
      <c r="W53" s="181"/>
      <c r="X53" s="181"/>
      <c r="Y53" s="247"/>
      <c r="Z53" s="137"/>
      <c r="AA53" s="12"/>
      <c r="AB53" s="137"/>
      <c r="AC53" s="989"/>
      <c r="AD53" s="643"/>
      <c r="AE53" s="643"/>
      <c r="AF53" s="1003"/>
      <c r="AG53" s="585"/>
      <c r="AH53" s="585"/>
      <c r="AI53" s="966"/>
      <c r="AJ53" s="585">
        <v>600</v>
      </c>
      <c r="AK53" s="1003"/>
      <c r="AL53" s="585"/>
      <c r="AM53" s="585"/>
      <c r="AN53" s="585"/>
      <c r="AO53" s="1004"/>
      <c r="AP53" s="1005"/>
      <c r="AQ53" s="585"/>
      <c r="AR53" s="585"/>
      <c r="AS53" s="585"/>
      <c r="AT53" s="1004"/>
      <c r="AU53" s="991"/>
      <c r="AV53" s="643"/>
      <c r="AW53" s="643"/>
      <c r="AX53" s="643"/>
      <c r="AY53" s="991"/>
      <c r="AZ53" s="643"/>
      <c r="BA53" s="643"/>
      <c r="BB53" s="990"/>
      <c r="BC53" s="643"/>
      <c r="BD53" s="643"/>
      <c r="BE53" s="643"/>
      <c r="BF53" s="643"/>
      <c r="BG53" s="990"/>
      <c r="BH53" s="991"/>
      <c r="BI53" s="643"/>
      <c r="BJ53" s="643"/>
      <c r="BK53" s="990"/>
      <c r="BL53" s="991"/>
      <c r="BM53" s="643"/>
      <c r="BN53" s="643"/>
      <c r="BO53" s="643"/>
      <c r="BP53" s="990"/>
      <c r="BQ53" s="991"/>
      <c r="BR53" s="643"/>
      <c r="BS53" s="643"/>
      <c r="BT53" s="990"/>
      <c r="BU53" s="991"/>
      <c r="BV53" s="643"/>
      <c r="BW53" s="643"/>
      <c r="BX53" s="985"/>
      <c r="BZ53" s="650"/>
    </row>
    <row r="54" spans="1:78" ht="21" customHeight="1" x14ac:dyDescent="0.2">
      <c r="A54" s="649" t="s">
        <v>384</v>
      </c>
      <c r="B54" s="632" t="s">
        <v>60</v>
      </c>
      <c r="C54" s="649" t="s">
        <v>299</v>
      </c>
      <c r="D54" s="632">
        <v>600</v>
      </c>
      <c r="E54" s="828" t="str">
        <f>IFERROR(VLOOKUP(A54,ContainerSchedule!$A:$E,5,0),"")</f>
        <v/>
      </c>
      <c r="F54" s="828">
        <v>46154</v>
      </c>
      <c r="G54" s="828"/>
      <c r="H54" s="11">
        <f t="shared" si="74"/>
        <v>600</v>
      </c>
      <c r="I54" s="837">
        <f t="shared" si="72"/>
        <v>0</v>
      </c>
      <c r="J54" s="948" cm="1">
        <f t="array" ref="J54">IFERROR(_xlfn.XLOOKUP(TRUE,$L54:$BY54&lt;&gt;"",$L54:$BY54,,0,-1),"")</f>
        <v>600</v>
      </c>
      <c r="K54" s="946">
        <f t="shared" si="73"/>
        <v>46164</v>
      </c>
      <c r="P54" s="17"/>
      <c r="R54" s="181"/>
      <c r="S54" s="181"/>
      <c r="T54" s="18"/>
      <c r="W54" s="181"/>
      <c r="X54" s="181"/>
      <c r="Y54" s="247"/>
      <c r="Z54" s="137"/>
      <c r="AA54" s="12"/>
      <c r="AB54" s="137"/>
      <c r="AC54" s="989"/>
      <c r="AD54" s="643"/>
      <c r="AE54" s="643"/>
      <c r="AF54" s="1003"/>
      <c r="AG54" s="585"/>
      <c r="AH54" s="585"/>
      <c r="AI54" s="966"/>
      <c r="AJ54" s="585">
        <v>600</v>
      </c>
      <c r="AK54" s="1003"/>
      <c r="AL54" s="585"/>
      <c r="AM54" s="585"/>
      <c r="AN54" s="585"/>
      <c r="AO54" s="1004"/>
      <c r="AP54" s="1005"/>
      <c r="AQ54" s="585"/>
      <c r="AR54" s="585"/>
      <c r="AS54" s="585"/>
      <c r="AT54" s="1004"/>
      <c r="AU54" s="991"/>
      <c r="AV54" s="643"/>
      <c r="AW54" s="643"/>
      <c r="AX54" s="643"/>
      <c r="AY54" s="991"/>
      <c r="AZ54" s="643"/>
      <c r="BA54" s="643"/>
      <c r="BB54" s="990"/>
      <c r="BC54" s="643"/>
      <c r="BD54" s="643"/>
      <c r="BE54" s="643"/>
      <c r="BF54" s="643"/>
      <c r="BG54" s="990"/>
      <c r="BH54" s="991"/>
      <c r="BI54" s="643"/>
      <c r="BJ54" s="643"/>
      <c r="BK54" s="990"/>
      <c r="BL54" s="991"/>
      <c r="BM54" s="643"/>
      <c r="BN54" s="643"/>
      <c r="BO54" s="643"/>
      <c r="BP54" s="990"/>
      <c r="BQ54" s="991"/>
      <c r="BR54" s="643"/>
      <c r="BS54" s="643"/>
      <c r="BT54" s="990"/>
      <c r="BU54" s="991"/>
      <c r="BV54" s="643"/>
      <c r="BW54" s="643"/>
      <c r="BX54" s="985"/>
      <c r="BZ54" s="650"/>
    </row>
    <row r="55" spans="1:78" ht="20" customHeight="1" x14ac:dyDescent="0.2">
      <c r="A55" s="983" t="s">
        <v>335</v>
      </c>
      <c r="B55" s="632" t="s">
        <v>4</v>
      </c>
      <c r="C55" s="649" t="s">
        <v>285</v>
      </c>
      <c r="D55" s="632">
        <v>1806</v>
      </c>
      <c r="E55" s="828">
        <f>IFERROR(VLOOKUP(A55,ContainerSchedule!$A:$E,5,0),"")</f>
        <v>46133</v>
      </c>
      <c r="F55" s="828" t="e">
        <f>VLOOKUP(A54,ContainerSchedule!$A$1:$F$91,6,0)</f>
        <v>#N/A</v>
      </c>
      <c r="G55" s="831">
        <v>46181</v>
      </c>
      <c r="H55" s="632">
        <f t="shared" si="74"/>
        <v>1806</v>
      </c>
      <c r="I55" s="837">
        <f t="shared" si="72"/>
        <v>0</v>
      </c>
      <c r="J55" s="948" cm="1">
        <f t="array" ref="J55">IFERROR(_xlfn.XLOOKUP(TRUE,$L55:$BY55&lt;&gt;"",$L55:$BY55,,0,-1),"")</f>
        <v>1806</v>
      </c>
      <c r="K55" s="946">
        <f t="shared" si="73"/>
        <v>46171</v>
      </c>
      <c r="P55" s="17"/>
      <c r="R55" s="181"/>
      <c r="S55" s="181"/>
      <c r="T55" s="18"/>
      <c r="W55" s="181"/>
      <c r="X55" s="181"/>
      <c r="Y55" s="247"/>
      <c r="Z55" s="137"/>
      <c r="AA55" s="12"/>
      <c r="AB55" s="137"/>
      <c r="AC55" s="993"/>
      <c r="AD55" s="585"/>
      <c r="AE55" s="585"/>
      <c r="AF55" s="1003"/>
      <c r="AG55" s="643"/>
      <c r="AH55" s="643"/>
      <c r="AI55" s="643"/>
      <c r="AJ55" s="975"/>
      <c r="AK55" s="985">
        <f>800+660+346</f>
        <v>1806</v>
      </c>
      <c r="AL55" s="643"/>
      <c r="AM55" s="643"/>
      <c r="AN55" s="643"/>
      <c r="AO55" s="990"/>
      <c r="AP55" s="991"/>
      <c r="AQ55" s="643"/>
      <c r="AR55" s="643"/>
      <c r="AS55" s="643"/>
      <c r="AT55" s="990"/>
      <c r="AU55" s="991"/>
      <c r="AV55" s="643"/>
      <c r="AW55" s="643"/>
      <c r="AX55" s="643"/>
      <c r="AY55" s="991"/>
      <c r="AZ55" s="643"/>
      <c r="BA55" s="643"/>
      <c r="BB55" s="990"/>
      <c r="BC55" s="643"/>
      <c r="BD55" s="643"/>
      <c r="BE55" s="643"/>
      <c r="BF55" s="643"/>
      <c r="BG55" s="990"/>
      <c r="BH55" s="991"/>
      <c r="BI55" s="643"/>
      <c r="BJ55" s="643"/>
      <c r="BK55" s="990"/>
      <c r="BL55" s="991"/>
      <c r="BM55" s="643"/>
      <c r="BN55" s="643"/>
      <c r="BO55" s="643"/>
      <c r="BP55" s="990"/>
      <c r="BQ55" s="991"/>
      <c r="BR55" s="643"/>
      <c r="BS55" s="643"/>
      <c r="BT55" s="990"/>
      <c r="BU55" s="991"/>
      <c r="BV55" s="643"/>
      <c r="BW55" s="643"/>
      <c r="BX55" s="985"/>
      <c r="BZ55" s="650"/>
    </row>
    <row r="56" spans="1:78" ht="20" customHeight="1" x14ac:dyDescent="0.2">
      <c r="A56" s="983" t="s">
        <v>334</v>
      </c>
      <c r="B56" s="632" t="s">
        <v>4</v>
      </c>
      <c r="C56" s="649" t="s">
        <v>278</v>
      </c>
      <c r="D56" s="632">
        <v>600</v>
      </c>
      <c r="E56" s="828">
        <f>IFERROR(VLOOKUP(A56,ContainerSchedule!$A:$E,5,0),"")</f>
        <v>46133</v>
      </c>
      <c r="F56" s="828">
        <f>VLOOKUP(A56,ContainerSchedule!$A$1:$F$91,6,0)</f>
        <v>46160</v>
      </c>
      <c r="G56" s="828">
        <v>46178</v>
      </c>
      <c r="H56" s="632">
        <f t="shared" si="74"/>
        <v>600</v>
      </c>
      <c r="I56" s="837">
        <f t="shared" si="72"/>
        <v>0</v>
      </c>
      <c r="J56" s="948" cm="1">
        <f t="array" ref="J56">IFERROR(_xlfn.XLOOKUP(TRUE,$L56:$BY56&lt;&gt;"",$L56:$BY56,,0,-1),"")</f>
        <v>600</v>
      </c>
      <c r="K56" s="946">
        <f t="shared" si="73"/>
        <v>46171</v>
      </c>
      <c r="P56" s="17"/>
      <c r="R56" s="181"/>
      <c r="S56" s="181"/>
      <c r="T56" s="18"/>
      <c r="W56" s="181"/>
      <c r="X56" s="181"/>
      <c r="Y56" s="247"/>
      <c r="Z56" s="137"/>
      <c r="AA56" s="12"/>
      <c r="AB56" s="137"/>
      <c r="AC56" s="993"/>
      <c r="AD56" s="585"/>
      <c r="AE56" s="585"/>
      <c r="AF56" s="1003"/>
      <c r="AG56" s="643"/>
      <c r="AH56" s="643"/>
      <c r="AI56" s="585"/>
      <c r="AJ56" s="967"/>
      <c r="AK56" s="985">
        <v>600</v>
      </c>
      <c r="AL56" s="643"/>
      <c r="AM56" s="643"/>
      <c r="AN56" s="643"/>
      <c r="AO56" s="990"/>
      <c r="AP56" s="991"/>
      <c r="AQ56" s="643"/>
      <c r="AR56" s="643"/>
      <c r="AS56" s="643"/>
      <c r="AT56" s="990"/>
      <c r="AU56" s="991"/>
      <c r="AV56" s="643"/>
      <c r="AW56" s="643"/>
      <c r="AX56" s="643"/>
      <c r="AY56" s="991"/>
      <c r="AZ56" s="643"/>
      <c r="BA56" s="643"/>
      <c r="BB56" s="990"/>
      <c r="BC56" s="643"/>
      <c r="BD56" s="643"/>
      <c r="BE56" s="643"/>
      <c r="BF56" s="643"/>
      <c r="BG56" s="990"/>
      <c r="BH56" s="991"/>
      <c r="BI56" s="643"/>
      <c r="BJ56" s="643"/>
      <c r="BK56" s="990"/>
      <c r="BL56" s="991"/>
      <c r="BM56" s="643"/>
      <c r="BN56" s="643"/>
      <c r="BO56" s="643"/>
      <c r="BP56" s="990"/>
      <c r="BQ56" s="991"/>
      <c r="BR56" s="643"/>
      <c r="BS56" s="643"/>
      <c r="BT56" s="990"/>
      <c r="BU56" s="991"/>
      <c r="BV56" s="643"/>
      <c r="BW56" s="643"/>
      <c r="BX56" s="985"/>
      <c r="BZ56" s="650"/>
    </row>
    <row r="57" spans="1:78" ht="18" customHeight="1" x14ac:dyDescent="0.2">
      <c r="A57" s="649" t="s">
        <v>337</v>
      </c>
      <c r="B57" s="632" t="s">
        <v>4</v>
      </c>
      <c r="C57" s="649" t="s">
        <v>144</v>
      </c>
      <c r="D57" s="632">
        <v>600</v>
      </c>
      <c r="E57" s="828">
        <f>IFERROR(VLOOKUP(A57,ContainerSchedule!$A:$E,5,0),"")</f>
        <v>46139</v>
      </c>
      <c r="F57" s="828">
        <f>VLOOKUP(A57,ContainerSchedule!$A$1:$F$91,6,0)</f>
        <v>46177</v>
      </c>
      <c r="G57" s="828">
        <v>46192</v>
      </c>
      <c r="H57" s="632">
        <f t="shared" si="74"/>
        <v>600</v>
      </c>
      <c r="I57" s="837">
        <f t="shared" si="72"/>
        <v>0</v>
      </c>
      <c r="J57" s="948" cm="1">
        <f t="array" ref="J57">IFERROR(_xlfn.XLOOKUP(TRUE,$L57:$BY57&lt;&gt;"",$L57:$BY57,,0,-1),"")</f>
        <v>600</v>
      </c>
      <c r="K57" s="946">
        <f t="shared" si="73"/>
        <v>46178</v>
      </c>
      <c r="P57" s="17"/>
      <c r="R57" s="181"/>
      <c r="S57" s="181"/>
      <c r="T57" s="18"/>
      <c r="W57" s="181"/>
      <c r="X57" s="181"/>
      <c r="Y57" s="247"/>
      <c r="Z57" s="137"/>
      <c r="AA57" s="12"/>
      <c r="AB57" s="137"/>
      <c r="AC57" s="989"/>
      <c r="AD57" s="643"/>
      <c r="AE57" s="643"/>
      <c r="AF57" s="985"/>
      <c r="AG57" s="585"/>
      <c r="AH57" s="585"/>
      <c r="AI57" s="585"/>
      <c r="AJ57" s="585"/>
      <c r="AK57" s="1003"/>
      <c r="AL57" s="967">
        <v>600</v>
      </c>
      <c r="AM57" s="643"/>
      <c r="AN57" s="643"/>
      <c r="AO57" s="990"/>
      <c r="AP57" s="991"/>
      <c r="AQ57" s="643"/>
      <c r="AR57" s="643"/>
      <c r="AS57" s="643"/>
      <c r="AT57" s="990"/>
      <c r="AU57" s="991"/>
      <c r="AV57" s="643"/>
      <c r="AW57" s="643"/>
      <c r="AX57" s="643"/>
      <c r="AY57" s="991"/>
      <c r="AZ57" s="643"/>
      <c r="BA57" s="643"/>
      <c r="BB57" s="990"/>
      <c r="BC57" s="643"/>
      <c r="BD57" s="643"/>
      <c r="BE57" s="643"/>
      <c r="BF57" s="643"/>
      <c r="BG57" s="990"/>
      <c r="BH57" s="991"/>
      <c r="BI57" s="643"/>
      <c r="BJ57" s="643"/>
      <c r="BK57" s="990"/>
      <c r="BL57" s="991"/>
      <c r="BM57" s="643"/>
      <c r="BN57" s="643"/>
      <c r="BO57" s="643"/>
      <c r="BP57" s="990"/>
      <c r="BQ57" s="991"/>
      <c r="BR57" s="643"/>
      <c r="BS57" s="643"/>
      <c r="BT57" s="990"/>
      <c r="BU57" s="991"/>
      <c r="BV57" s="643"/>
      <c r="BW57" s="643"/>
      <c r="BX57" s="985"/>
      <c r="BZ57" s="650"/>
    </row>
    <row r="58" spans="1:78" ht="18" customHeight="1" x14ac:dyDescent="0.2">
      <c r="A58" s="649" t="s">
        <v>337</v>
      </c>
      <c r="B58" s="632" t="s">
        <v>4</v>
      </c>
      <c r="C58" s="649" t="s">
        <v>177</v>
      </c>
      <c r="D58" s="632">
        <v>600</v>
      </c>
      <c r="E58" s="828">
        <f>IFERROR(VLOOKUP(A58,ContainerSchedule!$A:$E,5,0),"")</f>
        <v>46139</v>
      </c>
      <c r="F58" s="828">
        <f>VLOOKUP(A58,ContainerSchedule!$A$1:$F$91,6,0)</f>
        <v>46177</v>
      </c>
      <c r="G58" s="828">
        <v>46192</v>
      </c>
      <c r="H58" s="632">
        <f t="shared" si="74"/>
        <v>600</v>
      </c>
      <c r="I58" s="837">
        <f t="shared" si="72"/>
        <v>0</v>
      </c>
      <c r="J58" s="948" cm="1">
        <f t="array" ref="J58">IFERROR(_xlfn.XLOOKUP(TRUE,$L58:$BY58&lt;&gt;"",$L58:$BY58,,0,-1),"")</f>
        <v>200</v>
      </c>
      <c r="K58" s="946">
        <f t="shared" si="73"/>
        <v>46185</v>
      </c>
      <c r="P58" s="17"/>
      <c r="R58" s="181"/>
      <c r="S58" s="181"/>
      <c r="T58" s="18"/>
      <c r="W58" s="181"/>
      <c r="X58" s="181"/>
      <c r="Y58" s="247"/>
      <c r="Z58" s="137"/>
      <c r="AA58" s="12"/>
      <c r="AB58" s="137"/>
      <c r="AC58" s="989"/>
      <c r="AD58" s="643"/>
      <c r="AE58" s="643"/>
      <c r="AF58" s="985"/>
      <c r="AG58" s="585"/>
      <c r="AH58" s="585"/>
      <c r="AI58" s="585"/>
      <c r="AJ58" s="585"/>
      <c r="AK58" s="1003"/>
      <c r="AL58" s="967">
        <v>400</v>
      </c>
      <c r="AM58" s="643">
        <v>200</v>
      </c>
      <c r="AN58" s="643"/>
      <c r="AO58" s="990"/>
      <c r="AP58" s="991"/>
      <c r="AQ58" s="643"/>
      <c r="AR58" s="643"/>
      <c r="AS58" s="643"/>
      <c r="AT58" s="990"/>
      <c r="AU58" s="991"/>
      <c r="AV58" s="643"/>
      <c r="AW58" s="643"/>
      <c r="AX58" s="643"/>
      <c r="AY58" s="991"/>
      <c r="AZ58" s="643"/>
      <c r="BA58" s="643"/>
      <c r="BB58" s="990"/>
      <c r="BC58" s="643"/>
      <c r="BD58" s="643"/>
      <c r="BE58" s="643"/>
      <c r="BF58" s="643"/>
      <c r="BG58" s="990"/>
      <c r="BH58" s="991"/>
      <c r="BI58" s="643"/>
      <c r="BJ58" s="643"/>
      <c r="BK58" s="990"/>
      <c r="BL58" s="991"/>
      <c r="BM58" s="643"/>
      <c r="BN58" s="643"/>
      <c r="BO58" s="643"/>
      <c r="BP58" s="990"/>
      <c r="BQ58" s="991"/>
      <c r="BR58" s="643"/>
      <c r="BS58" s="643"/>
      <c r="BT58" s="990"/>
      <c r="BU58" s="991"/>
      <c r="BV58" s="643"/>
      <c r="BW58" s="643"/>
      <c r="BX58" s="985"/>
      <c r="BZ58" s="650"/>
    </row>
    <row r="59" spans="1:78" ht="18" customHeight="1" x14ac:dyDescent="0.2">
      <c r="A59" s="649" t="s">
        <v>339</v>
      </c>
      <c r="B59" s="632" t="s">
        <v>4</v>
      </c>
      <c r="C59" s="649" t="s">
        <v>807</v>
      </c>
      <c r="D59" s="632">
        <v>600</v>
      </c>
      <c r="E59" s="828">
        <f>IFERROR(VLOOKUP(A59,ContainerSchedule!$A:$E,5,0),"")</f>
        <v>46139</v>
      </c>
      <c r="F59" s="828">
        <f>VLOOKUP(A59,ContainerSchedule!$A$1:$F$91,6,0)</f>
        <v>46177</v>
      </c>
      <c r="G59" s="828">
        <v>46192</v>
      </c>
      <c r="H59" s="632">
        <f t="shared" si="74"/>
        <v>600</v>
      </c>
      <c r="I59" s="837">
        <f t="shared" si="72"/>
        <v>0</v>
      </c>
      <c r="J59" s="948" cm="1">
        <f t="array" ref="J59">IFERROR(_xlfn.XLOOKUP(TRUE,$L59:$BY59&lt;&gt;"",$L59:$BY59,,0,-1),"")</f>
        <v>600</v>
      </c>
      <c r="K59" s="946">
        <f t="shared" si="73"/>
        <v>46185</v>
      </c>
      <c r="P59" s="17"/>
      <c r="R59" s="181"/>
      <c r="S59" s="181"/>
      <c r="T59" s="18"/>
      <c r="W59" s="181"/>
      <c r="X59" s="181"/>
      <c r="Y59" s="247"/>
      <c r="Z59" s="137"/>
      <c r="AA59" s="12"/>
      <c r="AB59" s="137"/>
      <c r="AC59" s="989"/>
      <c r="AD59" s="643"/>
      <c r="AE59" s="643"/>
      <c r="AF59" s="985"/>
      <c r="AG59" s="585"/>
      <c r="AH59" s="585"/>
      <c r="AI59" s="585"/>
      <c r="AJ59" s="585"/>
      <c r="AK59" s="1003"/>
      <c r="AL59" s="967"/>
      <c r="AM59" s="643">
        <v>600</v>
      </c>
      <c r="AN59" s="643"/>
      <c r="AO59" s="990"/>
      <c r="AP59" s="991"/>
      <c r="AQ59" s="643"/>
      <c r="AR59" s="643"/>
      <c r="AS59" s="643"/>
      <c r="AT59" s="990"/>
      <c r="AU59" s="991"/>
      <c r="AV59" s="643"/>
      <c r="AW59" s="643"/>
      <c r="AX59" s="643"/>
      <c r="AY59" s="991"/>
      <c r="AZ59" s="643"/>
      <c r="BA59" s="643"/>
      <c r="BB59" s="990"/>
      <c r="BC59" s="643"/>
      <c r="BD59" s="643"/>
      <c r="BE59" s="643"/>
      <c r="BF59" s="643"/>
      <c r="BG59" s="990"/>
      <c r="BH59" s="991"/>
      <c r="BI59" s="643"/>
      <c r="BJ59" s="643"/>
      <c r="BK59" s="990"/>
      <c r="BL59" s="991"/>
      <c r="BM59" s="643"/>
      <c r="BN59" s="643"/>
      <c r="BO59" s="643"/>
      <c r="BP59" s="990"/>
      <c r="BQ59" s="991"/>
      <c r="BR59" s="643"/>
      <c r="BS59" s="643"/>
      <c r="BT59" s="990"/>
      <c r="BU59" s="991"/>
      <c r="BV59" s="643"/>
      <c r="BW59" s="643"/>
      <c r="BX59" s="985"/>
      <c r="BZ59" s="650"/>
    </row>
    <row r="60" spans="1:78" ht="18" customHeight="1" x14ac:dyDescent="0.2">
      <c r="A60" s="649" t="s">
        <v>339</v>
      </c>
      <c r="B60" s="632" t="s">
        <v>4</v>
      </c>
      <c r="C60" s="649" t="s">
        <v>809</v>
      </c>
      <c r="D60" s="632">
        <v>600</v>
      </c>
      <c r="E60" s="828">
        <f>IFERROR(VLOOKUP(A60,ContainerSchedule!$A:$E,5,0),"")</f>
        <v>46139</v>
      </c>
      <c r="F60" s="828">
        <f>VLOOKUP(A60,ContainerSchedule!$A$1:$F$91,6,0)</f>
        <v>46177</v>
      </c>
      <c r="G60" s="828">
        <v>46192</v>
      </c>
      <c r="H60" s="632">
        <f t="shared" si="74"/>
        <v>600</v>
      </c>
      <c r="I60" s="837">
        <f t="shared" si="72"/>
        <v>0</v>
      </c>
      <c r="J60" s="948" cm="1">
        <f t="array" ref="J60">IFERROR(_xlfn.XLOOKUP(TRUE,$L60:$BY60&lt;&gt;"",$L60:$BY60,,0,-1),"")</f>
        <v>600</v>
      </c>
      <c r="K60" s="946">
        <f t="shared" si="73"/>
        <v>46185</v>
      </c>
      <c r="P60" s="17"/>
      <c r="R60" s="181"/>
      <c r="S60" s="181"/>
      <c r="T60" s="18"/>
      <c r="W60" s="181"/>
      <c r="X60" s="181"/>
      <c r="Y60" s="247"/>
      <c r="Z60" s="137"/>
      <c r="AA60" s="12"/>
      <c r="AB60" s="137"/>
      <c r="AC60" s="989"/>
      <c r="AD60" s="643"/>
      <c r="AE60" s="643"/>
      <c r="AF60" s="985"/>
      <c r="AG60" s="585"/>
      <c r="AH60" s="585"/>
      <c r="AI60" s="585"/>
      <c r="AJ60" s="585"/>
      <c r="AK60" s="1003"/>
      <c r="AL60" s="967"/>
      <c r="AM60" s="643">
        <v>600</v>
      </c>
      <c r="AN60" s="643"/>
      <c r="AO60" s="990"/>
      <c r="AP60" s="991"/>
      <c r="AQ60" s="643"/>
      <c r="AR60" s="643"/>
      <c r="AS60" s="643"/>
      <c r="AT60" s="990"/>
      <c r="AU60" s="991"/>
      <c r="AV60" s="643"/>
      <c r="AW60" s="643"/>
      <c r="AX60" s="643"/>
      <c r="AY60" s="991"/>
      <c r="AZ60" s="643"/>
      <c r="BA60" s="643"/>
      <c r="BB60" s="990"/>
      <c r="BC60" s="643"/>
      <c r="BD60" s="643"/>
      <c r="BE60" s="643"/>
      <c r="BF60" s="643"/>
      <c r="BG60" s="990"/>
      <c r="BH60" s="991"/>
      <c r="BI60" s="643"/>
      <c r="BJ60" s="643"/>
      <c r="BK60" s="990"/>
      <c r="BL60" s="991"/>
      <c r="BM60" s="643"/>
      <c r="BN60" s="643"/>
      <c r="BO60" s="643"/>
      <c r="BP60" s="990"/>
      <c r="BQ60" s="991"/>
      <c r="BR60" s="643"/>
      <c r="BS60" s="643"/>
      <c r="BT60" s="990"/>
      <c r="BU60" s="991"/>
      <c r="BV60" s="643"/>
      <c r="BW60" s="643"/>
      <c r="BX60" s="985"/>
      <c r="BZ60" s="650"/>
    </row>
    <row r="61" spans="1:78" ht="20" customHeight="1" x14ac:dyDescent="0.2">
      <c r="A61" s="633" t="s">
        <v>336</v>
      </c>
      <c r="B61" s="632" t="s">
        <v>15</v>
      </c>
      <c r="C61" s="649" t="s">
        <v>820</v>
      </c>
      <c r="D61" s="632">
        <v>1572</v>
      </c>
      <c r="E61" s="828">
        <f>IFERROR(VLOOKUP(A61,ContainerSchedule!$A:$E,5,0),"")</f>
        <v>46137</v>
      </c>
      <c r="F61" s="828">
        <f>VLOOKUP(A61,ContainerSchedule!$A$1:$F$91,6,0)</f>
        <v>46175</v>
      </c>
      <c r="G61" s="828">
        <v>46164</v>
      </c>
      <c r="H61" s="11">
        <f t="shared" si="74"/>
        <v>1572</v>
      </c>
      <c r="I61" s="837">
        <f t="shared" si="72"/>
        <v>0</v>
      </c>
      <c r="J61" s="948" cm="1">
        <f t="array" ref="J61">IFERROR(_xlfn.XLOOKUP(TRUE,$L61:$BY61&lt;&gt;"",$L61:$BY61,,0,-1),"")</f>
        <v>1572</v>
      </c>
      <c r="K61" s="946">
        <f t="shared" si="73"/>
        <v>46185</v>
      </c>
      <c r="P61" s="17"/>
      <c r="R61" s="181"/>
      <c r="S61" s="181"/>
      <c r="T61" s="18"/>
      <c r="W61" s="181"/>
      <c r="X61" s="181"/>
      <c r="Y61" s="247"/>
      <c r="Z61" s="137"/>
      <c r="AA61" s="12"/>
      <c r="AB61" s="137"/>
      <c r="AC61" s="989"/>
      <c r="AD61" s="643"/>
      <c r="AE61" s="643"/>
      <c r="AF61" s="985"/>
      <c r="AG61" s="585"/>
      <c r="AH61" s="585"/>
      <c r="AI61" s="585"/>
      <c r="AJ61" s="585"/>
      <c r="AK61" s="1003"/>
      <c r="AL61" s="967"/>
      <c r="AM61" s="846">
        <v>1572</v>
      </c>
      <c r="AN61" s="643"/>
      <c r="AO61" s="990"/>
      <c r="AP61" s="991"/>
      <c r="AQ61" s="643"/>
      <c r="AR61" s="643"/>
      <c r="AS61" s="643"/>
      <c r="AT61" s="990"/>
      <c r="AU61" s="991"/>
      <c r="AV61" s="643"/>
      <c r="AW61" s="643"/>
      <c r="AX61" s="643"/>
      <c r="AY61" s="991"/>
      <c r="AZ61" s="643"/>
      <c r="BA61" s="643"/>
      <c r="BB61" s="990"/>
      <c r="BC61" s="643"/>
      <c r="BD61" s="643"/>
      <c r="BE61" s="643"/>
      <c r="BF61" s="643"/>
      <c r="BG61" s="990"/>
      <c r="BH61" s="991"/>
      <c r="BI61" s="643"/>
      <c r="BJ61" s="643"/>
      <c r="BK61" s="990"/>
      <c r="BL61" s="991"/>
      <c r="BM61" s="643"/>
      <c r="BN61" s="643"/>
      <c r="BO61" s="643"/>
      <c r="BP61" s="990"/>
      <c r="BQ61" s="991"/>
      <c r="BR61" s="643"/>
      <c r="BS61" s="643"/>
      <c r="BT61" s="990"/>
      <c r="BU61" s="991"/>
      <c r="BV61" s="643"/>
      <c r="BW61" s="643"/>
      <c r="BX61" s="985"/>
      <c r="BZ61" s="650"/>
    </row>
    <row r="62" spans="1:78" ht="18" customHeight="1" x14ac:dyDescent="0.2">
      <c r="A62" s="649" t="s">
        <v>338</v>
      </c>
      <c r="B62" s="632" t="s">
        <v>4</v>
      </c>
      <c r="C62" s="649" t="s">
        <v>278</v>
      </c>
      <c r="D62" s="632">
        <v>600</v>
      </c>
      <c r="E62" s="828">
        <f>IFERROR(VLOOKUP(A62,ContainerSchedule!$A:$E,5,0),"")</f>
        <v>46139</v>
      </c>
      <c r="F62" s="828">
        <f>VLOOKUP(A62,ContainerSchedule!$A$1:$F$91,6,0)</f>
        <v>46177</v>
      </c>
      <c r="G62" s="828">
        <v>46192</v>
      </c>
      <c r="H62" s="632">
        <f t="shared" si="74"/>
        <v>600</v>
      </c>
      <c r="I62" s="837">
        <f t="shared" si="72"/>
        <v>0</v>
      </c>
      <c r="J62" s="948" cm="1">
        <f t="array" ref="J62">IFERROR(_xlfn.XLOOKUP(TRUE,$L62:$BY62&lt;&gt;"",$L62:$BY62,,0,-1),"")</f>
        <v>600</v>
      </c>
      <c r="K62" s="946">
        <f t="shared" si="73"/>
        <v>46192</v>
      </c>
      <c r="P62" s="17"/>
      <c r="R62" s="181"/>
      <c r="S62" s="181"/>
      <c r="T62" s="18"/>
      <c r="W62" s="181"/>
      <c r="X62" s="181"/>
      <c r="Y62" s="247"/>
      <c r="Z62" s="137"/>
      <c r="AA62" s="12"/>
      <c r="AB62" s="137"/>
      <c r="AC62" s="989"/>
      <c r="AD62" s="643"/>
      <c r="AE62" s="643"/>
      <c r="AF62" s="985"/>
      <c r="AG62" s="585"/>
      <c r="AH62" s="585"/>
      <c r="AI62" s="585"/>
      <c r="AJ62" s="585"/>
      <c r="AK62" s="1003"/>
      <c r="AL62" s="967"/>
      <c r="AM62" s="643"/>
      <c r="AN62" s="643">
        <v>600</v>
      </c>
      <c r="AO62" s="990"/>
      <c r="AP62" s="991"/>
      <c r="AQ62" s="643"/>
      <c r="AR62" s="643"/>
      <c r="AS62" s="643"/>
      <c r="AT62" s="990"/>
      <c r="AU62" s="991"/>
      <c r="AV62" s="643"/>
      <c r="AW62" s="643"/>
      <c r="AX62" s="643"/>
      <c r="AY62" s="991"/>
      <c r="AZ62" s="643"/>
      <c r="BA62" s="643"/>
      <c r="BB62" s="990"/>
      <c r="BC62" s="643"/>
      <c r="BD62" s="643"/>
      <c r="BE62" s="643"/>
      <c r="BF62" s="643"/>
      <c r="BG62" s="990"/>
      <c r="BH62" s="991"/>
      <c r="BI62" s="643"/>
      <c r="BJ62" s="643"/>
      <c r="BK62" s="990"/>
      <c r="BL62" s="991"/>
      <c r="BM62" s="643"/>
      <c r="BN62" s="643"/>
      <c r="BO62" s="643"/>
      <c r="BP62" s="990"/>
      <c r="BQ62" s="991"/>
      <c r="BR62" s="643"/>
      <c r="BS62" s="643"/>
      <c r="BT62" s="990"/>
      <c r="BU62" s="991"/>
      <c r="BV62" s="643"/>
      <c r="BW62" s="643"/>
      <c r="BX62" s="985"/>
      <c r="BZ62" s="650"/>
    </row>
    <row r="63" spans="1:78" ht="18" customHeight="1" x14ac:dyDescent="0.2">
      <c r="A63" s="649" t="s">
        <v>340</v>
      </c>
      <c r="B63" s="632" t="s">
        <v>4</v>
      </c>
      <c r="C63" s="649" t="s">
        <v>281</v>
      </c>
      <c r="D63" s="632">
        <v>600</v>
      </c>
      <c r="E63" s="828">
        <f>IFERROR(VLOOKUP(A63,ContainerSchedule!$A:$E,5,0),"")</f>
        <v>46149</v>
      </c>
      <c r="F63" s="828">
        <f>VLOOKUP(A63,ContainerSchedule!$A$1:$F$91,6,0)</f>
        <v>46187</v>
      </c>
      <c r="G63" s="828">
        <v>46192</v>
      </c>
      <c r="H63" s="632">
        <f t="shared" si="74"/>
        <v>600</v>
      </c>
      <c r="I63" s="837">
        <f t="shared" si="72"/>
        <v>0</v>
      </c>
      <c r="J63" s="948" cm="1">
        <f t="array" ref="J63">IFERROR(_xlfn.XLOOKUP(TRUE,$L63:$BY63&lt;&gt;"",$L63:$BY63,,0,-1),"")</f>
        <v>600</v>
      </c>
      <c r="K63" s="946">
        <f t="shared" si="73"/>
        <v>46192</v>
      </c>
      <c r="P63" s="17"/>
      <c r="R63" s="181"/>
      <c r="S63" s="181"/>
      <c r="T63" s="18"/>
      <c r="W63" s="181"/>
      <c r="X63" s="181"/>
      <c r="Y63" s="247"/>
      <c r="Z63" s="137"/>
      <c r="AA63" s="12"/>
      <c r="AB63" s="137"/>
      <c r="AC63" s="989"/>
      <c r="AD63" s="643"/>
      <c r="AE63" s="643"/>
      <c r="AF63" s="985"/>
      <c r="AG63" s="585"/>
      <c r="AH63" s="585"/>
      <c r="AI63" s="585"/>
      <c r="AJ63" s="585"/>
      <c r="AK63" s="1003"/>
      <c r="AL63" s="643"/>
      <c r="AM63" s="643"/>
      <c r="AN63" s="967">
        <v>600</v>
      </c>
      <c r="AO63" s="990"/>
      <c r="AP63" s="991"/>
      <c r="AQ63" s="643"/>
      <c r="AR63" s="643"/>
      <c r="AS63" s="643"/>
      <c r="AT63" s="990"/>
      <c r="AU63" s="991"/>
      <c r="AV63" s="643"/>
      <c r="AW63" s="643"/>
      <c r="AX63" s="643"/>
      <c r="AY63" s="991"/>
      <c r="AZ63" s="643"/>
      <c r="BA63" s="643"/>
      <c r="BB63" s="990"/>
      <c r="BC63" s="643"/>
      <c r="BD63" s="643"/>
      <c r="BE63" s="643"/>
      <c r="BF63" s="643"/>
      <c r="BG63" s="990"/>
      <c r="BH63" s="991"/>
      <c r="BI63" s="643"/>
      <c r="BJ63" s="643"/>
      <c r="BK63" s="990"/>
      <c r="BL63" s="991"/>
      <c r="BM63" s="643"/>
      <c r="BN63" s="643"/>
      <c r="BO63" s="643"/>
      <c r="BP63" s="990"/>
      <c r="BQ63" s="991"/>
      <c r="BR63" s="643"/>
      <c r="BS63" s="643"/>
      <c r="BT63" s="990"/>
      <c r="BU63" s="991"/>
      <c r="BV63" s="643"/>
      <c r="BW63" s="643"/>
      <c r="BX63" s="985"/>
      <c r="BZ63" s="650"/>
    </row>
    <row r="64" spans="1:78" ht="18" customHeight="1" x14ac:dyDescent="0.2">
      <c r="A64" s="649" t="s">
        <v>341</v>
      </c>
      <c r="B64" s="632" t="s">
        <v>4</v>
      </c>
      <c r="C64" s="649" t="s">
        <v>287</v>
      </c>
      <c r="D64" s="632">
        <v>600</v>
      </c>
      <c r="E64" s="828">
        <f>IFERROR(VLOOKUP(A64,ContainerSchedule!$A:$E,5,0),"")</f>
        <v>46149</v>
      </c>
      <c r="F64" s="828">
        <f>VLOOKUP(A64,ContainerSchedule!$A$1:$F$91,6,0)</f>
        <v>46187</v>
      </c>
      <c r="G64" s="828">
        <v>46192</v>
      </c>
      <c r="H64" s="632">
        <f t="shared" si="74"/>
        <v>600</v>
      </c>
      <c r="I64" s="837">
        <f t="shared" si="72"/>
        <v>0</v>
      </c>
      <c r="J64" s="948" cm="1">
        <f t="array" ref="J64">IFERROR(_xlfn.XLOOKUP(TRUE,$L64:$BY64&lt;&gt;"",$L64:$BY64,,0,-1),"")</f>
        <v>600</v>
      </c>
      <c r="K64" s="946">
        <f t="shared" si="73"/>
        <v>46192</v>
      </c>
      <c r="P64" s="17"/>
      <c r="R64" s="181"/>
      <c r="S64" s="181"/>
      <c r="T64" s="18"/>
      <c r="W64" s="181"/>
      <c r="X64" s="181"/>
      <c r="Y64" s="247"/>
      <c r="Z64" s="137"/>
      <c r="AA64" s="12"/>
      <c r="AB64" s="137"/>
      <c r="AC64" s="989"/>
      <c r="AD64" s="643"/>
      <c r="AE64" s="643"/>
      <c r="AF64" s="985"/>
      <c r="AG64" s="585"/>
      <c r="AH64" s="585"/>
      <c r="AI64" s="585"/>
      <c r="AJ64" s="585"/>
      <c r="AK64" s="1003"/>
      <c r="AL64" s="643"/>
      <c r="AM64" s="643"/>
      <c r="AN64" s="967">
        <v>600</v>
      </c>
      <c r="AO64" s="990"/>
      <c r="AP64" s="991"/>
      <c r="AQ64" s="643"/>
      <c r="AR64" s="643"/>
      <c r="AS64" s="643"/>
      <c r="AT64" s="990"/>
      <c r="AU64" s="991"/>
      <c r="AV64" s="643"/>
      <c r="AW64" s="643"/>
      <c r="AX64" s="643"/>
      <c r="AY64" s="991"/>
      <c r="AZ64" s="643"/>
      <c r="BA64" s="643"/>
      <c r="BB64" s="990"/>
      <c r="BC64" s="643"/>
      <c r="BD64" s="643"/>
      <c r="BE64" s="643"/>
      <c r="BF64" s="643"/>
      <c r="BG64" s="990"/>
      <c r="BH64" s="991"/>
      <c r="BI64" s="643"/>
      <c r="BJ64" s="643"/>
      <c r="BK64" s="990"/>
      <c r="BL64" s="991"/>
      <c r="BM64" s="643"/>
      <c r="BN64" s="643"/>
      <c r="BO64" s="643"/>
      <c r="BP64" s="990"/>
      <c r="BQ64" s="991"/>
      <c r="BR64" s="643"/>
      <c r="BS64" s="643"/>
      <c r="BT64" s="990"/>
      <c r="BU64" s="991"/>
      <c r="BV64" s="643"/>
      <c r="BW64" s="643"/>
      <c r="BX64" s="985"/>
      <c r="BZ64" s="650"/>
    </row>
    <row r="65" spans="1:78" ht="18" customHeight="1" x14ac:dyDescent="0.2">
      <c r="A65" s="983" t="s">
        <v>341</v>
      </c>
      <c r="B65" s="632" t="s">
        <v>4</v>
      </c>
      <c r="C65" s="649" t="s">
        <v>285</v>
      </c>
      <c r="D65" s="632">
        <v>1800</v>
      </c>
      <c r="E65" s="828">
        <f>IFERROR(VLOOKUP(A65,ContainerSchedule!$A:$E,5,0),"")</f>
        <v>46149</v>
      </c>
      <c r="F65" s="828">
        <f>VLOOKUP(A65,ContainerSchedule!$A$1:$F$91,6,0)</f>
        <v>46187</v>
      </c>
      <c r="G65" s="828">
        <v>46192</v>
      </c>
      <c r="H65" s="632">
        <f t="shared" si="74"/>
        <v>1800</v>
      </c>
      <c r="I65" s="837">
        <f t="shared" si="72"/>
        <v>0</v>
      </c>
      <c r="J65" s="948" cm="1">
        <f t="array" ref="J65">IFERROR(_xlfn.XLOOKUP(TRUE,$L65:$BY65&lt;&gt;"",$L65:$BY65,,0,-1),"")</f>
        <v>1800</v>
      </c>
      <c r="K65" s="946">
        <f t="shared" si="73"/>
        <v>46192</v>
      </c>
      <c r="P65" s="17"/>
      <c r="R65" s="181"/>
      <c r="S65" s="181"/>
      <c r="T65" s="18"/>
      <c r="W65" s="181"/>
      <c r="X65" s="181"/>
      <c r="Y65" s="247"/>
      <c r="Z65" s="137"/>
      <c r="AA65" s="12"/>
      <c r="AB65" s="137"/>
      <c r="AC65" s="989"/>
      <c r="AD65" s="643"/>
      <c r="AE65" s="643"/>
      <c r="AF65" s="985"/>
      <c r="AG65" s="585"/>
      <c r="AH65" s="585"/>
      <c r="AI65" s="585"/>
      <c r="AJ65" s="585"/>
      <c r="AK65" s="1003"/>
      <c r="AL65" s="643"/>
      <c r="AM65" s="643"/>
      <c r="AN65" s="967">
        <v>1800</v>
      </c>
      <c r="AO65" s="990"/>
      <c r="AP65" s="991"/>
      <c r="AQ65" s="643"/>
      <c r="AR65" s="643"/>
      <c r="AS65" s="643"/>
      <c r="AT65" s="990"/>
      <c r="AU65" s="991"/>
      <c r="AV65" s="643"/>
      <c r="AW65" s="643"/>
      <c r="AX65" s="643"/>
      <c r="AY65" s="991"/>
      <c r="AZ65" s="643"/>
      <c r="BA65" s="643"/>
      <c r="BB65" s="990"/>
      <c r="BC65" s="643"/>
      <c r="BD65" s="643"/>
      <c r="BE65" s="643"/>
      <c r="BF65" s="643"/>
      <c r="BG65" s="990"/>
      <c r="BH65" s="991"/>
      <c r="BI65" s="643"/>
      <c r="BJ65" s="643"/>
      <c r="BK65" s="990"/>
      <c r="BL65" s="991"/>
      <c r="BM65" s="643"/>
      <c r="BN65" s="643"/>
      <c r="BO65" s="643"/>
      <c r="BP65" s="990"/>
      <c r="BQ65" s="991"/>
      <c r="BR65" s="643"/>
      <c r="BS65" s="643"/>
      <c r="BT65" s="990"/>
      <c r="BU65" s="991"/>
      <c r="BV65" s="643"/>
      <c r="BW65" s="643"/>
      <c r="BX65" s="985"/>
      <c r="BZ65" s="650"/>
    </row>
    <row r="66" spans="1:78" ht="18" customHeight="1" x14ac:dyDescent="0.2">
      <c r="A66" s="842" t="s">
        <v>342</v>
      </c>
      <c r="B66" s="632" t="s">
        <v>201</v>
      </c>
      <c r="C66" s="649" t="s">
        <v>312</v>
      </c>
      <c r="D66" s="632">
        <v>1800</v>
      </c>
      <c r="E66" s="828">
        <f>IFERROR(VLOOKUP(A66,ContainerSchedule!$A:$E,5,0),"")</f>
        <v>46150</v>
      </c>
      <c r="F66" s="828">
        <f>VLOOKUP(A66,ContainerSchedule!$A$1:$F$91,6,0)</f>
        <v>46188</v>
      </c>
      <c r="G66" s="828">
        <v>46174</v>
      </c>
      <c r="H66" s="11">
        <f t="shared" si="74"/>
        <v>1800</v>
      </c>
      <c r="I66" s="837">
        <f t="shared" si="72"/>
        <v>0</v>
      </c>
      <c r="J66" s="948" cm="1">
        <f t="array" ref="J66">IFERROR(_xlfn.XLOOKUP(TRUE,$L66:$BY66&lt;&gt;"",$L66:$BY66,,0,-1),"")</f>
        <v>1800</v>
      </c>
      <c r="K66" s="946">
        <f t="shared" si="73"/>
        <v>46199</v>
      </c>
      <c r="P66" s="17"/>
      <c r="R66" s="181"/>
      <c r="S66" s="181"/>
      <c r="T66" s="18"/>
      <c r="W66" s="181"/>
      <c r="X66" s="181"/>
      <c r="Y66" s="247"/>
      <c r="Z66" s="137"/>
      <c r="AA66" s="12"/>
      <c r="AB66" s="137"/>
      <c r="AC66" s="989"/>
      <c r="AD66" s="643"/>
      <c r="AE66" s="643"/>
      <c r="AF66" s="985"/>
      <c r="AG66" s="585"/>
      <c r="AH66" s="585"/>
      <c r="AI66" s="585"/>
      <c r="AJ66" s="585"/>
      <c r="AK66" s="1003"/>
      <c r="AL66" s="643"/>
      <c r="AM66" s="846"/>
      <c r="AN66" s="967"/>
      <c r="AO66" s="990">
        <v>1800</v>
      </c>
      <c r="AP66" s="991"/>
      <c r="AQ66" s="643"/>
      <c r="AR66" s="643"/>
      <c r="AS66" s="643"/>
      <c r="AT66" s="990"/>
      <c r="AU66" s="991"/>
      <c r="AV66" s="643"/>
      <c r="AW66" s="643"/>
      <c r="AX66" s="643"/>
      <c r="AY66" s="991"/>
      <c r="AZ66" s="643"/>
      <c r="BA66" s="643"/>
      <c r="BB66" s="990"/>
      <c r="BC66" s="643"/>
      <c r="BD66" s="643"/>
      <c r="BE66" s="643"/>
      <c r="BF66" s="643"/>
      <c r="BG66" s="990"/>
      <c r="BH66" s="991"/>
      <c r="BI66" s="643"/>
      <c r="BJ66" s="643"/>
      <c r="BK66" s="990"/>
      <c r="BL66" s="991"/>
      <c r="BM66" s="643"/>
      <c r="BN66" s="643"/>
      <c r="BO66" s="643"/>
      <c r="BP66" s="990"/>
      <c r="BQ66" s="991"/>
      <c r="BR66" s="643"/>
      <c r="BS66" s="643"/>
      <c r="BT66" s="990"/>
      <c r="BU66" s="991"/>
      <c r="BV66" s="643"/>
      <c r="BW66" s="643"/>
      <c r="BX66" s="985"/>
      <c r="BZ66" s="650"/>
    </row>
    <row r="67" spans="1:78" ht="18" customHeight="1" x14ac:dyDescent="0.2">
      <c r="A67" s="842" t="s">
        <v>343</v>
      </c>
      <c r="B67" s="632" t="s">
        <v>201</v>
      </c>
      <c r="C67" s="649" t="s">
        <v>870</v>
      </c>
      <c r="D67" s="632">
        <v>1218</v>
      </c>
      <c r="E67" s="828">
        <f>IFERROR(VLOOKUP(A67,ContainerSchedule!$A:$E,5,0),"")</f>
        <v>46157</v>
      </c>
      <c r="F67" s="828">
        <f>VLOOKUP(A67,ContainerSchedule!$A$1:$F$91,6,0)</f>
        <v>46195</v>
      </c>
      <c r="G67" s="828">
        <v>46174</v>
      </c>
      <c r="H67" s="11">
        <f t="shared" si="74"/>
        <v>1218</v>
      </c>
      <c r="I67" s="837">
        <f t="shared" si="72"/>
        <v>0</v>
      </c>
      <c r="J67" s="948" cm="1">
        <f t="array" ref="J67">IFERROR(_xlfn.XLOOKUP(TRUE,$L67:$BY67&lt;&gt;"",$L67:$BY67,,0,-1),"")</f>
        <v>1218</v>
      </c>
      <c r="K67" s="946">
        <f t="shared" si="73"/>
        <v>46199</v>
      </c>
      <c r="P67" s="17"/>
      <c r="R67" s="181"/>
      <c r="S67" s="181"/>
      <c r="T67" s="18"/>
      <c r="W67" s="181"/>
      <c r="X67" s="181"/>
      <c r="Y67" s="247"/>
      <c r="Z67" s="137"/>
      <c r="AA67" s="12"/>
      <c r="AB67" s="137"/>
      <c r="AC67" s="989"/>
      <c r="AD67" s="643"/>
      <c r="AE67" s="643"/>
      <c r="AF67" s="985"/>
      <c r="AG67" s="585"/>
      <c r="AH67" s="585"/>
      <c r="AI67" s="585"/>
      <c r="AJ67" s="585"/>
      <c r="AK67" s="1003"/>
      <c r="AL67" s="643"/>
      <c r="AM67" s="846"/>
      <c r="AN67" s="643"/>
      <c r="AO67" s="976">
        <v>1218</v>
      </c>
      <c r="AP67" s="991"/>
      <c r="AQ67" s="643"/>
      <c r="AR67" s="643"/>
      <c r="AS67" s="643"/>
      <c r="AT67" s="990"/>
      <c r="AU67" s="991"/>
      <c r="AV67" s="643"/>
      <c r="AW67" s="643"/>
      <c r="AX67" s="643"/>
      <c r="AY67" s="991"/>
      <c r="AZ67" s="643"/>
      <c r="BA67" s="643"/>
      <c r="BB67" s="990"/>
      <c r="BC67" s="643"/>
      <c r="BD67" s="643"/>
      <c r="BE67" s="643"/>
      <c r="BF67" s="643"/>
      <c r="BG67" s="990"/>
      <c r="BH67" s="991"/>
      <c r="BI67" s="643"/>
      <c r="BJ67" s="643"/>
      <c r="BK67" s="990"/>
      <c r="BL67" s="991"/>
      <c r="BM67" s="643"/>
      <c r="BN67" s="643"/>
      <c r="BO67" s="643"/>
      <c r="BP67" s="990"/>
      <c r="BQ67" s="991"/>
      <c r="BR67" s="643"/>
      <c r="BS67" s="643"/>
      <c r="BT67" s="990"/>
      <c r="BU67" s="991"/>
      <c r="BV67" s="643"/>
      <c r="BW67" s="643"/>
      <c r="BX67" s="985"/>
      <c r="BZ67" s="650"/>
    </row>
    <row r="68" spans="1:78" ht="18" customHeight="1" x14ac:dyDescent="0.2">
      <c r="A68" s="842" t="s">
        <v>343</v>
      </c>
      <c r="B68" s="632" t="s">
        <v>201</v>
      </c>
      <c r="C68" s="649" t="s">
        <v>871</v>
      </c>
      <c r="D68" s="632">
        <v>636</v>
      </c>
      <c r="E68" s="828">
        <f>IFERROR(VLOOKUP(A68,ContainerSchedule!$A:$E,5,0),"")</f>
        <v>46157</v>
      </c>
      <c r="F68" s="828">
        <f>VLOOKUP(A68,ContainerSchedule!$A$1:$F$91,6,0)</f>
        <v>46195</v>
      </c>
      <c r="G68" s="828">
        <v>46174</v>
      </c>
      <c r="H68" s="11">
        <f t="shared" si="74"/>
        <v>636</v>
      </c>
      <c r="I68" s="837">
        <f t="shared" si="72"/>
        <v>0</v>
      </c>
      <c r="J68" s="948" cm="1">
        <f t="array" ref="J68">IFERROR(_xlfn.XLOOKUP(TRUE,$L68:$BY68&lt;&gt;"",$L68:$BY68,,0,-1),"")</f>
        <v>636</v>
      </c>
      <c r="K68" s="946">
        <f t="shared" si="73"/>
        <v>46206</v>
      </c>
      <c r="P68" s="17"/>
      <c r="R68" s="181"/>
      <c r="S68" s="181"/>
      <c r="T68" s="18"/>
      <c r="W68" s="181"/>
      <c r="X68" s="181"/>
      <c r="Y68" s="247"/>
      <c r="Z68" s="137"/>
      <c r="AA68" s="12"/>
      <c r="AB68" s="137"/>
      <c r="AC68" s="989"/>
      <c r="AD68" s="643"/>
      <c r="AE68" s="643"/>
      <c r="AF68" s="985"/>
      <c r="AG68" s="585"/>
      <c r="AH68" s="585"/>
      <c r="AI68" s="585"/>
      <c r="AJ68" s="585"/>
      <c r="AK68" s="1003"/>
      <c r="AL68" s="643"/>
      <c r="AM68" s="846"/>
      <c r="AN68" s="643"/>
      <c r="AO68" s="977"/>
      <c r="AP68" s="991">
        <v>636</v>
      </c>
      <c r="AQ68" s="643"/>
      <c r="AR68" s="643"/>
      <c r="AS68" s="643"/>
      <c r="AT68" s="990"/>
      <c r="AU68" s="991"/>
      <c r="AV68" s="643"/>
      <c r="AW68" s="643"/>
      <c r="AX68" s="643"/>
      <c r="AY68" s="991"/>
      <c r="AZ68" s="643"/>
      <c r="BA68" s="643"/>
      <c r="BB68" s="990"/>
      <c r="BC68" s="643"/>
      <c r="BD68" s="643"/>
      <c r="BE68" s="643"/>
      <c r="BF68" s="643"/>
      <c r="BG68" s="990"/>
      <c r="BH68" s="991"/>
      <c r="BI68" s="643"/>
      <c r="BJ68" s="643"/>
      <c r="BK68" s="990"/>
      <c r="BL68" s="991"/>
      <c r="BM68" s="643"/>
      <c r="BN68" s="643"/>
      <c r="BO68" s="643"/>
      <c r="BP68" s="990"/>
      <c r="BQ68" s="991"/>
      <c r="BR68" s="643"/>
      <c r="BS68" s="643"/>
      <c r="BT68" s="990"/>
      <c r="BU68" s="991"/>
      <c r="BV68" s="643"/>
      <c r="BW68" s="643"/>
      <c r="BX68" s="985"/>
      <c r="BZ68" s="650"/>
    </row>
    <row r="69" spans="1:78" ht="18" customHeight="1" x14ac:dyDescent="0.2">
      <c r="A69" s="983" t="s">
        <v>384</v>
      </c>
      <c r="B69" s="632" t="s">
        <v>60</v>
      </c>
      <c r="C69" s="649" t="s">
        <v>306</v>
      </c>
      <c r="D69" s="632">
        <v>900</v>
      </c>
      <c r="E69" s="828" t="str">
        <f>IFERROR(VLOOKUP(A69,ContainerSchedule!$A:$E,5,0),"")</f>
        <v/>
      </c>
      <c r="F69" s="828">
        <f>ContainerSchedule!F56  ContainerSchedule!F56</f>
        <v>46204</v>
      </c>
      <c r="G69" s="828"/>
      <c r="H69" s="11">
        <f t="shared" si="74"/>
        <v>900</v>
      </c>
      <c r="I69" s="837">
        <f t="shared" si="72"/>
        <v>0</v>
      </c>
      <c r="J69" s="948" cm="1">
        <f t="array" ref="J69">IFERROR(_xlfn.XLOOKUP(TRUE,$L69:$BY69&lt;&gt;"",$L69:$BY69,,0,-1),"")</f>
        <v>900</v>
      </c>
      <c r="K69" s="946">
        <f t="shared" si="73"/>
        <v>46206</v>
      </c>
      <c r="P69" s="17"/>
      <c r="R69" s="181"/>
      <c r="S69" s="181"/>
      <c r="T69" s="18"/>
      <c r="W69" s="181"/>
      <c r="X69" s="181"/>
      <c r="Y69" s="247"/>
      <c r="Z69" s="137"/>
      <c r="AA69" s="12"/>
      <c r="AB69" s="137"/>
      <c r="AC69" s="989"/>
      <c r="AD69" s="643"/>
      <c r="AE69" s="643"/>
      <c r="AF69" s="1003"/>
      <c r="AG69" s="585"/>
      <c r="AH69" s="585"/>
      <c r="AI69" s="585"/>
      <c r="AJ69" s="585"/>
      <c r="AK69" s="1003"/>
      <c r="AL69" s="585"/>
      <c r="AM69" s="585"/>
      <c r="AN69" s="585"/>
      <c r="AO69" s="1004"/>
      <c r="AP69" s="978">
        <v>900</v>
      </c>
      <c r="AQ69" s="585"/>
      <c r="AR69" s="585"/>
      <c r="AS69" s="585"/>
      <c r="AT69" s="1004"/>
      <c r="AU69" s="991"/>
      <c r="AV69" s="643"/>
      <c r="AW69" s="643"/>
      <c r="AX69" s="643"/>
      <c r="AY69" s="991"/>
      <c r="AZ69" s="643"/>
      <c r="BA69" s="643"/>
      <c r="BB69" s="990"/>
      <c r="BC69" s="643"/>
      <c r="BD69" s="643"/>
      <c r="BE69" s="643"/>
      <c r="BF69" s="643"/>
      <c r="BG69" s="990"/>
      <c r="BH69" s="991"/>
      <c r="BI69" s="643"/>
      <c r="BJ69" s="643"/>
      <c r="BK69" s="990"/>
      <c r="BL69" s="991"/>
      <c r="BM69" s="643"/>
      <c r="BN69" s="643"/>
      <c r="BO69" s="643"/>
      <c r="BP69" s="990"/>
      <c r="BQ69" s="991"/>
      <c r="BR69" s="643"/>
      <c r="BS69" s="643"/>
      <c r="BT69" s="990"/>
      <c r="BU69" s="991"/>
      <c r="BV69" s="643"/>
      <c r="BW69" s="643"/>
      <c r="BX69" s="985"/>
      <c r="BZ69" s="650"/>
    </row>
    <row r="70" spans="1:78" ht="18" customHeight="1" x14ac:dyDescent="0.2">
      <c r="A70" s="983" t="s">
        <v>345</v>
      </c>
      <c r="B70" s="632" t="s">
        <v>4</v>
      </c>
      <c r="C70" s="649" t="s">
        <v>281</v>
      </c>
      <c r="D70" s="632">
        <v>600</v>
      </c>
      <c r="E70" s="828">
        <f>IFERROR(VLOOKUP(A70,ContainerSchedule!$A:$E,5,0),"")</f>
        <v>46164</v>
      </c>
      <c r="F70" s="828">
        <f>VLOOKUP(A70,ContainerSchedule!$A$1:$F$91,6,0)</f>
        <v>46202</v>
      </c>
      <c r="G70" s="831">
        <v>46218</v>
      </c>
      <c r="H70" s="11">
        <f t="shared" si="74"/>
        <v>600</v>
      </c>
      <c r="I70" s="837">
        <f t="shared" ref="I70:I101" si="75">D70-H70</f>
        <v>0</v>
      </c>
      <c r="J70" s="948" cm="1">
        <f t="array" ref="J70">IFERROR(_xlfn.XLOOKUP(TRUE,$L70:$BY70&lt;&gt;"",$L70:$BY70,,0,-1),"")</f>
        <v>600</v>
      </c>
      <c r="K70" s="946">
        <f t="shared" ref="K70:K101" si="76">IFERROR(INDEX($L$5:$BZ$5,MATCH($J70,$L70:$BZ70,0)),"")</f>
        <v>46213</v>
      </c>
      <c r="P70" s="17"/>
      <c r="R70" s="181"/>
      <c r="S70" s="181"/>
      <c r="T70" s="18"/>
      <c r="W70" s="181"/>
      <c r="X70" s="181"/>
      <c r="Y70" s="247"/>
      <c r="Z70" s="137"/>
      <c r="AA70" s="12"/>
      <c r="AB70" s="137"/>
      <c r="AC70" s="989"/>
      <c r="AD70" s="643"/>
      <c r="AE70" s="643"/>
      <c r="AF70" s="985"/>
      <c r="AG70" s="643"/>
      <c r="AH70" s="643"/>
      <c r="AI70" s="643"/>
      <c r="AJ70" s="643"/>
      <c r="AK70" s="985"/>
      <c r="AL70" s="585"/>
      <c r="AM70" s="585"/>
      <c r="AN70" s="585"/>
      <c r="AO70" s="990"/>
      <c r="AP70" s="978"/>
      <c r="AQ70" s="585">
        <v>600</v>
      </c>
      <c r="AR70" s="585"/>
      <c r="AS70" s="585"/>
      <c r="AT70" s="1004"/>
      <c r="AU70" s="1005"/>
      <c r="AV70" s="585"/>
      <c r="AW70" s="585"/>
      <c r="AX70" s="585"/>
      <c r="AY70" s="1005"/>
      <c r="AZ70" s="585"/>
      <c r="BA70" s="585"/>
      <c r="BB70" s="1004"/>
      <c r="BC70" s="585"/>
      <c r="BD70" s="585"/>
      <c r="BE70" s="585"/>
      <c r="BF70" s="585"/>
      <c r="BG70" s="1004"/>
      <c r="BH70" s="991"/>
      <c r="BI70" s="643"/>
      <c r="BJ70" s="643"/>
      <c r="BK70" s="990"/>
      <c r="BL70" s="991"/>
      <c r="BM70" s="643"/>
      <c r="BN70" s="643"/>
      <c r="BO70" s="643"/>
      <c r="BP70" s="990"/>
      <c r="BQ70" s="991"/>
      <c r="BR70" s="643"/>
      <c r="BS70" s="643"/>
      <c r="BT70" s="990"/>
      <c r="BU70" s="991"/>
      <c r="BV70" s="643"/>
      <c r="BW70" s="643"/>
      <c r="BX70" s="985"/>
      <c r="BZ70" s="650"/>
    </row>
    <row r="71" spans="1:78" ht="18" customHeight="1" x14ac:dyDescent="0.2">
      <c r="A71" s="649" t="s">
        <v>346</v>
      </c>
      <c r="B71" s="632" t="s">
        <v>4</v>
      </c>
      <c r="C71" s="649" t="s">
        <v>287</v>
      </c>
      <c r="D71" s="632">
        <v>600</v>
      </c>
      <c r="E71" s="828">
        <f>IFERROR(VLOOKUP(A71,ContainerSchedule!$A:$E,5,0),"")</f>
        <v>46171</v>
      </c>
      <c r="F71" s="828">
        <f>VLOOKUP(A71,ContainerSchedule!$A$1:$F$91,6,0)</f>
        <v>46209</v>
      </c>
      <c r="G71" s="831">
        <v>46218</v>
      </c>
      <c r="H71" s="11">
        <f t="shared" si="74"/>
        <v>600</v>
      </c>
      <c r="I71" s="837">
        <f t="shared" si="75"/>
        <v>0</v>
      </c>
      <c r="J71" s="948" cm="1">
        <f t="array" ref="J71">IFERROR(_xlfn.XLOOKUP(TRUE,$L71:$BY71&lt;&gt;"",$L71:$BY71,,0,-1),"")</f>
        <v>600</v>
      </c>
      <c r="K71" s="946">
        <f t="shared" si="76"/>
        <v>46213</v>
      </c>
      <c r="P71" s="17"/>
      <c r="R71" s="181"/>
      <c r="S71" s="181"/>
      <c r="T71" s="18"/>
      <c r="W71" s="181"/>
      <c r="X71" s="181"/>
      <c r="Y71" s="247"/>
      <c r="Z71" s="137"/>
      <c r="AA71" s="12"/>
      <c r="AB71" s="137"/>
      <c r="AC71" s="989"/>
      <c r="AD71" s="643"/>
      <c r="AE71" s="643"/>
      <c r="AF71" s="985"/>
      <c r="AG71" s="643"/>
      <c r="AH71" s="643"/>
      <c r="AI71" s="643"/>
      <c r="AJ71" s="643"/>
      <c r="AK71" s="985"/>
      <c r="AL71" s="585"/>
      <c r="AM71" s="585"/>
      <c r="AN71" s="585"/>
      <c r="AO71" s="990"/>
      <c r="AP71" s="1005"/>
      <c r="AQ71" s="966">
        <v>600</v>
      </c>
      <c r="AR71" s="585"/>
      <c r="AS71" s="585"/>
      <c r="AT71" s="1004"/>
      <c r="AU71" s="1005"/>
      <c r="AV71" s="585"/>
      <c r="AW71" s="585"/>
      <c r="AX71" s="585"/>
      <c r="AY71" s="1005"/>
      <c r="AZ71" s="585"/>
      <c r="BA71" s="585"/>
      <c r="BB71" s="1004"/>
      <c r="BC71" s="585"/>
      <c r="BD71" s="585"/>
      <c r="BE71" s="585"/>
      <c r="BF71" s="585"/>
      <c r="BG71" s="1004"/>
      <c r="BH71" s="991"/>
      <c r="BI71" s="643"/>
      <c r="BJ71" s="643"/>
      <c r="BK71" s="990"/>
      <c r="BL71" s="991"/>
      <c r="BM71" s="643"/>
      <c r="BN71" s="643"/>
      <c r="BO71" s="643"/>
      <c r="BP71" s="990"/>
      <c r="BQ71" s="991"/>
      <c r="BR71" s="643"/>
      <c r="BS71" s="643"/>
      <c r="BT71" s="990"/>
      <c r="BU71" s="991"/>
      <c r="BV71" s="643"/>
      <c r="BW71" s="643"/>
      <c r="BX71" s="985"/>
      <c r="BZ71" s="650"/>
    </row>
    <row r="72" spans="1:78" ht="17" customHeight="1" x14ac:dyDescent="0.2">
      <c r="A72" s="649" t="s">
        <v>346</v>
      </c>
      <c r="B72" s="632" t="s">
        <v>4</v>
      </c>
      <c r="C72" s="649" t="s">
        <v>285</v>
      </c>
      <c r="D72" s="632">
        <v>1800</v>
      </c>
      <c r="E72" s="828">
        <f>IFERROR(VLOOKUP(A72,ContainerSchedule!$A:$E,5,0),"")</f>
        <v>46171</v>
      </c>
      <c r="F72" s="828">
        <f>VLOOKUP(A72,ContainerSchedule!$A$1:$F$91,6,0)</f>
        <v>46209</v>
      </c>
      <c r="G72" s="831">
        <v>46218</v>
      </c>
      <c r="H72" s="11">
        <f t="shared" si="74"/>
        <v>1800</v>
      </c>
      <c r="I72" s="837">
        <f t="shared" si="75"/>
        <v>0</v>
      </c>
      <c r="J72" s="948" cm="1">
        <f t="array" ref="J72">IFERROR(_xlfn.XLOOKUP(TRUE,$L72:$BY72&lt;&gt;"",$L72:$BY72,,0,-1),"")</f>
        <v>1800</v>
      </c>
      <c r="K72" s="946">
        <f t="shared" si="76"/>
        <v>46213</v>
      </c>
      <c r="P72" s="17"/>
      <c r="R72" s="181"/>
      <c r="S72" s="181"/>
      <c r="T72" s="18"/>
      <c r="W72" s="181"/>
      <c r="X72" s="181"/>
      <c r="Y72" s="247"/>
      <c r="Z72" s="137"/>
      <c r="AA72" s="12"/>
      <c r="AB72" s="137"/>
      <c r="AC72" s="989"/>
      <c r="AD72" s="643"/>
      <c r="AE72" s="643"/>
      <c r="AF72" s="985"/>
      <c r="AG72" s="643"/>
      <c r="AH72" s="643"/>
      <c r="AI72" s="643"/>
      <c r="AJ72" s="643"/>
      <c r="AK72" s="985"/>
      <c r="AL72" s="585"/>
      <c r="AM72" s="585"/>
      <c r="AN72" s="585"/>
      <c r="AO72" s="990"/>
      <c r="AP72" s="1005"/>
      <c r="AQ72" s="966">
        <v>1800</v>
      </c>
      <c r="AR72" s="585"/>
      <c r="AS72" s="585"/>
      <c r="AT72" s="1004"/>
      <c r="AU72" s="1005"/>
      <c r="AV72" s="585"/>
      <c r="AW72" s="585"/>
      <c r="AX72" s="585"/>
      <c r="AY72" s="1005"/>
      <c r="AZ72" s="585"/>
      <c r="BA72" s="585"/>
      <c r="BB72" s="1004"/>
      <c r="BC72" s="585"/>
      <c r="BD72" s="585"/>
      <c r="BE72" s="585"/>
      <c r="BF72" s="585"/>
      <c r="BG72" s="1004"/>
      <c r="BH72" s="991"/>
      <c r="BI72" s="643"/>
      <c r="BJ72" s="643"/>
      <c r="BK72" s="990"/>
      <c r="BL72" s="991"/>
      <c r="BM72" s="643"/>
      <c r="BN72" s="643"/>
      <c r="BO72" s="643"/>
      <c r="BP72" s="990"/>
      <c r="BQ72" s="991"/>
      <c r="BR72" s="643"/>
      <c r="BS72" s="643"/>
      <c r="BT72" s="990"/>
      <c r="BU72" s="991"/>
      <c r="BV72" s="643"/>
      <c r="BW72" s="643"/>
      <c r="BX72" s="985"/>
      <c r="BZ72" s="650"/>
    </row>
    <row r="73" spans="1:78" ht="16" customHeight="1" x14ac:dyDescent="0.2">
      <c r="A73" s="649" t="s">
        <v>17</v>
      </c>
      <c r="B73" s="632" t="s">
        <v>60</v>
      </c>
      <c r="C73" s="649" t="s">
        <v>300</v>
      </c>
      <c r="D73" s="632">
        <v>600</v>
      </c>
      <c r="E73" s="828" t="str">
        <f>IFERROR(VLOOKUP(A73,ContainerSchedule!$A:$E,5,0),"")</f>
        <v/>
      </c>
      <c r="F73" s="828"/>
      <c r="G73" s="828"/>
      <c r="H73" s="11">
        <f t="shared" si="74"/>
        <v>600</v>
      </c>
      <c r="I73" s="837">
        <f t="shared" si="75"/>
        <v>0</v>
      </c>
      <c r="J73" s="948" cm="1">
        <f t="array" ref="J73">IFERROR(_xlfn.XLOOKUP(TRUE,$L73:$BY73&lt;&gt;"",$L73:$BY73,,0,-1),"")</f>
        <v>600</v>
      </c>
      <c r="K73" s="946">
        <f t="shared" si="76"/>
        <v>46220</v>
      </c>
      <c r="P73" s="17"/>
      <c r="R73" s="181"/>
      <c r="S73" s="181"/>
      <c r="T73" s="18"/>
      <c r="W73" s="181"/>
      <c r="X73" s="181"/>
      <c r="Y73" s="247"/>
      <c r="Z73" s="137"/>
      <c r="AA73" s="12"/>
      <c r="AB73" s="137"/>
      <c r="AC73" s="989"/>
      <c r="AD73" s="643"/>
      <c r="AE73" s="643"/>
      <c r="AF73" s="985"/>
      <c r="AG73" s="643"/>
      <c r="AH73" s="643"/>
      <c r="AI73" s="643"/>
      <c r="AJ73" s="643"/>
      <c r="AK73" s="985"/>
      <c r="AL73" s="585"/>
      <c r="AM73" s="585"/>
      <c r="AN73" s="585"/>
      <c r="AO73" s="990"/>
      <c r="AP73" s="1005"/>
      <c r="AQ73" s="585"/>
      <c r="AR73" s="585">
        <v>600</v>
      </c>
      <c r="AS73" s="585"/>
      <c r="AT73" s="1004"/>
      <c r="AU73" s="1005"/>
      <c r="AV73" s="585"/>
      <c r="AW73" s="585"/>
      <c r="AX73" s="585"/>
      <c r="AY73" s="1005"/>
      <c r="AZ73" s="585"/>
      <c r="BA73" s="585"/>
      <c r="BB73" s="1004"/>
      <c r="BC73" s="585"/>
      <c r="BD73" s="585"/>
      <c r="BE73" s="585"/>
      <c r="BF73" s="585"/>
      <c r="BG73" s="1004"/>
      <c r="BH73" s="991"/>
      <c r="BI73" s="643"/>
      <c r="BJ73" s="643"/>
      <c r="BK73" s="990"/>
      <c r="BL73" s="991"/>
      <c r="BM73" s="643"/>
      <c r="BN73" s="643"/>
      <c r="BO73" s="643"/>
      <c r="BP73" s="990"/>
      <c r="BQ73" s="991"/>
      <c r="BR73" s="643"/>
      <c r="BS73" s="643"/>
      <c r="BT73" s="990"/>
      <c r="BU73" s="991"/>
      <c r="BV73" s="643"/>
      <c r="BW73" s="643"/>
      <c r="BX73" s="985"/>
      <c r="BZ73" s="650"/>
    </row>
    <row r="74" spans="1:78" x14ac:dyDescent="0.2">
      <c r="A74" s="1015" t="s">
        <v>347</v>
      </c>
      <c r="B74" s="632" t="s">
        <v>4</v>
      </c>
      <c r="C74" s="649" t="s">
        <v>144</v>
      </c>
      <c r="D74" s="632">
        <v>600</v>
      </c>
      <c r="E74" s="828">
        <f>IFERROR(VLOOKUP(A74,ContainerSchedule!$A:$E,5,0),"")</f>
        <v>46178</v>
      </c>
      <c r="F74" s="828">
        <f>VLOOKUP(A74,ContainerSchedule!$A$1:$F$91,6,0)</f>
        <v>46216</v>
      </c>
      <c r="G74" s="831">
        <v>46218</v>
      </c>
      <c r="H74" s="11">
        <f t="shared" si="74"/>
        <v>600</v>
      </c>
      <c r="I74" s="837">
        <f t="shared" si="75"/>
        <v>0</v>
      </c>
      <c r="J74" s="948" cm="1">
        <f t="array" ref="J74">IFERROR(_xlfn.XLOOKUP(TRUE,$L74:$BY74&lt;&gt;"",$L74:$BY74,,0,-1),"")</f>
        <v>600</v>
      </c>
      <c r="K74" s="946">
        <f t="shared" si="76"/>
        <v>46220</v>
      </c>
      <c r="P74" s="17"/>
      <c r="R74" s="181"/>
      <c r="S74" s="181"/>
      <c r="T74" s="18"/>
      <c r="W74" s="181"/>
      <c r="X74" s="181"/>
      <c r="Y74" s="247"/>
      <c r="Z74" s="137"/>
      <c r="AA74" s="12"/>
      <c r="AB74" s="137"/>
      <c r="AC74" s="989"/>
      <c r="AD74" s="643"/>
      <c r="AE74" s="643"/>
      <c r="AF74" s="985"/>
      <c r="AG74" s="643"/>
      <c r="AH74" s="643"/>
      <c r="AI74" s="643"/>
      <c r="AJ74" s="643"/>
      <c r="AK74" s="985"/>
      <c r="AL74" s="585"/>
      <c r="AM74" s="585"/>
      <c r="AN74" s="585"/>
      <c r="AO74" s="990"/>
      <c r="AP74" s="1005"/>
      <c r="AQ74" s="585"/>
      <c r="AR74" s="966">
        <v>600</v>
      </c>
      <c r="AS74" s="585"/>
      <c r="AT74" s="1004"/>
      <c r="AU74" s="1005"/>
      <c r="AV74" s="585"/>
      <c r="AW74" s="585"/>
      <c r="AX74" s="585"/>
      <c r="AY74" s="1005"/>
      <c r="AZ74" s="585"/>
      <c r="BA74" s="585"/>
      <c r="BB74" s="1004"/>
      <c r="BC74" s="585"/>
      <c r="BD74" s="585"/>
      <c r="BE74" s="585"/>
      <c r="BF74" s="585"/>
      <c r="BG74" s="1004"/>
      <c r="BH74" s="991"/>
      <c r="BI74" s="643"/>
      <c r="BJ74" s="643"/>
      <c r="BK74" s="990"/>
      <c r="BL74" s="991"/>
      <c r="BM74" s="643"/>
      <c r="BN74" s="643"/>
      <c r="BO74" s="643"/>
      <c r="BP74" s="990"/>
      <c r="BQ74" s="991"/>
      <c r="BR74" s="643"/>
      <c r="BS74" s="643"/>
      <c r="BT74" s="990"/>
      <c r="BU74" s="991"/>
      <c r="BV74" s="643"/>
      <c r="BW74" s="643"/>
      <c r="BX74" s="985"/>
      <c r="BZ74" s="650"/>
    </row>
    <row r="75" spans="1:78" x14ac:dyDescent="0.2">
      <c r="A75" s="1015" t="s">
        <v>347</v>
      </c>
      <c r="B75" s="632" t="s">
        <v>4</v>
      </c>
      <c r="C75" s="649" t="s">
        <v>177</v>
      </c>
      <c r="D75" s="632">
        <v>600</v>
      </c>
      <c r="E75" s="828">
        <f>IFERROR(VLOOKUP(A75,ContainerSchedule!$A:$E,5,0),"")</f>
        <v>46178</v>
      </c>
      <c r="F75" s="828">
        <f>VLOOKUP(A75,ContainerSchedule!$A$1:$F$91,6,0)</f>
        <v>46216</v>
      </c>
      <c r="G75" s="831">
        <v>46218</v>
      </c>
      <c r="H75" s="11">
        <f t="shared" si="74"/>
        <v>600</v>
      </c>
      <c r="I75" s="837">
        <f t="shared" si="75"/>
        <v>0</v>
      </c>
      <c r="J75" s="948" cm="1">
        <f t="array" ref="J75">IFERROR(_xlfn.XLOOKUP(TRUE,$L75:$BY75&lt;&gt;"",$L75:$BY75,,0,-1),"")</f>
        <v>600</v>
      </c>
      <c r="K75" s="946">
        <f t="shared" si="76"/>
        <v>46220</v>
      </c>
      <c r="P75" s="17"/>
      <c r="R75" s="181"/>
      <c r="S75" s="181"/>
      <c r="T75" s="18"/>
      <c r="W75" s="181"/>
      <c r="X75" s="181"/>
      <c r="Y75" s="247"/>
      <c r="Z75" s="137"/>
      <c r="AA75" s="12"/>
      <c r="AB75" s="137"/>
      <c r="AC75" s="989"/>
      <c r="AD75" s="643"/>
      <c r="AE75" s="643"/>
      <c r="AF75" s="985"/>
      <c r="AG75" s="643"/>
      <c r="AH75" s="643"/>
      <c r="AI75" s="643"/>
      <c r="AJ75" s="643"/>
      <c r="AK75" s="985"/>
      <c r="AL75" s="585"/>
      <c r="AM75" s="585"/>
      <c r="AN75" s="585"/>
      <c r="AO75" s="990"/>
      <c r="AP75" s="1005"/>
      <c r="AQ75" s="585"/>
      <c r="AR75" s="966">
        <v>600</v>
      </c>
      <c r="AS75" s="585"/>
      <c r="AT75" s="1004"/>
      <c r="AU75" s="1005"/>
      <c r="AV75" s="585"/>
      <c r="AW75" s="585"/>
      <c r="AX75" s="585"/>
      <c r="AY75" s="1005"/>
      <c r="AZ75" s="585"/>
      <c r="BA75" s="585"/>
      <c r="BB75" s="1004"/>
      <c r="BC75" s="585"/>
      <c r="BD75" s="585"/>
      <c r="BE75" s="585"/>
      <c r="BF75" s="585"/>
      <c r="BG75" s="1004"/>
      <c r="BH75" s="991"/>
      <c r="BI75" s="643"/>
      <c r="BJ75" s="643"/>
      <c r="BK75" s="990"/>
      <c r="BL75" s="991"/>
      <c r="BM75" s="643"/>
      <c r="BN75" s="643"/>
      <c r="BO75" s="643"/>
      <c r="BP75" s="990"/>
      <c r="BQ75" s="991"/>
      <c r="BR75" s="643"/>
      <c r="BS75" s="643"/>
      <c r="BT75" s="990"/>
      <c r="BU75" s="991"/>
      <c r="BV75" s="643"/>
      <c r="BW75" s="643"/>
      <c r="BX75" s="985"/>
      <c r="BZ75" s="650"/>
    </row>
    <row r="76" spans="1:78" x14ac:dyDescent="0.2">
      <c r="A76" s="1015" t="s">
        <v>348</v>
      </c>
      <c r="B76" s="632" t="s">
        <v>4</v>
      </c>
      <c r="C76" s="649" t="s">
        <v>278</v>
      </c>
      <c r="D76" s="632">
        <v>600</v>
      </c>
      <c r="E76" s="828">
        <f>IFERROR(VLOOKUP(A76,ContainerSchedule!$A:$E,5,0),"")</f>
        <v>46178</v>
      </c>
      <c r="F76" s="828">
        <f>VLOOKUP(A76,ContainerSchedule!$A$1:$F$91,6,0)</f>
        <v>46216</v>
      </c>
      <c r="G76" s="831">
        <v>46218</v>
      </c>
      <c r="H76" s="11">
        <f t="shared" si="74"/>
        <v>600</v>
      </c>
      <c r="I76" s="837">
        <f t="shared" si="75"/>
        <v>0</v>
      </c>
      <c r="J76" s="948" cm="1">
        <f t="array" ref="J76">IFERROR(_xlfn.XLOOKUP(TRUE,$L76:$BY76&lt;&gt;"",$L76:$BY76,,0,-1),"")</f>
        <v>600</v>
      </c>
      <c r="K76" s="946">
        <f t="shared" si="76"/>
        <v>46220</v>
      </c>
      <c r="P76" s="17"/>
      <c r="R76" s="181"/>
      <c r="S76" s="181"/>
      <c r="T76" s="18"/>
      <c r="W76" s="181"/>
      <c r="X76" s="181"/>
      <c r="Y76" s="247"/>
      <c r="Z76" s="137"/>
      <c r="AA76" s="12"/>
      <c r="AB76" s="137"/>
      <c r="AC76" s="989"/>
      <c r="AD76" s="643"/>
      <c r="AE76" s="643"/>
      <c r="AF76" s="985"/>
      <c r="AG76" s="643"/>
      <c r="AH76" s="643"/>
      <c r="AI76" s="643"/>
      <c r="AJ76" s="643"/>
      <c r="AK76" s="985"/>
      <c r="AL76" s="585"/>
      <c r="AM76" s="585"/>
      <c r="AN76" s="585"/>
      <c r="AO76" s="990"/>
      <c r="AP76" s="1005"/>
      <c r="AQ76" s="585"/>
      <c r="AR76" s="966">
        <v>600</v>
      </c>
      <c r="AS76" s="585"/>
      <c r="AT76" s="1004"/>
      <c r="AU76" s="1005"/>
      <c r="AV76" s="585"/>
      <c r="AW76" s="585"/>
      <c r="AX76" s="585"/>
      <c r="AY76" s="1005"/>
      <c r="AZ76" s="585"/>
      <c r="BA76" s="585"/>
      <c r="BB76" s="1004"/>
      <c r="BC76" s="585"/>
      <c r="BD76" s="585"/>
      <c r="BE76" s="585"/>
      <c r="BF76" s="585"/>
      <c r="BG76" s="1004"/>
      <c r="BH76" s="991"/>
      <c r="BI76" s="643"/>
      <c r="BJ76" s="643"/>
      <c r="BK76" s="990"/>
      <c r="BL76" s="991"/>
      <c r="BM76" s="643"/>
      <c r="BN76" s="643"/>
      <c r="BO76" s="643"/>
      <c r="BP76" s="990"/>
      <c r="BQ76" s="991"/>
      <c r="BR76" s="643"/>
      <c r="BS76" s="643"/>
      <c r="BT76" s="990"/>
      <c r="BU76" s="991"/>
      <c r="BV76" s="643"/>
      <c r="BW76" s="643"/>
      <c r="BX76" s="985"/>
      <c r="BZ76" s="650"/>
    </row>
    <row r="77" spans="1:78" ht="18" customHeight="1" x14ac:dyDescent="0.2">
      <c r="A77" s="1015" t="s">
        <v>349</v>
      </c>
      <c r="B77" s="632" t="s">
        <v>4</v>
      </c>
      <c r="C77" s="649" t="s">
        <v>807</v>
      </c>
      <c r="D77" s="632">
        <v>600</v>
      </c>
      <c r="E77" s="828">
        <f>IFERROR(VLOOKUP(A77,ContainerSchedule!$A:$E,5,0),"")</f>
        <v>46178</v>
      </c>
      <c r="F77" s="828">
        <f>VLOOKUP(A77,ContainerSchedule!$A$1:$F$91,6,0)</f>
        <v>46216</v>
      </c>
      <c r="G77" s="831">
        <v>46218</v>
      </c>
      <c r="H77" s="11">
        <f t="shared" si="74"/>
        <v>600</v>
      </c>
      <c r="I77" s="837">
        <f t="shared" si="75"/>
        <v>0</v>
      </c>
      <c r="J77" s="948" cm="1">
        <f t="array" ref="J77">IFERROR(_xlfn.XLOOKUP(TRUE,$L77:$BY77&lt;&gt;"",$L77:$BY77,,0,-1),"")</f>
        <v>600</v>
      </c>
      <c r="K77" s="946">
        <f t="shared" si="76"/>
        <v>46220</v>
      </c>
      <c r="P77" s="17"/>
      <c r="R77" s="181"/>
      <c r="S77" s="181"/>
      <c r="T77" s="18"/>
      <c r="W77" s="181"/>
      <c r="X77" s="181"/>
      <c r="Y77" s="247"/>
      <c r="Z77" s="137"/>
      <c r="AA77" s="12"/>
      <c r="AB77" s="137"/>
      <c r="AC77" s="989"/>
      <c r="AD77" s="643"/>
      <c r="AE77" s="643"/>
      <c r="AF77" s="985"/>
      <c r="AG77" s="643"/>
      <c r="AH77" s="643"/>
      <c r="AI77" s="643"/>
      <c r="AJ77" s="643"/>
      <c r="AK77" s="985"/>
      <c r="AL77" s="585"/>
      <c r="AM77" s="585"/>
      <c r="AN77" s="585"/>
      <c r="AO77" s="990"/>
      <c r="AP77" s="1005"/>
      <c r="AQ77" s="585"/>
      <c r="AR77" s="966">
        <v>600</v>
      </c>
      <c r="AS77" s="585"/>
      <c r="AT77" s="1004"/>
      <c r="AU77" s="1005"/>
      <c r="AV77" s="585"/>
      <c r="AW77" s="585"/>
      <c r="AX77" s="585"/>
      <c r="AY77" s="1005"/>
      <c r="AZ77" s="585"/>
      <c r="BA77" s="585"/>
      <c r="BB77" s="1004"/>
      <c r="BC77" s="585"/>
      <c r="BD77" s="585"/>
      <c r="BE77" s="585"/>
      <c r="BF77" s="585"/>
      <c r="BG77" s="1004"/>
      <c r="BH77" s="991"/>
      <c r="BI77" s="643"/>
      <c r="BJ77" s="643"/>
      <c r="BK77" s="990"/>
      <c r="BL77" s="991"/>
      <c r="BM77" s="643"/>
      <c r="BN77" s="643"/>
      <c r="BO77" s="643"/>
      <c r="BP77" s="990"/>
      <c r="BQ77" s="991"/>
      <c r="BR77" s="643"/>
      <c r="BS77" s="643"/>
      <c r="BT77" s="990"/>
      <c r="BU77" s="991"/>
      <c r="BV77" s="643"/>
      <c r="BW77" s="643"/>
      <c r="BX77" s="985"/>
      <c r="BZ77" s="650"/>
    </row>
    <row r="78" spans="1:78" ht="21" customHeight="1" x14ac:dyDescent="0.2">
      <c r="A78" s="649" t="s">
        <v>349</v>
      </c>
      <c r="B78" s="632" t="s">
        <v>4</v>
      </c>
      <c r="C78" s="649" t="s">
        <v>807</v>
      </c>
      <c r="D78" s="632">
        <v>600</v>
      </c>
      <c r="E78" s="828">
        <f>IFERROR(VLOOKUP(A78,ContainerSchedule!$A:$E,5,0),"")</f>
        <v>46178</v>
      </c>
      <c r="F78" s="828">
        <f>VLOOKUP(A78,ContainerSchedule!$A$1:$F$91,6,0)</f>
        <v>46216</v>
      </c>
      <c r="G78" s="831">
        <v>46218</v>
      </c>
      <c r="H78" s="11">
        <f t="shared" si="74"/>
        <v>600</v>
      </c>
      <c r="I78" s="837">
        <f t="shared" si="75"/>
        <v>0</v>
      </c>
      <c r="J78" s="948" cm="1">
        <f t="array" ref="J78">IFERROR(_xlfn.XLOOKUP(TRUE,$L78:$BY78&lt;&gt;"",$L78:$BY78,,0,-1),"")</f>
        <v>600</v>
      </c>
      <c r="K78" s="946">
        <f t="shared" si="76"/>
        <v>46220</v>
      </c>
      <c r="P78" s="17"/>
      <c r="R78" s="181"/>
      <c r="S78" s="181"/>
      <c r="T78" s="18"/>
      <c r="W78" s="181"/>
      <c r="X78" s="181"/>
      <c r="Y78" s="247"/>
      <c r="Z78" s="137"/>
      <c r="AA78" s="12"/>
      <c r="AB78" s="137"/>
      <c r="AC78" s="989"/>
      <c r="AD78" s="643"/>
      <c r="AE78" s="643"/>
      <c r="AF78" s="985"/>
      <c r="AG78" s="643"/>
      <c r="AH78" s="643"/>
      <c r="AI78" s="643"/>
      <c r="AJ78" s="643"/>
      <c r="AK78" s="985"/>
      <c r="AL78" s="585"/>
      <c r="AM78" s="585"/>
      <c r="AN78" s="585"/>
      <c r="AO78" s="990"/>
      <c r="AP78" s="1005"/>
      <c r="AQ78" s="585"/>
      <c r="AR78" s="966">
        <v>600</v>
      </c>
      <c r="AS78" s="585"/>
      <c r="AT78" s="1004"/>
      <c r="AU78" s="1005"/>
      <c r="AV78" s="585"/>
      <c r="AW78" s="585"/>
      <c r="AX78" s="585"/>
      <c r="AY78" s="1005"/>
      <c r="AZ78" s="585"/>
      <c r="BA78" s="585"/>
      <c r="BB78" s="1004"/>
      <c r="BC78" s="585"/>
      <c r="BD78" s="585"/>
      <c r="BE78" s="585"/>
      <c r="BF78" s="585"/>
      <c r="BG78" s="1004"/>
      <c r="BH78" s="991"/>
      <c r="BI78" s="643"/>
      <c r="BJ78" s="643"/>
      <c r="BK78" s="990"/>
      <c r="BL78" s="991"/>
      <c r="BM78" s="643"/>
      <c r="BN78" s="643"/>
      <c r="BO78" s="643"/>
      <c r="BP78" s="990"/>
      <c r="BQ78" s="991"/>
      <c r="BR78" s="643"/>
      <c r="BS78" s="643"/>
      <c r="BT78" s="990"/>
      <c r="BU78" s="991"/>
      <c r="BV78" s="643"/>
      <c r="BW78" s="643"/>
      <c r="BX78" s="985"/>
      <c r="BZ78" s="650"/>
    </row>
    <row r="79" spans="1:78" ht="21" customHeight="1" x14ac:dyDescent="0.2">
      <c r="A79" s="842" t="s">
        <v>344</v>
      </c>
      <c r="B79" s="632" t="s">
        <v>201</v>
      </c>
      <c r="C79" s="649" t="s">
        <v>871</v>
      </c>
      <c r="D79" s="632">
        <v>2202</v>
      </c>
      <c r="E79" s="828">
        <f>IFERROR(VLOOKUP(A79,ContainerSchedule!$A:$E,5,0),"")</f>
        <v>46164</v>
      </c>
      <c r="F79" s="828">
        <f>VLOOKUP(A79,ContainerSchedule!$A$1:$F$91,6,0)</f>
        <v>46202</v>
      </c>
      <c r="G79" s="828">
        <v>46193</v>
      </c>
      <c r="H79" s="11">
        <f t="shared" si="74"/>
        <v>2202</v>
      </c>
      <c r="I79" s="837">
        <f t="shared" si="75"/>
        <v>0</v>
      </c>
      <c r="J79" s="948" cm="1">
        <f t="array" ref="J79">IFERROR(_xlfn.XLOOKUP(TRUE,$L79:$BY79&lt;&gt;"",$L79:$BY79,,0,-1),"")</f>
        <v>2202</v>
      </c>
      <c r="K79" s="946">
        <f t="shared" si="76"/>
        <v>46227</v>
      </c>
      <c r="P79" s="17"/>
      <c r="R79" s="181"/>
      <c r="S79" s="181"/>
      <c r="T79" s="18"/>
      <c r="W79" s="181"/>
      <c r="X79" s="181"/>
      <c r="Y79" s="247"/>
      <c r="Z79" s="137"/>
      <c r="AA79" s="12"/>
      <c r="AB79" s="137"/>
      <c r="AC79" s="989"/>
      <c r="AD79" s="643"/>
      <c r="AE79" s="643"/>
      <c r="AF79" s="985"/>
      <c r="AG79" s="643"/>
      <c r="AH79" s="643"/>
      <c r="AI79" s="643"/>
      <c r="AJ79" s="643"/>
      <c r="AK79" s="985"/>
      <c r="AL79" s="643"/>
      <c r="AM79" s="643"/>
      <c r="AN79" s="643"/>
      <c r="AO79" s="990"/>
      <c r="AP79" s="978"/>
      <c r="AQ79" s="585"/>
      <c r="AR79" s="846"/>
      <c r="AS79" s="585">
        <v>2202</v>
      </c>
      <c r="AT79" s="1004"/>
      <c r="AU79" s="1005"/>
      <c r="AV79" s="585"/>
      <c r="AW79" s="585"/>
      <c r="AX79" s="585"/>
      <c r="AY79" s="1005"/>
      <c r="AZ79" s="585"/>
      <c r="BA79" s="585"/>
      <c r="BB79" s="1004"/>
      <c r="BC79" s="585"/>
      <c r="BD79" s="585"/>
      <c r="BE79" s="585"/>
      <c r="BF79" s="585"/>
      <c r="BG79" s="1004"/>
      <c r="BH79" s="991"/>
      <c r="BI79" s="643"/>
      <c r="BJ79" s="643"/>
      <c r="BK79" s="990"/>
      <c r="BL79" s="991"/>
      <c r="BM79" s="643"/>
      <c r="BN79" s="643"/>
      <c r="BO79" s="643"/>
      <c r="BP79" s="990"/>
      <c r="BQ79" s="991"/>
      <c r="BR79" s="643"/>
      <c r="BS79" s="643"/>
      <c r="BT79" s="990"/>
      <c r="BU79" s="991"/>
      <c r="BV79" s="643"/>
      <c r="BW79" s="643"/>
      <c r="BX79" s="985"/>
      <c r="BZ79" s="650"/>
    </row>
    <row r="80" spans="1:78" ht="21" customHeight="1" x14ac:dyDescent="0.2">
      <c r="A80" s="649" t="s">
        <v>384</v>
      </c>
      <c r="B80" s="632" t="s">
        <v>60</v>
      </c>
      <c r="C80" s="649" t="s">
        <v>304</v>
      </c>
      <c r="D80" s="632">
        <v>1500</v>
      </c>
      <c r="E80" s="828" t="str">
        <f>IFERROR(VLOOKUP(A80,ContainerSchedule!$A:$E,5,0),"")</f>
        <v/>
      </c>
      <c r="F80" s="828">
        <f>ContainerSchedule!F57</f>
        <v>46204</v>
      </c>
      <c r="G80" s="828"/>
      <c r="H80" s="11">
        <f t="shared" si="74"/>
        <v>1500</v>
      </c>
      <c r="I80" s="837">
        <f t="shared" si="75"/>
        <v>0</v>
      </c>
      <c r="J80" s="948" cm="1">
        <f t="array" ref="J80">IFERROR(_xlfn.XLOOKUP(TRUE,$L80:$BY80&lt;&gt;"",$L80:$BY80,,0,-1),"")</f>
        <v>300</v>
      </c>
      <c r="K80" s="946">
        <f t="shared" si="76"/>
        <v>46234</v>
      </c>
      <c r="P80" s="17"/>
      <c r="R80" s="181"/>
      <c r="S80" s="181"/>
      <c r="T80" s="18"/>
      <c r="W80" s="181"/>
      <c r="X80" s="181"/>
      <c r="Y80" s="247"/>
      <c r="Z80" s="137"/>
      <c r="AA80" s="12"/>
      <c r="AB80" s="137"/>
      <c r="AC80" s="989"/>
      <c r="AD80" s="643"/>
      <c r="AE80" s="643"/>
      <c r="AF80" s="1003"/>
      <c r="AG80" s="585"/>
      <c r="AH80" s="585"/>
      <c r="AI80" s="585"/>
      <c r="AJ80" s="585"/>
      <c r="AK80" s="1003"/>
      <c r="AL80" s="585"/>
      <c r="AM80" s="585"/>
      <c r="AN80" s="585"/>
      <c r="AO80" s="1004"/>
      <c r="AP80" s="978">
        <v>750</v>
      </c>
      <c r="AQ80" s="585">
        <v>250</v>
      </c>
      <c r="AR80" s="585">
        <v>200</v>
      </c>
      <c r="AS80" s="585"/>
      <c r="AT80" s="1004">
        <v>300</v>
      </c>
      <c r="AU80" s="991"/>
      <c r="AV80" s="643"/>
      <c r="AW80" s="643"/>
      <c r="AX80" s="643"/>
      <c r="AY80" s="991"/>
      <c r="AZ80" s="643"/>
      <c r="BA80" s="643"/>
      <c r="BB80" s="990"/>
      <c r="BC80" s="643"/>
      <c r="BD80" s="643"/>
      <c r="BE80" s="643"/>
      <c r="BF80" s="643"/>
      <c r="BG80" s="990"/>
      <c r="BH80" s="991"/>
      <c r="BI80" s="643"/>
      <c r="BJ80" s="643"/>
      <c r="BK80" s="990"/>
      <c r="BL80" s="991"/>
      <c r="BM80" s="643"/>
      <c r="BN80" s="643"/>
      <c r="BO80" s="643"/>
      <c r="BP80" s="990"/>
      <c r="BQ80" s="991"/>
      <c r="BR80" s="643"/>
      <c r="BS80" s="643"/>
      <c r="BT80" s="990"/>
      <c r="BU80" s="991"/>
      <c r="BV80" s="643"/>
      <c r="BW80" s="643"/>
      <c r="BX80" s="985"/>
      <c r="BZ80" s="650"/>
    </row>
    <row r="81" spans="1:78" ht="21" customHeight="1" x14ac:dyDescent="0.2">
      <c r="A81" s="649" t="s">
        <v>386</v>
      </c>
      <c r="B81" s="632" t="s">
        <v>60</v>
      </c>
      <c r="C81" s="649" t="s">
        <v>307</v>
      </c>
      <c r="D81" s="632">
        <v>300</v>
      </c>
      <c r="E81" s="828" t="str">
        <f>IFERROR(VLOOKUP(A81,ContainerSchedule!$A:$E,5,0),"")</f>
        <v/>
      </c>
      <c r="F81" s="828" t="e">
        <f>VLOOKUP(A81,ContainerSchedule!$A$1:$F$91,6,0)</f>
        <v>#N/A</v>
      </c>
      <c r="G81" s="828">
        <v>47665</v>
      </c>
      <c r="H81" s="11">
        <f t="shared" si="74"/>
        <v>300</v>
      </c>
      <c r="I81" s="837">
        <f t="shared" si="75"/>
        <v>0</v>
      </c>
      <c r="J81" s="948" cm="1">
        <f t="array" ref="J81">IFERROR(_xlfn.XLOOKUP(TRUE,$L81:$BY81&lt;&gt;"",$L81:$BY81,,0,-1),"")</f>
        <v>300</v>
      </c>
      <c r="K81" s="946">
        <f t="shared" si="76"/>
        <v>46234</v>
      </c>
      <c r="P81" s="17"/>
      <c r="R81" s="181"/>
      <c r="S81" s="181"/>
      <c r="T81" s="18"/>
      <c r="W81" s="181"/>
      <c r="X81" s="181"/>
      <c r="Y81" s="247"/>
      <c r="Z81" s="137"/>
      <c r="AA81" s="12"/>
      <c r="AB81" s="137"/>
      <c r="AC81" s="989"/>
      <c r="AD81" s="643"/>
      <c r="AE81" s="643"/>
      <c r="AF81" s="985"/>
      <c r="AG81" s="643"/>
      <c r="AH81" s="643"/>
      <c r="AI81" s="643"/>
      <c r="AJ81" s="643"/>
      <c r="AK81" s="985"/>
      <c r="AL81" s="643"/>
      <c r="AM81" s="643"/>
      <c r="AN81" s="643"/>
      <c r="AO81" s="990"/>
      <c r="AP81" s="1005"/>
      <c r="AQ81" s="585"/>
      <c r="AR81" s="585"/>
      <c r="AS81" s="585"/>
      <c r="AT81" s="1004">
        <v>300</v>
      </c>
      <c r="AU81" s="1005"/>
      <c r="AV81" s="585"/>
      <c r="AW81" s="585"/>
      <c r="AX81" s="585"/>
      <c r="AY81" s="1005"/>
      <c r="AZ81" s="585"/>
      <c r="BA81" s="585"/>
      <c r="BB81" s="1004"/>
      <c r="BC81" s="585"/>
      <c r="BD81" s="585"/>
      <c r="BE81" s="585"/>
      <c r="BF81" s="585"/>
      <c r="BG81" s="1004"/>
      <c r="BH81" s="991"/>
      <c r="BI81" s="643"/>
      <c r="BJ81" s="643"/>
      <c r="BK81" s="990"/>
      <c r="BL81" s="991"/>
      <c r="BM81" s="643"/>
      <c r="BN81" s="643"/>
      <c r="BO81" s="643"/>
      <c r="BP81" s="990"/>
      <c r="BQ81" s="991"/>
      <c r="BR81" s="643"/>
      <c r="BS81" s="643"/>
      <c r="BT81" s="990"/>
      <c r="BU81" s="991"/>
      <c r="BV81" s="643"/>
      <c r="BW81" s="643"/>
      <c r="BX81" s="985"/>
      <c r="BZ81" s="650"/>
    </row>
    <row r="82" spans="1:78" ht="21" customHeight="1" x14ac:dyDescent="0.2">
      <c r="A82" s="842" t="s">
        <v>350</v>
      </c>
      <c r="B82" s="632" t="s">
        <v>15</v>
      </c>
      <c r="C82" s="649" t="s">
        <v>820</v>
      </c>
      <c r="D82" s="632">
        <v>1560</v>
      </c>
      <c r="E82" s="828">
        <f>IFERROR(VLOOKUP(A82,ContainerSchedule!$A:$E,5,0),"")</f>
        <v>46188</v>
      </c>
      <c r="F82" s="828">
        <f>VLOOKUP(A82,ContainerSchedule!$A$1:$F$91,6,0)</f>
        <v>46226</v>
      </c>
      <c r="G82" s="830">
        <v>46226</v>
      </c>
      <c r="H82" s="11">
        <f t="shared" si="74"/>
        <v>1560</v>
      </c>
      <c r="I82" s="837">
        <f t="shared" si="75"/>
        <v>0</v>
      </c>
      <c r="J82" s="948" cm="1">
        <f t="array" ref="J82">IFERROR(_xlfn.XLOOKUP(TRUE,$L82:$BY82&lt;&gt;"",$L82:$BY82,,0,-1),"")</f>
        <v>1560</v>
      </c>
      <c r="K82" s="946">
        <f t="shared" si="76"/>
        <v>46234</v>
      </c>
      <c r="P82" s="17"/>
      <c r="R82" s="181"/>
      <c r="S82" s="181"/>
      <c r="T82" s="18"/>
      <c r="W82" s="181"/>
      <c r="X82" s="181"/>
      <c r="Y82" s="247"/>
      <c r="Z82" s="137"/>
      <c r="AA82" s="12"/>
      <c r="AB82" s="137"/>
      <c r="AC82" s="989"/>
      <c r="AD82" s="643"/>
      <c r="AE82" s="643"/>
      <c r="AF82" s="985"/>
      <c r="AG82" s="643"/>
      <c r="AH82" s="643"/>
      <c r="AI82" s="643"/>
      <c r="AJ82" s="643"/>
      <c r="AK82" s="985"/>
      <c r="AL82" s="643"/>
      <c r="AM82" s="643"/>
      <c r="AN82" s="643"/>
      <c r="AO82" s="990"/>
      <c r="AP82" s="1005"/>
      <c r="AQ82" s="585"/>
      <c r="AR82" s="585"/>
      <c r="AS82" s="966"/>
      <c r="AT82" s="987">
        <v>1560</v>
      </c>
      <c r="AU82" s="1005"/>
      <c r="AV82" s="585"/>
      <c r="AW82" s="585"/>
      <c r="AX82" s="997"/>
      <c r="AY82" s="1005"/>
      <c r="AZ82" s="585"/>
      <c r="BA82" s="585"/>
      <c r="BB82" s="1004"/>
      <c r="BC82" s="585"/>
      <c r="BD82" s="585"/>
      <c r="BE82" s="585"/>
      <c r="BF82" s="585"/>
      <c r="BG82" s="1004"/>
      <c r="BH82" s="991"/>
      <c r="BI82" s="643"/>
      <c r="BJ82" s="643"/>
      <c r="BK82" s="990"/>
      <c r="BL82" s="991"/>
      <c r="BM82" s="643"/>
      <c r="BN82" s="643"/>
      <c r="BO82" s="643"/>
      <c r="BP82" s="990"/>
      <c r="BQ82" s="991"/>
      <c r="BR82" s="643"/>
      <c r="BS82" s="643"/>
      <c r="BT82" s="990"/>
      <c r="BU82" s="991"/>
      <c r="BV82" s="643"/>
      <c r="BW82" s="643"/>
      <c r="BX82" s="985"/>
      <c r="BZ82" s="650"/>
    </row>
    <row r="83" spans="1:78" ht="21" customHeight="1" x14ac:dyDescent="0.2">
      <c r="A83" s="843" t="s">
        <v>356</v>
      </c>
      <c r="B83" s="632" t="s">
        <v>29</v>
      </c>
      <c r="C83" s="649" t="s">
        <v>311</v>
      </c>
      <c r="D83" s="632">
        <v>100</v>
      </c>
      <c r="E83" s="828">
        <f>IFERROR(VLOOKUP(A83,ContainerSchedule!$A:$E,5,0),"")</f>
        <v>46191</v>
      </c>
      <c r="F83" s="828">
        <f>VLOOKUP(A83,ContainerSchedule!$A$1:$F$91,6,0)</f>
        <v>46229</v>
      </c>
      <c r="G83" s="828">
        <v>46206</v>
      </c>
      <c r="H83" s="11">
        <f t="shared" ref="H83:H114" si="77">SUM(L83:BX83)</f>
        <v>100</v>
      </c>
      <c r="I83" s="837">
        <f t="shared" si="75"/>
        <v>0</v>
      </c>
      <c r="J83" s="948" cm="1">
        <f t="array" ref="J83">IFERROR(_xlfn.XLOOKUP(TRUE,$L83:$BY83&lt;&gt;"",$L83:$BY83,,0,-1),"")</f>
        <v>100</v>
      </c>
      <c r="K83" s="946">
        <f t="shared" si="76"/>
        <v>46241</v>
      </c>
      <c r="P83" s="17"/>
      <c r="R83" s="181"/>
      <c r="S83" s="181"/>
      <c r="T83" s="18"/>
      <c r="W83" s="181"/>
      <c r="X83" s="181"/>
      <c r="Y83" s="247"/>
      <c r="Z83" s="137"/>
      <c r="AA83" s="12"/>
      <c r="AB83" s="137"/>
      <c r="AC83" s="989"/>
      <c r="AD83" s="643"/>
      <c r="AE83" s="643"/>
      <c r="AF83" s="985"/>
      <c r="AG83" s="643"/>
      <c r="AH83" s="643"/>
      <c r="AI83" s="643"/>
      <c r="AJ83" s="643"/>
      <c r="AK83" s="985"/>
      <c r="AL83" s="643"/>
      <c r="AM83" s="643"/>
      <c r="AN83" s="643"/>
      <c r="AO83" s="1008"/>
      <c r="AP83" s="1005"/>
      <c r="AQ83" s="585"/>
      <c r="AR83" s="585"/>
      <c r="AS83" s="585"/>
      <c r="AT83" s="977"/>
      <c r="AU83" s="1005">
        <v>100</v>
      </c>
      <c r="AV83" s="585"/>
      <c r="AW83" s="585"/>
      <c r="AX83" s="585"/>
      <c r="AY83" s="1005"/>
      <c r="AZ83" s="585"/>
      <c r="BA83" s="585"/>
      <c r="BB83" s="1004"/>
      <c r="BC83" s="585"/>
      <c r="BD83" s="585"/>
      <c r="BE83" s="585"/>
      <c r="BF83" s="585"/>
      <c r="BG83" s="1004"/>
      <c r="BH83" s="991"/>
      <c r="BI83" s="643"/>
      <c r="BJ83" s="643"/>
      <c r="BK83" s="990"/>
      <c r="BL83" s="991"/>
      <c r="BM83" s="643"/>
      <c r="BN83" s="643"/>
      <c r="BO83" s="643"/>
      <c r="BP83" s="990"/>
      <c r="BQ83" s="991"/>
      <c r="BR83" s="643"/>
      <c r="BS83" s="643"/>
      <c r="BT83" s="990"/>
      <c r="BU83" s="991"/>
      <c r="BV83" s="643"/>
      <c r="BW83" s="643"/>
      <c r="BX83" s="985"/>
      <c r="BZ83" s="650"/>
    </row>
    <row r="84" spans="1:78" ht="21" customHeight="1" x14ac:dyDescent="0.2">
      <c r="A84" s="842" t="s">
        <v>351</v>
      </c>
      <c r="B84" s="632" t="s">
        <v>8</v>
      </c>
      <c r="C84" s="649" t="s">
        <v>801</v>
      </c>
      <c r="D84" s="632">
        <v>2550</v>
      </c>
      <c r="E84" s="828">
        <f>IFERROR(VLOOKUP(A84,ContainerSchedule!$A:$E,5,0),"")</f>
        <v>46171</v>
      </c>
      <c r="F84" s="828">
        <f>VLOOKUP(A84,ContainerSchedule!$A$1:$F$91,6,0)</f>
        <v>46229</v>
      </c>
      <c r="G84" s="828">
        <v>46218</v>
      </c>
      <c r="H84" s="11">
        <f t="shared" si="77"/>
        <v>2550</v>
      </c>
      <c r="I84" s="837">
        <f t="shared" si="75"/>
        <v>0</v>
      </c>
      <c r="J84" s="948" cm="1">
        <f t="array" ref="J84">IFERROR(_xlfn.XLOOKUP(TRUE,$L84:$BY84&lt;&gt;"",$L84:$BY84,,0,-1),"")</f>
        <v>2300</v>
      </c>
      <c r="K84" s="946">
        <f t="shared" si="76"/>
        <v>46241</v>
      </c>
      <c r="P84" s="17"/>
      <c r="R84" s="181"/>
      <c r="S84" s="181"/>
      <c r="T84" s="18"/>
      <c r="W84" s="181"/>
      <c r="X84" s="181"/>
      <c r="Y84" s="247"/>
      <c r="Z84" s="137"/>
      <c r="AA84" s="12"/>
      <c r="AB84" s="137"/>
      <c r="AC84" s="989"/>
      <c r="AD84" s="643"/>
      <c r="AE84" s="643"/>
      <c r="AF84" s="985"/>
      <c r="AG84" s="643"/>
      <c r="AH84" s="643"/>
      <c r="AI84" s="643"/>
      <c r="AJ84" s="643"/>
      <c r="AK84" s="985"/>
      <c r="AL84" s="643"/>
      <c r="AM84" s="643"/>
      <c r="AN84" s="643"/>
      <c r="AO84" s="990"/>
      <c r="AP84" s="1005"/>
      <c r="AQ84" s="585"/>
      <c r="AR84" s="585"/>
      <c r="AS84" s="585"/>
      <c r="AT84" s="977">
        <v>250</v>
      </c>
      <c r="AU84" s="1005">
        <v>2300</v>
      </c>
      <c r="AV84" s="585"/>
      <c r="AW84" s="585"/>
      <c r="AX84" s="585"/>
      <c r="AY84" s="1005"/>
      <c r="AZ84" s="585"/>
      <c r="BA84" s="585"/>
      <c r="BB84" s="1004"/>
      <c r="BC84" s="585"/>
      <c r="BD84" s="585"/>
      <c r="BE84" s="585"/>
      <c r="BF84" s="585"/>
      <c r="BG84" s="1004"/>
      <c r="BH84" s="991"/>
      <c r="BI84" s="643"/>
      <c r="BJ84" s="643"/>
      <c r="BK84" s="990"/>
      <c r="BL84" s="991"/>
      <c r="BM84" s="643"/>
      <c r="BN84" s="643"/>
      <c r="BO84" s="643"/>
      <c r="BP84" s="990"/>
      <c r="BQ84" s="991"/>
      <c r="BR84" s="643"/>
      <c r="BS84" s="643"/>
      <c r="BT84" s="990"/>
      <c r="BU84" s="991"/>
      <c r="BV84" s="643"/>
      <c r="BW84" s="643"/>
      <c r="BX84" s="985"/>
      <c r="BZ84" s="650"/>
    </row>
    <row r="85" spans="1:78" ht="21" customHeight="1" x14ac:dyDescent="0.2">
      <c r="A85" s="649" t="s">
        <v>357</v>
      </c>
      <c r="B85" s="632" t="s">
        <v>15</v>
      </c>
      <c r="C85" s="649" t="s">
        <v>778</v>
      </c>
      <c r="D85" s="632">
        <v>564</v>
      </c>
      <c r="E85" s="828">
        <f>IFERROR(VLOOKUP(A85,ContainerSchedule!$A:$E,5,0),"")</f>
        <v>46193</v>
      </c>
      <c r="F85" s="828">
        <f>VLOOKUP(A85,ContainerSchedule!$A$1:$F$91,6,0)</f>
        <v>46231</v>
      </c>
      <c r="G85" s="828">
        <v>46241</v>
      </c>
      <c r="H85" s="11">
        <f t="shared" si="77"/>
        <v>564</v>
      </c>
      <c r="I85" s="837">
        <f t="shared" si="75"/>
        <v>0</v>
      </c>
      <c r="J85" s="948" cm="1">
        <f t="array" ref="J85">IFERROR(_xlfn.XLOOKUP(TRUE,$L85:$BY85&lt;&gt;"",$L85:$BY85,,0,-1),"")</f>
        <v>564</v>
      </c>
      <c r="K85" s="946">
        <f t="shared" si="76"/>
        <v>46241</v>
      </c>
      <c r="P85" s="17"/>
      <c r="R85" s="181"/>
      <c r="S85" s="181"/>
      <c r="T85" s="18"/>
      <c r="W85" s="181"/>
      <c r="X85" s="181"/>
      <c r="Y85" s="247"/>
      <c r="Z85" s="137"/>
      <c r="AA85" s="12"/>
      <c r="AB85" s="137"/>
      <c r="AC85" s="989"/>
      <c r="AD85" s="643"/>
      <c r="AE85" s="643"/>
      <c r="AF85" s="985"/>
      <c r="AG85" s="643"/>
      <c r="AH85" s="643"/>
      <c r="AI85" s="643"/>
      <c r="AJ85" s="643"/>
      <c r="AK85" s="985"/>
      <c r="AL85" s="643"/>
      <c r="AM85" s="643"/>
      <c r="AN85" s="643"/>
      <c r="AO85" s="990"/>
      <c r="AP85" s="1005"/>
      <c r="AQ85" s="585"/>
      <c r="AR85" s="585"/>
      <c r="AS85" s="585"/>
      <c r="AT85" s="977"/>
      <c r="AU85" s="1005">
        <v>564</v>
      </c>
      <c r="AV85" s="585"/>
      <c r="AW85" s="585"/>
      <c r="AX85" s="585"/>
      <c r="AY85" s="1005"/>
      <c r="AZ85" s="585"/>
      <c r="BA85" s="585"/>
      <c r="BB85" s="1004"/>
      <c r="BC85" s="585"/>
      <c r="BD85" s="585"/>
      <c r="BE85" s="585"/>
      <c r="BF85" s="585"/>
      <c r="BG85" s="1004"/>
      <c r="BH85" s="991"/>
      <c r="BI85" s="643"/>
      <c r="BJ85" s="643"/>
      <c r="BK85" s="990"/>
      <c r="BL85" s="991"/>
      <c r="BM85" s="643"/>
      <c r="BN85" s="643"/>
      <c r="BO85" s="643"/>
      <c r="BP85" s="990"/>
      <c r="BQ85" s="991"/>
      <c r="BR85" s="643"/>
      <c r="BS85" s="643"/>
      <c r="BT85" s="990"/>
      <c r="BU85" s="991"/>
      <c r="BV85" s="643"/>
      <c r="BW85" s="643"/>
      <c r="BX85" s="985"/>
      <c r="BZ85" s="650"/>
    </row>
    <row r="86" spans="1:78" ht="21" customHeight="1" x14ac:dyDescent="0.2">
      <c r="A86" s="649" t="s">
        <v>358</v>
      </c>
      <c r="B86" s="632" t="s">
        <v>15</v>
      </c>
      <c r="C86" s="649" t="s">
        <v>778</v>
      </c>
      <c r="D86" s="632">
        <v>474</v>
      </c>
      <c r="E86" s="828">
        <f>IFERROR(VLOOKUP(A86,ContainerSchedule!$A:$E,5,0),"")</f>
        <v>46193</v>
      </c>
      <c r="F86" s="828">
        <f>VLOOKUP(A86,ContainerSchedule!$A$1:$F$91,6,0)</f>
        <v>46231</v>
      </c>
      <c r="G86" s="830"/>
      <c r="H86" s="11">
        <f t="shared" si="77"/>
        <v>474</v>
      </c>
      <c r="I86" s="837">
        <f t="shared" si="75"/>
        <v>0</v>
      </c>
      <c r="J86" s="948" cm="1">
        <f t="array" ref="J86">IFERROR(_xlfn.XLOOKUP(TRUE,$L86:$BY86&lt;&gt;"",$L86:$BY86,,0,-1),"")</f>
        <v>474</v>
      </c>
      <c r="K86" s="946">
        <f t="shared" si="76"/>
        <v>46241</v>
      </c>
      <c r="P86" s="17"/>
      <c r="R86" s="181"/>
      <c r="S86" s="181"/>
      <c r="T86" s="18"/>
      <c r="W86" s="181"/>
      <c r="X86" s="181"/>
      <c r="Y86" s="247"/>
      <c r="Z86" s="137"/>
      <c r="AA86" s="12"/>
      <c r="AB86" s="137"/>
      <c r="AC86" s="989"/>
      <c r="AD86" s="643"/>
      <c r="AE86" s="643"/>
      <c r="AF86" s="985"/>
      <c r="AG86" s="643"/>
      <c r="AH86" s="643"/>
      <c r="AI86" s="643"/>
      <c r="AJ86" s="643"/>
      <c r="AK86" s="985"/>
      <c r="AL86" s="643"/>
      <c r="AM86" s="643"/>
      <c r="AN86" s="643"/>
      <c r="AO86" s="990"/>
      <c r="AP86" s="1005"/>
      <c r="AQ86" s="585"/>
      <c r="AR86" s="585"/>
      <c r="AS86" s="585"/>
      <c r="AT86" s="977"/>
      <c r="AU86" s="1005">
        <v>474</v>
      </c>
      <c r="AV86" s="585"/>
      <c r="AW86" s="585"/>
      <c r="AX86" s="585"/>
      <c r="AY86" s="1005"/>
      <c r="AZ86" s="585"/>
      <c r="BA86" s="585"/>
      <c r="BB86" s="1004"/>
      <c r="BC86" s="585"/>
      <c r="BD86" s="585"/>
      <c r="BE86" s="585"/>
      <c r="BF86" s="585"/>
      <c r="BG86" s="1004"/>
      <c r="BH86" s="991"/>
      <c r="BI86" s="643"/>
      <c r="BJ86" s="643"/>
      <c r="BK86" s="990"/>
      <c r="BL86" s="991"/>
      <c r="BM86" s="643"/>
      <c r="BN86" s="643"/>
      <c r="BO86" s="643"/>
      <c r="BP86" s="990"/>
      <c r="BQ86" s="991"/>
      <c r="BR86" s="643"/>
      <c r="BS86" s="643"/>
      <c r="BT86" s="990"/>
      <c r="BU86" s="991"/>
      <c r="BV86" s="643"/>
      <c r="BW86" s="643"/>
      <c r="BX86" s="985"/>
      <c r="BZ86" s="650"/>
    </row>
    <row r="87" spans="1:78" ht="21" customHeight="1" x14ac:dyDescent="0.2">
      <c r="A87" s="1017" t="s">
        <v>355</v>
      </c>
      <c r="B87" s="632" t="s">
        <v>29</v>
      </c>
      <c r="C87" s="649" t="s">
        <v>311</v>
      </c>
      <c r="D87" s="632">
        <v>2052</v>
      </c>
      <c r="E87" s="828">
        <f>IFERROR(VLOOKUP(A87,ContainerSchedule!$A:$E,5,0),"")</f>
        <v>46191</v>
      </c>
      <c r="F87" s="828">
        <f>VLOOKUP(A87,ContainerSchedule!$A$1:$F$91,6,0)</f>
        <v>46229</v>
      </c>
      <c r="G87" s="828">
        <v>46206</v>
      </c>
      <c r="H87" s="632">
        <f t="shared" si="77"/>
        <v>2052</v>
      </c>
      <c r="I87" s="837">
        <f t="shared" si="75"/>
        <v>0</v>
      </c>
      <c r="J87" s="948" cm="1">
        <f t="array" ref="J87">IFERROR(_xlfn.XLOOKUP(TRUE,$L87:$BY87&lt;&gt;"",$L87:$BY87,,0,-1),"")</f>
        <v>1150</v>
      </c>
      <c r="K87" s="946">
        <f t="shared" si="76"/>
        <v>46248</v>
      </c>
      <c r="P87" s="17"/>
      <c r="R87" s="181"/>
      <c r="S87" s="181"/>
      <c r="T87" s="18"/>
      <c r="W87" s="181"/>
      <c r="X87" s="181"/>
      <c r="Y87" s="247"/>
      <c r="Z87" s="137"/>
      <c r="AA87" s="12"/>
      <c r="AB87" s="137"/>
      <c r="AC87" s="989"/>
      <c r="AD87" s="643"/>
      <c r="AE87" s="643"/>
      <c r="AF87" s="985"/>
      <c r="AG87" s="643"/>
      <c r="AH87" s="643"/>
      <c r="AI87" s="643"/>
      <c r="AJ87" s="643"/>
      <c r="AK87" s="985"/>
      <c r="AL87" s="643"/>
      <c r="AM87" s="643"/>
      <c r="AN87" s="643"/>
      <c r="AO87" s="1008"/>
      <c r="AP87" s="1005"/>
      <c r="AQ87" s="585"/>
      <c r="AR87" s="585"/>
      <c r="AS87" s="585"/>
      <c r="AT87" s="977">
        <v>350</v>
      </c>
      <c r="AU87" s="1005">
        <v>552</v>
      </c>
      <c r="AV87" s="585">
        <v>1150</v>
      </c>
      <c r="AW87" s="585"/>
      <c r="AX87" s="585"/>
      <c r="AY87" s="1005"/>
      <c r="AZ87" s="585"/>
      <c r="BA87" s="585"/>
      <c r="BB87" s="1004"/>
      <c r="BC87" s="585"/>
      <c r="BD87" s="585"/>
      <c r="BE87" s="585"/>
      <c r="BF87" s="585"/>
      <c r="BG87" s="1004"/>
      <c r="BH87" s="991"/>
      <c r="BI87" s="643"/>
      <c r="BJ87" s="643"/>
      <c r="BK87" s="990"/>
      <c r="BL87" s="991"/>
      <c r="BM87" s="643"/>
      <c r="BN87" s="643"/>
      <c r="BO87" s="643"/>
      <c r="BP87" s="990"/>
      <c r="BQ87" s="991"/>
      <c r="BR87" s="643"/>
      <c r="BS87" s="643"/>
      <c r="BT87" s="990"/>
      <c r="BU87" s="991"/>
      <c r="BV87" s="643"/>
      <c r="BW87" s="643"/>
      <c r="BX87" s="985"/>
      <c r="BZ87" s="650"/>
    </row>
    <row r="88" spans="1:78" ht="21" customHeight="1" x14ac:dyDescent="0.2">
      <c r="A88" s="1014" t="s">
        <v>360</v>
      </c>
      <c r="B88" s="632" t="s">
        <v>4</v>
      </c>
      <c r="C88" s="649" t="s">
        <v>809</v>
      </c>
      <c r="D88" s="632">
        <v>600</v>
      </c>
      <c r="E88" s="828">
        <f>IFERROR(VLOOKUP(A88,ContainerSchedule!$A:$E,5,0),"")</f>
        <v>46209</v>
      </c>
      <c r="F88" s="828">
        <f>VLOOKUP(A88,ContainerSchedule!$A$1:$F$91,6,0)</f>
        <v>46247</v>
      </c>
      <c r="G88" s="828">
        <v>46255</v>
      </c>
      <c r="H88" s="11">
        <f t="shared" si="77"/>
        <v>600</v>
      </c>
      <c r="I88" s="837">
        <f t="shared" si="75"/>
        <v>0</v>
      </c>
      <c r="J88" s="948" cm="1">
        <f t="array" ref="J88">IFERROR(_xlfn.XLOOKUP(TRUE,$L88:$BY88&lt;&gt;"",$L88:$BY88,,0,-1),"")</f>
        <v>600</v>
      </c>
      <c r="K88" s="946">
        <f t="shared" si="76"/>
        <v>46248</v>
      </c>
      <c r="P88" s="17"/>
      <c r="R88" s="181"/>
      <c r="S88" s="181"/>
      <c r="T88" s="18"/>
      <c r="W88" s="181"/>
      <c r="X88" s="181"/>
      <c r="Y88" s="247"/>
      <c r="Z88" s="137"/>
      <c r="AA88" s="12"/>
      <c r="AB88" s="137"/>
      <c r="AC88" s="989"/>
      <c r="AD88" s="643"/>
      <c r="AE88" s="643"/>
      <c r="AF88" s="985"/>
      <c r="AG88" s="643"/>
      <c r="AH88" s="643"/>
      <c r="AI88" s="643"/>
      <c r="AJ88" s="643"/>
      <c r="AK88" s="985"/>
      <c r="AL88" s="643"/>
      <c r="AM88" s="643"/>
      <c r="AN88" s="643"/>
      <c r="AO88" s="990"/>
      <c r="AP88" s="1005"/>
      <c r="AQ88" s="585"/>
      <c r="AR88" s="585"/>
      <c r="AS88" s="585"/>
      <c r="AT88" s="1004"/>
      <c r="AU88" s="1005"/>
      <c r="AV88" s="966">
        <v>600</v>
      </c>
      <c r="AW88" s="585"/>
      <c r="AX88" s="585"/>
      <c r="AY88" s="1005"/>
      <c r="AZ88" s="585"/>
      <c r="BA88" s="585"/>
      <c r="BB88" s="1004"/>
      <c r="BC88" s="585"/>
      <c r="BD88" s="585"/>
      <c r="BE88" s="585"/>
      <c r="BF88" s="585"/>
      <c r="BG88" s="1004"/>
      <c r="BH88" s="991"/>
      <c r="BI88" s="643"/>
      <c r="BJ88" s="643"/>
      <c r="BK88" s="990"/>
      <c r="BL88" s="991"/>
      <c r="BM88" s="643"/>
      <c r="BN88" s="643"/>
      <c r="BO88" s="643"/>
      <c r="BP88" s="990"/>
      <c r="BQ88" s="991"/>
      <c r="BR88" s="643"/>
      <c r="BS88" s="643"/>
      <c r="BT88" s="990"/>
      <c r="BU88" s="991"/>
      <c r="BV88" s="643"/>
      <c r="BW88" s="643"/>
      <c r="BX88" s="985"/>
      <c r="BZ88" s="650"/>
    </row>
    <row r="89" spans="1:78" ht="21" customHeight="1" x14ac:dyDescent="0.2">
      <c r="A89" s="1010" t="s">
        <v>359</v>
      </c>
      <c r="B89" s="632" t="s">
        <v>15</v>
      </c>
      <c r="C89" s="649" t="s">
        <v>820</v>
      </c>
      <c r="D89" s="632">
        <v>1548</v>
      </c>
      <c r="E89" s="828">
        <f>IFERROR(VLOOKUP(A89,ContainerSchedule!$A:$E,5,0),"")</f>
        <v>46205</v>
      </c>
      <c r="F89" s="828">
        <f>VLOOKUP(A89,ContainerSchedule!$A$1:$F$91,6,0)</f>
        <v>46243</v>
      </c>
      <c r="G89" s="828">
        <v>46248</v>
      </c>
      <c r="H89" s="11">
        <f t="shared" si="77"/>
        <v>1548</v>
      </c>
      <c r="I89" s="837">
        <f t="shared" si="75"/>
        <v>0</v>
      </c>
      <c r="J89" s="948" cm="1">
        <f t="array" ref="J89">IFERROR(_xlfn.XLOOKUP(TRUE,$L89:$BY89&lt;&gt;"",$L89:$BY89,,0,-1),"")</f>
        <v>1548</v>
      </c>
      <c r="K89" s="946">
        <f t="shared" si="76"/>
        <v>46248</v>
      </c>
      <c r="P89" s="17"/>
      <c r="R89" s="181"/>
      <c r="S89" s="181"/>
      <c r="T89" s="18"/>
      <c r="W89" s="181"/>
      <c r="X89" s="181"/>
      <c r="Y89" s="247"/>
      <c r="Z89" s="137"/>
      <c r="AA89" s="12"/>
      <c r="AB89" s="137"/>
      <c r="AC89" s="989"/>
      <c r="AD89" s="643"/>
      <c r="AE89" s="643"/>
      <c r="AF89" s="985"/>
      <c r="AG89" s="643"/>
      <c r="AH89" s="643"/>
      <c r="AI89" s="643"/>
      <c r="AJ89" s="643"/>
      <c r="AK89" s="985"/>
      <c r="AL89" s="643"/>
      <c r="AM89" s="643"/>
      <c r="AN89" s="643"/>
      <c r="AO89" s="990"/>
      <c r="AP89" s="1005"/>
      <c r="AQ89" s="585"/>
      <c r="AR89" s="585"/>
      <c r="AS89" s="585"/>
      <c r="AT89" s="1004"/>
      <c r="AU89" s="1005"/>
      <c r="AV89" s="966">
        <v>1548</v>
      </c>
      <c r="AW89" s="585"/>
      <c r="AX89" s="585"/>
      <c r="AY89" s="1005"/>
      <c r="AZ89" s="585"/>
      <c r="BA89" s="585"/>
      <c r="BB89" s="1004"/>
      <c r="BC89" s="585"/>
      <c r="BD89" s="585"/>
      <c r="BE89" s="585"/>
      <c r="BF89" s="585"/>
      <c r="BG89" s="1004"/>
      <c r="BH89" s="991"/>
      <c r="BI89" s="643"/>
      <c r="BJ89" s="643"/>
      <c r="BK89" s="990"/>
      <c r="BL89" s="991"/>
      <c r="BM89" s="643"/>
      <c r="BN89" s="643"/>
      <c r="BO89" s="643"/>
      <c r="BP89" s="990"/>
      <c r="BQ89" s="991"/>
      <c r="BR89" s="643"/>
      <c r="BS89" s="643"/>
      <c r="BT89" s="990"/>
      <c r="BU89" s="991"/>
      <c r="BV89" s="643"/>
      <c r="BW89" s="643"/>
      <c r="BX89" s="985"/>
      <c r="BZ89" s="650"/>
    </row>
    <row r="90" spans="1:78" ht="21" customHeight="1" x14ac:dyDescent="0.2">
      <c r="A90" s="649" t="s">
        <v>360</v>
      </c>
      <c r="B90" s="632" t="s">
        <v>4</v>
      </c>
      <c r="C90" s="649" t="s">
        <v>807</v>
      </c>
      <c r="D90" s="632">
        <v>996</v>
      </c>
      <c r="E90" s="828">
        <f>IFERROR(VLOOKUP(A90,ContainerSchedule!$A:$E,5,0),"")</f>
        <v>46209</v>
      </c>
      <c r="F90" s="828">
        <f>VLOOKUP(A90,ContainerSchedule!$A$1:$F$91,6,0)</f>
        <v>46247</v>
      </c>
      <c r="G90" s="828">
        <v>46255</v>
      </c>
      <c r="H90" s="11">
        <f t="shared" si="77"/>
        <v>996</v>
      </c>
      <c r="I90" s="837">
        <f t="shared" si="75"/>
        <v>0</v>
      </c>
      <c r="J90" s="948" cm="1">
        <f t="array" ref="J90">IFERROR(_xlfn.XLOOKUP(TRUE,$L90:$BY90&lt;&gt;"",$L90:$BY90,,0,-1),"")</f>
        <v>996</v>
      </c>
      <c r="K90" s="946">
        <f t="shared" si="76"/>
        <v>46255</v>
      </c>
      <c r="P90" s="17"/>
      <c r="R90" s="181"/>
      <c r="S90" s="181"/>
      <c r="T90" s="18"/>
      <c r="W90" s="181"/>
      <c r="X90" s="181"/>
      <c r="Y90" s="247"/>
      <c r="Z90" s="137"/>
      <c r="AA90" s="12"/>
      <c r="AB90" s="137"/>
      <c r="AC90" s="989"/>
      <c r="AD90" s="643"/>
      <c r="AE90" s="643"/>
      <c r="AF90" s="985"/>
      <c r="AG90" s="643"/>
      <c r="AH90" s="643"/>
      <c r="AI90" s="643"/>
      <c r="AJ90" s="643"/>
      <c r="AK90" s="985"/>
      <c r="AL90" s="643"/>
      <c r="AM90" s="643"/>
      <c r="AN90" s="643"/>
      <c r="AO90" s="990"/>
      <c r="AP90" s="1005"/>
      <c r="AQ90" s="585"/>
      <c r="AR90" s="585"/>
      <c r="AS90" s="585"/>
      <c r="AT90" s="1004"/>
      <c r="AU90" s="1005"/>
      <c r="AV90" s="966"/>
      <c r="AW90" s="585">
        <v>996</v>
      </c>
      <c r="AX90" s="585"/>
      <c r="AY90" s="1005"/>
      <c r="AZ90" s="585"/>
      <c r="BA90" s="585"/>
      <c r="BB90" s="1004"/>
      <c r="BC90" s="585"/>
      <c r="BD90" s="585"/>
      <c r="BE90" s="585"/>
      <c r="BF90" s="585"/>
      <c r="BG90" s="1004"/>
      <c r="BH90" s="991"/>
      <c r="BI90" s="643"/>
      <c r="BJ90" s="643"/>
      <c r="BK90" s="990"/>
      <c r="BL90" s="991"/>
      <c r="BM90" s="643"/>
      <c r="BN90" s="643"/>
      <c r="BO90" s="643"/>
      <c r="BP90" s="990"/>
      <c r="BQ90" s="991"/>
      <c r="BR90" s="643"/>
      <c r="BS90" s="643"/>
      <c r="BT90" s="990"/>
      <c r="BU90" s="991"/>
      <c r="BV90" s="643"/>
      <c r="BW90" s="643"/>
      <c r="BX90" s="985"/>
      <c r="BZ90" s="650"/>
    </row>
    <row r="91" spans="1:78" ht="21" customHeight="1" x14ac:dyDescent="0.2">
      <c r="A91" s="649" t="s">
        <v>362</v>
      </c>
      <c r="B91" s="632" t="s">
        <v>4</v>
      </c>
      <c r="C91" s="649" t="s">
        <v>177</v>
      </c>
      <c r="D91" s="632">
        <v>600</v>
      </c>
      <c r="E91" s="828">
        <f>IFERROR(VLOOKUP(A91,ContainerSchedule!$A:$E,5,0),"")</f>
        <v>46209</v>
      </c>
      <c r="F91" s="828">
        <f>VLOOKUP(A91,ContainerSchedule!$A$1:$F$91,6,0)</f>
        <v>46247</v>
      </c>
      <c r="G91" s="828">
        <v>46255</v>
      </c>
      <c r="H91" s="11">
        <f t="shared" si="77"/>
        <v>600</v>
      </c>
      <c r="I91" s="837">
        <f t="shared" si="75"/>
        <v>0</v>
      </c>
      <c r="J91" s="948" cm="1">
        <f t="array" ref="J91">IFERROR(_xlfn.XLOOKUP(TRUE,$L91:$BY91&lt;&gt;"",$L91:$BY91,,0,-1),"")</f>
        <v>600</v>
      </c>
      <c r="K91" s="946">
        <f t="shared" si="76"/>
        <v>46255</v>
      </c>
      <c r="P91" s="17"/>
      <c r="R91" s="181"/>
      <c r="S91" s="181"/>
      <c r="T91" s="18"/>
      <c r="W91" s="181"/>
      <c r="X91" s="181"/>
      <c r="Y91" s="247"/>
      <c r="Z91" s="137"/>
      <c r="AA91" s="12"/>
      <c r="AB91" s="137"/>
      <c r="AC91" s="989"/>
      <c r="AD91" s="643"/>
      <c r="AE91" s="643"/>
      <c r="AF91" s="985"/>
      <c r="AG91" s="643"/>
      <c r="AH91" s="643"/>
      <c r="AI91" s="643"/>
      <c r="AJ91" s="643"/>
      <c r="AK91" s="985"/>
      <c r="AL91" s="643"/>
      <c r="AM91" s="643"/>
      <c r="AN91" s="643"/>
      <c r="AO91" s="990"/>
      <c r="AP91" s="1005"/>
      <c r="AQ91" s="585"/>
      <c r="AR91" s="585"/>
      <c r="AS91" s="585"/>
      <c r="AT91" s="1004"/>
      <c r="AU91" s="1005"/>
      <c r="AV91" s="975"/>
      <c r="AW91" s="585">
        <v>600</v>
      </c>
      <c r="AX91" s="585"/>
      <c r="AY91" s="1005"/>
      <c r="AZ91" s="585"/>
      <c r="BA91" s="585"/>
      <c r="BB91" s="1004"/>
      <c r="BC91" s="585"/>
      <c r="BD91" s="585"/>
      <c r="BE91" s="585"/>
      <c r="BF91" s="585"/>
      <c r="BG91" s="1004"/>
      <c r="BH91" s="991"/>
      <c r="BI91" s="643"/>
      <c r="BJ91" s="643"/>
      <c r="BK91" s="990"/>
      <c r="BL91" s="991"/>
      <c r="BM91" s="643"/>
      <c r="BN91" s="643"/>
      <c r="BO91" s="643"/>
      <c r="BP91" s="990"/>
      <c r="BQ91" s="991"/>
      <c r="BR91" s="643"/>
      <c r="BS91" s="643"/>
      <c r="BT91" s="990"/>
      <c r="BU91" s="991"/>
      <c r="BV91" s="643"/>
      <c r="BW91" s="643"/>
      <c r="BX91" s="985"/>
      <c r="BZ91" s="650"/>
    </row>
    <row r="92" spans="1:78" ht="21" customHeight="1" x14ac:dyDescent="0.2">
      <c r="A92" s="649" t="s">
        <v>364</v>
      </c>
      <c r="B92" s="632" t="s">
        <v>4</v>
      </c>
      <c r="C92" s="649" t="s">
        <v>278</v>
      </c>
      <c r="D92" s="632">
        <v>600</v>
      </c>
      <c r="E92" s="828">
        <f>IFERROR(VLOOKUP(A92,ContainerSchedule!$A:$E,5,0),"")</f>
        <v>46209</v>
      </c>
      <c r="F92" s="828">
        <f>VLOOKUP(A92,ContainerSchedule!$A$1:$F$91,6,0)</f>
        <v>46247</v>
      </c>
      <c r="G92" s="828">
        <v>46255</v>
      </c>
      <c r="H92" s="11">
        <f t="shared" si="77"/>
        <v>600</v>
      </c>
      <c r="I92" s="837">
        <f t="shared" si="75"/>
        <v>0</v>
      </c>
      <c r="J92" s="948" cm="1">
        <f t="array" ref="J92">IFERROR(_xlfn.XLOOKUP(TRUE,$L92:$BY92&lt;&gt;"",$L92:$BY92,,0,-1),"")</f>
        <v>600</v>
      </c>
      <c r="K92" s="946">
        <f t="shared" si="76"/>
        <v>46255</v>
      </c>
      <c r="P92" s="17"/>
      <c r="R92" s="181"/>
      <c r="S92" s="181"/>
      <c r="T92" s="18"/>
      <c r="W92" s="181"/>
      <c r="X92" s="181"/>
      <c r="Y92" s="247"/>
      <c r="Z92" s="137"/>
      <c r="AA92" s="12"/>
      <c r="AB92" s="137"/>
      <c r="AC92" s="989"/>
      <c r="AD92" s="643"/>
      <c r="AE92" s="643"/>
      <c r="AF92" s="985"/>
      <c r="AG92" s="643"/>
      <c r="AH92" s="643"/>
      <c r="AI92" s="643"/>
      <c r="AJ92" s="643"/>
      <c r="AK92" s="985"/>
      <c r="AL92" s="643"/>
      <c r="AM92" s="643"/>
      <c r="AN92" s="643"/>
      <c r="AO92" s="990"/>
      <c r="AP92" s="1005"/>
      <c r="AQ92" s="585"/>
      <c r="AR92" s="585"/>
      <c r="AS92" s="585"/>
      <c r="AT92" s="1004"/>
      <c r="AU92" s="1005"/>
      <c r="AV92" s="966"/>
      <c r="AW92" s="585">
        <v>600</v>
      </c>
      <c r="AX92" s="585"/>
      <c r="AY92" s="1005"/>
      <c r="AZ92" s="585"/>
      <c r="BA92" s="585"/>
      <c r="BB92" s="1004"/>
      <c r="BC92" s="585"/>
      <c r="BD92" s="585"/>
      <c r="BE92" s="585"/>
      <c r="BF92" s="585"/>
      <c r="BG92" s="1004"/>
      <c r="BH92" s="991"/>
      <c r="BI92" s="643"/>
      <c r="BJ92" s="643"/>
      <c r="BK92" s="990"/>
      <c r="BL92" s="991"/>
      <c r="BM92" s="643"/>
      <c r="BN92" s="643"/>
      <c r="BO92" s="643"/>
      <c r="BP92" s="990"/>
      <c r="BQ92" s="991"/>
      <c r="BR92" s="643"/>
      <c r="BS92" s="643"/>
      <c r="BT92" s="990"/>
      <c r="BU92" s="991"/>
      <c r="BV92" s="643"/>
      <c r="BW92" s="643"/>
      <c r="BX92" s="985"/>
      <c r="BZ92" s="650"/>
    </row>
    <row r="93" spans="1:78" ht="21" customHeight="1" x14ac:dyDescent="0.2">
      <c r="A93" s="859" t="s">
        <v>735</v>
      </c>
      <c r="B93" s="860" t="s">
        <v>201</v>
      </c>
      <c r="C93" s="861" t="s">
        <v>871</v>
      </c>
      <c r="D93" s="860">
        <v>804</v>
      </c>
      <c r="E93" s="828" t="str">
        <f>IFERROR(VLOOKUP(A93,ContainerSchedule!$A:$E,5,0),"")</f>
        <v/>
      </c>
      <c r="F93" s="828" t="e">
        <f>VLOOKUP(A93,ContainerSchedule!$A$1:$F$91,6,0)</f>
        <v>#N/A</v>
      </c>
      <c r="G93" s="862">
        <v>46272</v>
      </c>
      <c r="H93" s="748">
        <f t="shared" si="77"/>
        <v>804</v>
      </c>
      <c r="I93" s="945">
        <f t="shared" si="75"/>
        <v>0</v>
      </c>
      <c r="J93" s="948" cm="1">
        <f t="array" ref="J93">IFERROR(_xlfn.XLOOKUP(TRUE,$L93:$BY93&lt;&gt;"",$L93:$BY93,,0,-1),"")</f>
        <v>804</v>
      </c>
      <c r="K93" s="946">
        <f t="shared" si="76"/>
        <v>46255</v>
      </c>
      <c r="P93" s="17"/>
      <c r="R93" s="181"/>
      <c r="S93" s="181"/>
      <c r="T93" s="18"/>
      <c r="W93" s="181"/>
      <c r="X93" s="181"/>
      <c r="Y93" s="247"/>
      <c r="Z93" s="137"/>
      <c r="AA93" s="12"/>
      <c r="AB93" s="137"/>
      <c r="AC93" s="989"/>
      <c r="AD93" s="643"/>
      <c r="AE93" s="643"/>
      <c r="AF93" s="985"/>
      <c r="AG93" s="643"/>
      <c r="AH93" s="643"/>
      <c r="AI93" s="643"/>
      <c r="AJ93" s="643"/>
      <c r="AK93" s="985"/>
      <c r="AL93" s="643"/>
      <c r="AM93" s="643"/>
      <c r="AN93" s="643"/>
      <c r="AO93" s="990"/>
      <c r="AP93" s="1005"/>
      <c r="AQ93" s="585"/>
      <c r="AR93" s="585"/>
      <c r="AS93" s="585"/>
      <c r="AT93" s="1004"/>
      <c r="AU93" s="1005"/>
      <c r="AV93" s="585"/>
      <c r="AW93" s="585">
        <v>804</v>
      </c>
      <c r="AX93" s="585"/>
      <c r="AY93" s="1005"/>
      <c r="AZ93" s="585"/>
      <c r="BA93" s="585"/>
      <c r="BB93" s="1004"/>
      <c r="BC93" s="585"/>
      <c r="BD93" s="585"/>
      <c r="BE93" s="585"/>
      <c r="BF93" s="585"/>
      <c r="BG93" s="1004"/>
      <c r="BH93" s="991"/>
      <c r="BI93" s="643"/>
      <c r="BJ93" s="643"/>
      <c r="BK93" s="990"/>
      <c r="BL93" s="991"/>
      <c r="BM93" s="643"/>
      <c r="BN93" s="643"/>
      <c r="BO93" s="643"/>
      <c r="BP93" s="990"/>
      <c r="BQ93" s="991"/>
      <c r="BR93" s="643"/>
      <c r="BS93" s="643"/>
      <c r="BT93" s="990"/>
      <c r="BU93" s="991"/>
      <c r="BV93" s="643"/>
      <c r="BW93" s="643"/>
      <c r="BX93" s="985"/>
      <c r="BZ93" s="650"/>
    </row>
    <row r="94" spans="1:78" ht="21" customHeight="1" x14ac:dyDescent="0.2">
      <c r="A94" s="649" t="s">
        <v>365</v>
      </c>
      <c r="B94" s="632" t="s">
        <v>4</v>
      </c>
      <c r="C94" s="649" t="s">
        <v>287</v>
      </c>
      <c r="D94" s="632">
        <v>1458</v>
      </c>
      <c r="E94" s="828">
        <f>IFERROR(VLOOKUP(A94,ContainerSchedule!$A:$E,5,0),"")</f>
        <v>46209</v>
      </c>
      <c r="F94" s="828">
        <f>VLOOKUP(A94,ContainerSchedule!$A$1:$F$91,6,0)</f>
        <v>46247</v>
      </c>
      <c r="G94" s="828">
        <v>46255</v>
      </c>
      <c r="H94" s="11">
        <f t="shared" si="77"/>
        <v>1458</v>
      </c>
      <c r="I94" s="837">
        <f t="shared" si="75"/>
        <v>0</v>
      </c>
      <c r="J94" s="948" cm="1">
        <f t="array" ref="J94">IFERROR(_xlfn.XLOOKUP(TRUE,$L94:$BY94&lt;&gt;"",$L94:$BY94,,0,-1),"")</f>
        <v>808</v>
      </c>
      <c r="K94" s="946">
        <f t="shared" si="76"/>
        <v>46262</v>
      </c>
      <c r="P94" s="17"/>
      <c r="R94" s="181"/>
      <c r="S94" s="181"/>
      <c r="T94" s="18"/>
      <c r="W94" s="181"/>
      <c r="X94" s="181"/>
      <c r="Y94" s="247"/>
      <c r="Z94" s="137"/>
      <c r="AA94" s="12"/>
      <c r="AB94" s="137"/>
      <c r="AC94" s="989"/>
      <c r="AD94" s="643"/>
      <c r="AE94" s="643"/>
      <c r="AF94" s="985"/>
      <c r="AG94" s="643"/>
      <c r="AH94" s="643"/>
      <c r="AI94" s="643"/>
      <c r="AJ94" s="643"/>
      <c r="AK94" s="985"/>
      <c r="AL94" s="643"/>
      <c r="AM94" s="643"/>
      <c r="AN94" s="643"/>
      <c r="AO94" s="990"/>
      <c r="AP94" s="1005"/>
      <c r="AQ94" s="585"/>
      <c r="AR94" s="585"/>
      <c r="AS94" s="585"/>
      <c r="AT94" s="1004"/>
      <c r="AU94" s="1005"/>
      <c r="AV94" s="966"/>
      <c r="AW94" s="585">
        <v>650</v>
      </c>
      <c r="AX94" s="585">
        <v>808</v>
      </c>
      <c r="AY94" s="1005"/>
      <c r="AZ94" s="585"/>
      <c r="BA94" s="585"/>
      <c r="BB94" s="1004"/>
      <c r="BC94" s="585"/>
      <c r="BD94" s="585"/>
      <c r="BE94" s="585"/>
      <c r="BF94" s="585"/>
      <c r="BG94" s="1004"/>
      <c r="BH94" s="991"/>
      <c r="BI94" s="643"/>
      <c r="BJ94" s="643"/>
      <c r="BK94" s="990"/>
      <c r="BL94" s="991"/>
      <c r="BM94" s="643"/>
      <c r="BN94" s="643"/>
      <c r="BO94" s="643"/>
      <c r="BP94" s="990"/>
      <c r="BQ94" s="991"/>
      <c r="BR94" s="643"/>
      <c r="BS94" s="643"/>
      <c r="BT94" s="990"/>
      <c r="BU94" s="991"/>
      <c r="BV94" s="643"/>
      <c r="BW94" s="643"/>
      <c r="BX94" s="985"/>
      <c r="BZ94" s="650"/>
    </row>
    <row r="95" spans="1:78" ht="21" customHeight="1" x14ac:dyDescent="0.2">
      <c r="A95" s="649" t="s">
        <v>365</v>
      </c>
      <c r="B95" s="632" t="s">
        <v>4</v>
      </c>
      <c r="C95" s="649" t="s">
        <v>285</v>
      </c>
      <c r="D95" s="632">
        <v>1662</v>
      </c>
      <c r="E95" s="828">
        <f>IFERROR(VLOOKUP(A95,ContainerSchedule!$A:$E,5,0),"")</f>
        <v>46209</v>
      </c>
      <c r="F95" s="828">
        <f>VLOOKUP(A95,ContainerSchedule!$A$1:$F$91,6,0)</f>
        <v>46247</v>
      </c>
      <c r="G95" s="828">
        <v>46255</v>
      </c>
      <c r="H95" s="11">
        <f t="shared" si="77"/>
        <v>1662</v>
      </c>
      <c r="I95" s="837">
        <f t="shared" si="75"/>
        <v>0</v>
      </c>
      <c r="J95" s="948" cm="1">
        <f t="array" ref="J95">IFERROR(_xlfn.XLOOKUP(TRUE,$L95:$BY95&lt;&gt;"",$L95:$BY95,,0,-1),"")</f>
        <v>1662</v>
      </c>
      <c r="K95" s="946">
        <f t="shared" si="76"/>
        <v>46262</v>
      </c>
      <c r="P95" s="17"/>
      <c r="R95" s="181"/>
      <c r="S95" s="181"/>
      <c r="T95" s="18"/>
      <c r="W95" s="181"/>
      <c r="X95" s="181"/>
      <c r="Y95" s="247"/>
      <c r="Z95" s="137"/>
      <c r="AA95" s="12"/>
      <c r="AB95" s="137"/>
      <c r="AC95" s="989"/>
      <c r="AD95" s="643"/>
      <c r="AE95" s="643"/>
      <c r="AF95" s="985"/>
      <c r="AG95" s="643"/>
      <c r="AH95" s="643"/>
      <c r="AI95" s="643"/>
      <c r="AJ95" s="643"/>
      <c r="AK95" s="985"/>
      <c r="AL95" s="643"/>
      <c r="AM95" s="643"/>
      <c r="AN95" s="643"/>
      <c r="AO95" s="990"/>
      <c r="AP95" s="1005"/>
      <c r="AQ95" s="585"/>
      <c r="AR95" s="585"/>
      <c r="AS95" s="585"/>
      <c r="AT95" s="1004"/>
      <c r="AU95" s="1005"/>
      <c r="AV95" s="966"/>
      <c r="AW95" s="585"/>
      <c r="AX95" s="585">
        <v>1662</v>
      </c>
      <c r="AY95" s="1005"/>
      <c r="AZ95" s="585"/>
      <c r="BA95" s="585"/>
      <c r="BB95" s="1004"/>
      <c r="BC95" s="585"/>
      <c r="BD95" s="585"/>
      <c r="BE95" s="585"/>
      <c r="BF95" s="585"/>
      <c r="BG95" s="1004"/>
      <c r="BH95" s="991"/>
      <c r="BI95" s="643"/>
      <c r="BJ95" s="643"/>
      <c r="BK95" s="990"/>
      <c r="BL95" s="991"/>
      <c r="BM95" s="643"/>
      <c r="BN95" s="643"/>
      <c r="BO95" s="643"/>
      <c r="BP95" s="990"/>
      <c r="BQ95" s="991"/>
      <c r="BR95" s="643"/>
      <c r="BS95" s="643"/>
      <c r="BT95" s="990"/>
      <c r="BU95" s="991"/>
      <c r="BV95" s="643"/>
      <c r="BW95" s="643"/>
      <c r="BX95" s="985"/>
      <c r="BZ95" s="650"/>
    </row>
    <row r="96" spans="1:78" ht="21" customHeight="1" x14ac:dyDescent="0.2">
      <c r="A96" s="649" t="s">
        <v>366</v>
      </c>
      <c r="B96" s="632" t="s">
        <v>4</v>
      </c>
      <c r="C96" s="649" t="s">
        <v>281</v>
      </c>
      <c r="D96" s="632">
        <v>600</v>
      </c>
      <c r="E96" s="828">
        <f>IFERROR(VLOOKUP(A96,ContainerSchedule!$A:$E,5,0),"")</f>
        <v>46216</v>
      </c>
      <c r="F96" s="828">
        <f>VLOOKUP(A96,ContainerSchedule!$A$1:$F$91,6,0)</f>
        <v>46254</v>
      </c>
      <c r="G96" s="828">
        <v>46255</v>
      </c>
      <c r="H96" s="11">
        <f t="shared" si="77"/>
        <v>600</v>
      </c>
      <c r="I96" s="837">
        <f t="shared" si="75"/>
        <v>0</v>
      </c>
      <c r="J96" s="948" cm="1">
        <f t="array" ref="J96">IFERROR(_xlfn.XLOOKUP(TRUE,$L96:$BY96&lt;&gt;"",$L96:$BY96,,0,-1),"")</f>
        <v>600</v>
      </c>
      <c r="K96" s="946">
        <f t="shared" si="76"/>
        <v>46262</v>
      </c>
      <c r="P96" s="17"/>
      <c r="R96" s="181"/>
      <c r="S96" s="181"/>
      <c r="T96" s="18"/>
      <c r="W96" s="181"/>
      <c r="X96" s="181"/>
      <c r="Y96" s="247"/>
      <c r="Z96" s="137"/>
      <c r="AA96" s="12"/>
      <c r="AB96" s="137"/>
      <c r="AC96" s="989"/>
      <c r="AD96" s="643"/>
      <c r="AE96" s="643"/>
      <c r="AF96" s="985"/>
      <c r="AG96" s="643"/>
      <c r="AH96" s="643"/>
      <c r="AI96" s="643"/>
      <c r="AJ96" s="643"/>
      <c r="AK96" s="985"/>
      <c r="AL96" s="643"/>
      <c r="AM96" s="643"/>
      <c r="AN96" s="643"/>
      <c r="AO96" s="990"/>
      <c r="AP96" s="1005"/>
      <c r="AQ96" s="585"/>
      <c r="AR96" s="585"/>
      <c r="AS96" s="585"/>
      <c r="AT96" s="1004"/>
      <c r="AU96" s="1005"/>
      <c r="AV96" s="585"/>
      <c r="AW96" s="975"/>
      <c r="AX96" s="585">
        <v>600</v>
      </c>
      <c r="AY96" s="1005"/>
      <c r="AZ96" s="585"/>
      <c r="BA96" s="585"/>
      <c r="BB96" s="1004"/>
      <c r="BC96" s="585"/>
      <c r="BD96" s="585"/>
      <c r="BE96" s="585"/>
      <c r="BF96" s="585"/>
      <c r="BG96" s="1004"/>
      <c r="BH96" s="991"/>
      <c r="BI96" s="643"/>
      <c r="BJ96" s="643"/>
      <c r="BK96" s="990"/>
      <c r="BL96" s="991"/>
      <c r="BM96" s="643"/>
      <c r="BN96" s="643"/>
      <c r="BO96" s="643"/>
      <c r="BP96" s="990"/>
      <c r="BQ96" s="991"/>
      <c r="BR96" s="643"/>
      <c r="BS96" s="643"/>
      <c r="BT96" s="990"/>
      <c r="BU96" s="991"/>
      <c r="BV96" s="643"/>
      <c r="BW96" s="643"/>
      <c r="BX96" s="985"/>
      <c r="BZ96" s="650"/>
    </row>
    <row r="97" spans="1:78" ht="21" customHeight="1" x14ac:dyDescent="0.2">
      <c r="A97" s="1011" t="s">
        <v>352</v>
      </c>
      <c r="B97" s="632" t="s">
        <v>8</v>
      </c>
      <c r="C97" s="840" t="s">
        <v>823</v>
      </c>
      <c r="D97" s="632">
        <v>858</v>
      </c>
      <c r="E97" s="828">
        <f>IFERROR(VLOOKUP(A97,ContainerSchedule!$A:$E,5,0),"")</f>
        <v>46171</v>
      </c>
      <c r="F97" s="828">
        <f>VLOOKUP(A97,ContainerSchedule!$A$1:$F$91,6,0)</f>
        <v>46229</v>
      </c>
      <c r="G97" s="828">
        <v>46249</v>
      </c>
      <c r="H97" s="11">
        <f t="shared" si="77"/>
        <v>858</v>
      </c>
      <c r="I97" s="837">
        <f t="shared" si="75"/>
        <v>0</v>
      </c>
      <c r="J97" s="948" cm="1">
        <f t="array" ref="J97">IFERROR(_xlfn.XLOOKUP(TRUE,$L97:$BY97&lt;&gt;"",$L97:$BY97,,0,-1),"")</f>
        <v>408</v>
      </c>
      <c r="K97" s="946">
        <f t="shared" si="76"/>
        <v>46269</v>
      </c>
      <c r="P97" s="17"/>
      <c r="R97" s="181"/>
      <c r="S97" s="181"/>
      <c r="T97" s="18"/>
      <c r="W97" s="181"/>
      <c r="X97" s="181"/>
      <c r="Y97" s="247"/>
      <c r="Z97" s="137"/>
      <c r="AA97" s="12"/>
      <c r="AB97" s="137"/>
      <c r="AC97" s="989"/>
      <c r="AD97" s="643"/>
      <c r="AE97" s="643"/>
      <c r="AF97" s="985"/>
      <c r="AG97" s="643"/>
      <c r="AH97" s="643"/>
      <c r="AI97" s="643"/>
      <c r="AJ97" s="643"/>
      <c r="AK97" s="985"/>
      <c r="AL97" s="643"/>
      <c r="AM97" s="643"/>
      <c r="AN97" s="643"/>
      <c r="AO97" s="990"/>
      <c r="AP97" s="1005"/>
      <c r="AQ97" s="585"/>
      <c r="AR97" s="585"/>
      <c r="AS97" s="585"/>
      <c r="AT97" s="977"/>
      <c r="AU97" s="1005"/>
      <c r="AV97" s="585"/>
      <c r="AW97" s="585"/>
      <c r="AX97" s="1002">
        <v>450</v>
      </c>
      <c r="AY97" s="1005">
        <v>408</v>
      </c>
      <c r="AZ97" s="585"/>
      <c r="BA97" s="585"/>
      <c r="BB97" s="1004"/>
      <c r="BC97" s="585"/>
      <c r="BD97" s="585"/>
      <c r="BE97" s="585"/>
      <c r="BF97" s="585"/>
      <c r="BG97" s="1004"/>
      <c r="BH97" s="991"/>
      <c r="BI97" s="643"/>
      <c r="BJ97" s="643"/>
      <c r="BK97" s="990"/>
      <c r="BL97" s="991"/>
      <c r="BM97" s="643"/>
      <c r="BN97" s="643"/>
      <c r="BO97" s="643"/>
      <c r="BP97" s="990"/>
      <c r="BQ97" s="991"/>
      <c r="BR97" s="643"/>
      <c r="BS97" s="643"/>
      <c r="BT97" s="990"/>
      <c r="BU97" s="991"/>
      <c r="BV97" s="643"/>
      <c r="BW97" s="643"/>
      <c r="BX97" s="985"/>
      <c r="BZ97" s="650"/>
    </row>
    <row r="98" spans="1:78" ht="16" x14ac:dyDescent="0.2">
      <c r="A98" s="1011" t="s">
        <v>353</v>
      </c>
      <c r="B98" s="632" t="s">
        <v>8</v>
      </c>
      <c r="C98" s="840" t="s">
        <v>789</v>
      </c>
      <c r="D98" s="632">
        <v>1008</v>
      </c>
      <c r="E98" s="828">
        <f>IFERROR(VLOOKUP(A98,ContainerSchedule!$A:$E,5,0),"")</f>
        <v>46171</v>
      </c>
      <c r="F98" s="828">
        <f>VLOOKUP(A98,ContainerSchedule!$A$1:$F$91,6,0)</f>
        <v>46229</v>
      </c>
      <c r="G98" s="828">
        <v>46249</v>
      </c>
      <c r="H98" s="11">
        <f t="shared" si="77"/>
        <v>1008</v>
      </c>
      <c r="I98" s="837">
        <f t="shared" si="75"/>
        <v>0</v>
      </c>
      <c r="J98" s="948" cm="1">
        <f t="array" ref="J98">IFERROR(_xlfn.XLOOKUP(TRUE,$L98:$BY98&lt;&gt;"",$L98:$BY98,,0,-1),"")</f>
        <v>1008</v>
      </c>
      <c r="K98" s="946">
        <f t="shared" si="76"/>
        <v>46269</v>
      </c>
      <c r="P98" s="17"/>
      <c r="R98" s="181"/>
      <c r="S98" s="181"/>
      <c r="T98" s="18"/>
      <c r="W98" s="181"/>
      <c r="X98" s="181"/>
      <c r="Y98" s="247"/>
      <c r="Z98" s="137"/>
      <c r="AA98" s="12"/>
      <c r="AB98" s="137"/>
      <c r="AC98" s="989"/>
      <c r="AD98" s="643"/>
      <c r="AE98" s="643"/>
      <c r="AF98" s="985"/>
      <c r="AG98" s="643"/>
      <c r="AH98" s="643"/>
      <c r="AI98" s="643"/>
      <c r="AJ98" s="643"/>
      <c r="AK98" s="985"/>
      <c r="AL98" s="643"/>
      <c r="AM98" s="643"/>
      <c r="AN98" s="643"/>
      <c r="AO98" s="990"/>
      <c r="AP98" s="1005"/>
      <c r="AQ98" s="585"/>
      <c r="AR98" s="585"/>
      <c r="AS98" s="585"/>
      <c r="AT98" s="977"/>
      <c r="AU98" s="1005"/>
      <c r="AV98" s="585"/>
      <c r="AW98" s="585"/>
      <c r="AX98" s="1002"/>
      <c r="AY98" s="1005">
        <v>1008</v>
      </c>
      <c r="AZ98" s="585"/>
      <c r="BA98" s="585"/>
      <c r="BB98" s="1004"/>
      <c r="BC98" s="585"/>
      <c r="BD98" s="585"/>
      <c r="BE98" s="585"/>
      <c r="BF98" s="585"/>
      <c r="BG98" s="1004"/>
      <c r="BH98" s="991"/>
      <c r="BI98" s="643"/>
      <c r="BJ98" s="643"/>
      <c r="BK98" s="990"/>
      <c r="BL98" s="991"/>
      <c r="BM98" s="643"/>
      <c r="BN98" s="643"/>
      <c r="BO98" s="643"/>
      <c r="BP98" s="990"/>
      <c r="BQ98" s="991"/>
      <c r="BR98" s="643"/>
      <c r="BS98" s="643"/>
      <c r="BT98" s="990"/>
      <c r="BU98" s="991"/>
      <c r="BV98" s="643"/>
      <c r="BW98" s="643"/>
      <c r="BX98" s="985"/>
      <c r="BZ98" s="650"/>
    </row>
    <row r="99" spans="1:78" ht="16" x14ac:dyDescent="0.2">
      <c r="A99" s="1011" t="s">
        <v>354</v>
      </c>
      <c r="B99" s="632" t="s">
        <v>8</v>
      </c>
      <c r="C99" s="840" t="s">
        <v>825</v>
      </c>
      <c r="D99" s="632">
        <v>684</v>
      </c>
      <c r="E99" s="828">
        <f>IFERROR(VLOOKUP(A99,ContainerSchedule!$A:$E,5,0),"")</f>
        <v>46171</v>
      </c>
      <c r="F99" s="828">
        <f>VLOOKUP(A99,ContainerSchedule!$A$1:$F$91,6,0)</f>
        <v>46229</v>
      </c>
      <c r="G99" s="828">
        <v>46249</v>
      </c>
      <c r="H99" s="11">
        <f t="shared" si="77"/>
        <v>684</v>
      </c>
      <c r="I99" s="837">
        <f t="shared" si="75"/>
        <v>0</v>
      </c>
      <c r="J99" s="948" cm="1">
        <f t="array" ref="J99">IFERROR(_xlfn.XLOOKUP(TRUE,$L99:$BY99&lt;&gt;"",$L99:$BY99,,0,-1),"")</f>
        <v>684</v>
      </c>
      <c r="K99" s="946">
        <f t="shared" si="76"/>
        <v>46269</v>
      </c>
      <c r="P99" s="17"/>
      <c r="R99" s="181"/>
      <c r="S99" s="181"/>
      <c r="T99" s="18"/>
      <c r="W99" s="181"/>
      <c r="X99" s="181"/>
      <c r="Y99" s="247"/>
      <c r="Z99" s="137"/>
      <c r="AA99" s="12"/>
      <c r="AB99" s="137"/>
      <c r="AC99" s="989"/>
      <c r="AD99" s="643"/>
      <c r="AE99" s="643"/>
      <c r="AF99" s="985"/>
      <c r="AG99" s="643"/>
      <c r="AH99" s="643"/>
      <c r="AI99" s="643"/>
      <c r="AJ99" s="643"/>
      <c r="AK99" s="985"/>
      <c r="AL99" s="643"/>
      <c r="AM99" s="643"/>
      <c r="AN99" s="643"/>
      <c r="AO99" s="990"/>
      <c r="AP99" s="1005"/>
      <c r="AQ99" s="585"/>
      <c r="AR99" s="585"/>
      <c r="AS99" s="585"/>
      <c r="AT99" s="977"/>
      <c r="AU99" s="1005"/>
      <c r="AV99" s="585"/>
      <c r="AW99" s="585"/>
      <c r="AX99" s="1002"/>
      <c r="AY99" s="1005">
        <v>684</v>
      </c>
      <c r="AZ99" s="585"/>
      <c r="BA99" s="585"/>
      <c r="BB99" s="1004"/>
      <c r="BC99" s="585"/>
      <c r="BD99" s="585"/>
      <c r="BE99" s="585"/>
      <c r="BF99" s="585"/>
      <c r="BG99" s="1004"/>
      <c r="BH99" s="991"/>
      <c r="BI99" s="643"/>
      <c r="BJ99" s="643"/>
      <c r="BK99" s="990"/>
      <c r="BL99" s="991"/>
      <c r="BM99" s="643"/>
      <c r="BN99" s="643"/>
      <c r="BO99" s="643"/>
      <c r="BP99" s="990"/>
      <c r="BQ99" s="991"/>
      <c r="BR99" s="643"/>
      <c r="BS99" s="643"/>
      <c r="BT99" s="990"/>
      <c r="BU99" s="991"/>
      <c r="BV99" s="643"/>
      <c r="BW99" s="643"/>
      <c r="BX99" s="985"/>
      <c r="BZ99" s="650"/>
    </row>
    <row r="100" spans="1:78" x14ac:dyDescent="0.2">
      <c r="A100" s="649" t="s">
        <v>386</v>
      </c>
      <c r="B100" s="632" t="s">
        <v>60</v>
      </c>
      <c r="C100" s="649" t="s">
        <v>309</v>
      </c>
      <c r="D100" s="632">
        <v>300</v>
      </c>
      <c r="E100" s="828" t="str">
        <f>IFERROR(VLOOKUP(A100,ContainerSchedule!$A:$E,5,0),"")</f>
        <v/>
      </c>
      <c r="F100" s="828" t="e">
        <f>VLOOKUP(A100,ContainerSchedule!$A$1:$F$91,6,0)</f>
        <v>#N/A</v>
      </c>
      <c r="G100" s="828">
        <v>47665</v>
      </c>
      <c r="H100" s="11">
        <f t="shared" si="77"/>
        <v>300</v>
      </c>
      <c r="I100" s="837">
        <f t="shared" si="75"/>
        <v>0</v>
      </c>
      <c r="J100" s="948" cm="1">
        <f t="array" ref="J100">IFERROR(_xlfn.XLOOKUP(TRUE,$L100:$BY100&lt;&gt;"",$L100:$BY100,,0,-1),"")</f>
        <v>300</v>
      </c>
      <c r="K100" s="946">
        <f t="shared" si="76"/>
        <v>46269</v>
      </c>
      <c r="P100" s="17"/>
      <c r="R100" s="181"/>
      <c r="S100" s="181"/>
      <c r="T100" s="18"/>
      <c r="W100" s="181"/>
      <c r="X100" s="181"/>
      <c r="Y100" s="247"/>
      <c r="Z100" s="137"/>
      <c r="AA100" s="12"/>
      <c r="AB100" s="137"/>
      <c r="AC100" s="989"/>
      <c r="AD100" s="643"/>
      <c r="AE100" s="643"/>
      <c r="AF100" s="985"/>
      <c r="AG100" s="643"/>
      <c r="AH100" s="643"/>
      <c r="AI100" s="643"/>
      <c r="AJ100" s="643"/>
      <c r="AK100" s="985"/>
      <c r="AL100" s="643"/>
      <c r="AM100" s="643"/>
      <c r="AN100" s="643"/>
      <c r="AO100" s="990"/>
      <c r="AP100" s="1005"/>
      <c r="AQ100" s="585"/>
      <c r="AR100" s="585"/>
      <c r="AS100" s="585"/>
      <c r="AT100" s="1004"/>
      <c r="AU100" s="1005"/>
      <c r="AV100" s="585"/>
      <c r="AW100" s="585"/>
      <c r="AX100" s="585"/>
      <c r="AY100" s="1005">
        <v>300</v>
      </c>
      <c r="AZ100" s="585"/>
      <c r="BA100" s="585"/>
      <c r="BB100" s="1004"/>
      <c r="BC100" s="585"/>
      <c r="BD100" s="585"/>
      <c r="BE100" s="585"/>
      <c r="BF100" s="585"/>
      <c r="BG100" s="1004"/>
      <c r="BH100" s="991"/>
      <c r="BI100" s="643"/>
      <c r="BJ100" s="643"/>
      <c r="BK100" s="990"/>
      <c r="BL100" s="991"/>
      <c r="BM100" s="643"/>
      <c r="BN100" s="643"/>
      <c r="BO100" s="643"/>
      <c r="BP100" s="990"/>
      <c r="BQ100" s="991"/>
      <c r="BR100" s="643"/>
      <c r="BS100" s="643"/>
      <c r="BT100" s="990"/>
      <c r="BU100" s="991"/>
      <c r="BV100" s="643"/>
      <c r="BW100" s="643"/>
      <c r="BX100" s="985"/>
      <c r="BZ100" s="650"/>
    </row>
    <row r="101" spans="1:78" ht="16" customHeight="1" x14ac:dyDescent="0.2">
      <c r="A101" s="833" t="s">
        <v>219</v>
      </c>
      <c r="B101" s="838" t="s">
        <v>4</v>
      </c>
      <c r="C101" s="833" t="s">
        <v>144</v>
      </c>
      <c r="D101" s="838">
        <v>3747</v>
      </c>
      <c r="E101" s="828" t="str">
        <f>IFERROR(VLOOKUP(A101,ContainerSchedule!$A:$E,5,0),"")</f>
        <v/>
      </c>
      <c r="F101" s="828">
        <v>46280</v>
      </c>
      <c r="G101" s="831">
        <v>46266</v>
      </c>
      <c r="H101" s="11">
        <f t="shared" si="77"/>
        <v>3747</v>
      </c>
      <c r="I101" s="944">
        <f t="shared" si="75"/>
        <v>0</v>
      </c>
      <c r="J101" s="948" cm="1">
        <f t="array" ref="J101">IFERROR(_xlfn.XLOOKUP(TRUE,$L101:$BY101&lt;&gt;"",$L101:$BY101,,0,-1),"")</f>
        <v>3747</v>
      </c>
      <c r="K101" s="946">
        <f t="shared" si="76"/>
        <v>46276</v>
      </c>
      <c r="P101" s="17"/>
      <c r="R101" s="181"/>
      <c r="S101" s="181"/>
      <c r="T101" s="18"/>
      <c r="W101" s="181"/>
      <c r="X101" s="181"/>
      <c r="Y101" s="247"/>
      <c r="Z101" s="137"/>
      <c r="AA101" s="12"/>
      <c r="AB101" s="137"/>
      <c r="AC101" s="989"/>
      <c r="AD101" s="643"/>
      <c r="AE101" s="643"/>
      <c r="AF101" s="985"/>
      <c r="AG101" s="643"/>
      <c r="AH101" s="643"/>
      <c r="AI101" s="643"/>
      <c r="AJ101" s="643"/>
      <c r="AK101" s="985"/>
      <c r="AL101" s="643"/>
      <c r="AM101" s="643"/>
      <c r="AN101" s="643"/>
      <c r="AO101" s="990"/>
      <c r="AP101" s="1005"/>
      <c r="AQ101" s="585"/>
      <c r="AR101" s="585"/>
      <c r="AS101" s="585"/>
      <c r="AT101" s="1004"/>
      <c r="AU101" s="1005"/>
      <c r="AV101" s="585"/>
      <c r="AW101" s="585"/>
      <c r="AX101" s="585"/>
      <c r="AY101" s="1005"/>
      <c r="AZ101" s="585">
        <v>3747</v>
      </c>
      <c r="BA101" s="966"/>
      <c r="BB101" s="1004"/>
      <c r="BC101" s="585"/>
      <c r="BD101" s="585"/>
      <c r="BE101" s="585"/>
      <c r="BF101" s="585"/>
      <c r="BG101" s="1004"/>
      <c r="BH101" s="991"/>
      <c r="BI101" s="643"/>
      <c r="BJ101" s="643"/>
      <c r="BK101" s="990"/>
      <c r="BL101" s="991"/>
      <c r="BM101" s="643"/>
      <c r="BN101" s="643"/>
      <c r="BO101" s="643"/>
      <c r="BP101" s="990"/>
      <c r="BQ101" s="991"/>
      <c r="BR101" s="643"/>
      <c r="BS101" s="643"/>
      <c r="BT101" s="990"/>
      <c r="BU101" s="991"/>
      <c r="BV101" s="643"/>
      <c r="BW101" s="643"/>
      <c r="BX101" s="985"/>
      <c r="BZ101" s="650"/>
    </row>
    <row r="102" spans="1:78" ht="21" customHeight="1" x14ac:dyDescent="0.2">
      <c r="A102" s="834" t="s">
        <v>219</v>
      </c>
      <c r="B102" s="838" t="s">
        <v>4</v>
      </c>
      <c r="C102" s="833" t="s">
        <v>177</v>
      </c>
      <c r="D102" s="838">
        <v>1286</v>
      </c>
      <c r="E102" s="828" t="str">
        <f>IFERROR(VLOOKUP(A102,ContainerSchedule!$A:$E,5,0),"")</f>
        <v/>
      </c>
      <c r="F102" s="828">
        <v>46280</v>
      </c>
      <c r="G102" s="831">
        <v>46266</v>
      </c>
      <c r="H102" s="11">
        <f t="shared" si="77"/>
        <v>1286</v>
      </c>
      <c r="I102" s="944">
        <f t="shared" ref="I102:I133" si="78">D102-H102</f>
        <v>0</v>
      </c>
      <c r="J102" s="948" cm="1">
        <f t="array" ref="J102">IFERROR(_xlfn.XLOOKUP(TRUE,$L102:$BY102&lt;&gt;"",$L102:$BY102,,0,-1),"")</f>
        <v>1286</v>
      </c>
      <c r="K102" s="946">
        <f t="shared" ref="K102:K133" si="79">IFERROR(INDEX($L$5:$BZ$5,MATCH($J102,$L102:$BZ102,0)),"")</f>
        <v>46283</v>
      </c>
      <c r="P102" s="17"/>
      <c r="R102" s="181"/>
      <c r="S102" s="181"/>
      <c r="T102" s="18"/>
      <c r="W102" s="181"/>
      <c r="X102" s="181"/>
      <c r="Y102" s="247"/>
      <c r="Z102" s="137"/>
      <c r="AA102" s="12"/>
      <c r="AB102" s="137"/>
      <c r="AC102" s="989"/>
      <c r="AD102" s="643"/>
      <c r="AE102" s="643"/>
      <c r="AF102" s="985"/>
      <c r="AG102" s="643"/>
      <c r="AH102" s="643"/>
      <c r="AI102" s="643"/>
      <c r="AJ102" s="643"/>
      <c r="AK102" s="985"/>
      <c r="AL102" s="643"/>
      <c r="AM102" s="643"/>
      <c r="AN102" s="643"/>
      <c r="AO102" s="990"/>
      <c r="AP102" s="1005"/>
      <c r="AQ102" s="585"/>
      <c r="AR102" s="585"/>
      <c r="AS102" s="585"/>
      <c r="AT102" s="1004"/>
      <c r="AU102" s="1005"/>
      <c r="AV102" s="585"/>
      <c r="AW102" s="585"/>
      <c r="AX102" s="585"/>
      <c r="AY102" s="1005"/>
      <c r="AZ102" s="585"/>
      <c r="BA102" s="966">
        <v>1286</v>
      </c>
      <c r="BB102" s="1004"/>
      <c r="BC102" s="585"/>
      <c r="BD102" s="585"/>
      <c r="BE102" s="585"/>
      <c r="BF102" s="585"/>
      <c r="BG102" s="1004"/>
      <c r="BH102" s="991"/>
      <c r="BI102" s="643"/>
      <c r="BJ102" s="643"/>
      <c r="BK102" s="990"/>
      <c r="BL102" s="991"/>
      <c r="BM102" s="643"/>
      <c r="BN102" s="643"/>
      <c r="BO102" s="643"/>
      <c r="BP102" s="990"/>
      <c r="BQ102" s="991"/>
      <c r="BR102" s="643"/>
      <c r="BS102" s="643"/>
      <c r="BT102" s="990"/>
      <c r="BU102" s="991"/>
      <c r="BV102" s="643"/>
      <c r="BW102" s="643"/>
      <c r="BX102" s="985"/>
      <c r="BZ102" s="650"/>
    </row>
    <row r="103" spans="1:78" ht="21" customHeight="1" x14ac:dyDescent="0.2">
      <c r="A103" s="834" t="s">
        <v>219</v>
      </c>
      <c r="B103" s="838" t="s">
        <v>4</v>
      </c>
      <c r="C103" s="833" t="s">
        <v>809</v>
      </c>
      <c r="D103" s="838">
        <v>600</v>
      </c>
      <c r="E103" s="828" t="str">
        <f>IFERROR(VLOOKUP(A103,ContainerSchedule!$A:$E,5,0),"")</f>
        <v/>
      </c>
      <c r="F103" s="828">
        <v>46280</v>
      </c>
      <c r="G103" s="831">
        <v>46266</v>
      </c>
      <c r="H103" s="11">
        <f t="shared" si="77"/>
        <v>600</v>
      </c>
      <c r="I103" s="944">
        <f t="shared" si="78"/>
        <v>0</v>
      </c>
      <c r="J103" s="948" cm="1">
        <f t="array" ref="J103">IFERROR(_xlfn.XLOOKUP(TRUE,$L103:$BY103&lt;&gt;"",$L103:$BY103,,0,-1),"")</f>
        <v>600</v>
      </c>
      <c r="K103" s="946">
        <f t="shared" si="79"/>
        <v>46283</v>
      </c>
      <c r="P103" s="17"/>
      <c r="R103" s="181"/>
      <c r="S103" s="181"/>
      <c r="T103" s="18"/>
      <c r="W103" s="181"/>
      <c r="X103" s="181"/>
      <c r="Y103" s="247"/>
      <c r="Z103" s="137"/>
      <c r="AA103" s="12"/>
      <c r="AB103" s="137"/>
      <c r="AC103" s="989"/>
      <c r="AD103" s="643"/>
      <c r="AE103" s="643"/>
      <c r="AF103" s="985"/>
      <c r="AG103" s="643"/>
      <c r="AH103" s="643"/>
      <c r="AI103" s="643"/>
      <c r="AJ103" s="643"/>
      <c r="AK103" s="985"/>
      <c r="AL103" s="643"/>
      <c r="AM103" s="643"/>
      <c r="AN103" s="643"/>
      <c r="AO103" s="990"/>
      <c r="AP103" s="1005"/>
      <c r="AQ103" s="585"/>
      <c r="AR103" s="585"/>
      <c r="AS103" s="585"/>
      <c r="AT103" s="1004"/>
      <c r="AU103" s="1005"/>
      <c r="AV103" s="585"/>
      <c r="AW103" s="585"/>
      <c r="AX103" s="585"/>
      <c r="AY103" s="1005"/>
      <c r="AZ103" s="585"/>
      <c r="BA103" s="966">
        <v>600</v>
      </c>
      <c r="BB103" s="1004"/>
      <c r="BC103" s="585"/>
      <c r="BD103" s="585"/>
      <c r="BE103" s="585"/>
      <c r="BF103" s="585"/>
      <c r="BG103" s="1004"/>
      <c r="BH103" s="991"/>
      <c r="BI103" s="643"/>
      <c r="BJ103" s="643"/>
      <c r="BK103" s="990"/>
      <c r="BL103" s="991"/>
      <c r="BM103" s="643"/>
      <c r="BN103" s="643"/>
      <c r="BO103" s="643"/>
      <c r="BP103" s="990"/>
      <c r="BQ103" s="991"/>
      <c r="BR103" s="643"/>
      <c r="BS103" s="643"/>
      <c r="BT103" s="990"/>
      <c r="BU103" s="991"/>
      <c r="BV103" s="643"/>
      <c r="BW103" s="643"/>
      <c r="BX103" s="985"/>
      <c r="BZ103" s="650"/>
    </row>
    <row r="104" spans="1:78" ht="21" customHeight="1" x14ac:dyDescent="0.2">
      <c r="A104" s="834" t="s">
        <v>219</v>
      </c>
      <c r="B104" s="838" t="s">
        <v>4</v>
      </c>
      <c r="C104" s="833" t="s">
        <v>281</v>
      </c>
      <c r="D104" s="838">
        <v>600</v>
      </c>
      <c r="E104" s="828" t="str">
        <f>IFERROR(VLOOKUP(A104,ContainerSchedule!$A:$E,5,0),"")</f>
        <v/>
      </c>
      <c r="F104" s="828">
        <v>46280</v>
      </c>
      <c r="G104" s="831">
        <v>46266</v>
      </c>
      <c r="H104" s="11">
        <f t="shared" si="77"/>
        <v>600</v>
      </c>
      <c r="I104" s="944">
        <f t="shared" si="78"/>
        <v>0</v>
      </c>
      <c r="J104" s="948" cm="1">
        <f t="array" ref="J104">IFERROR(_xlfn.XLOOKUP(TRUE,$L104:$BY104&lt;&gt;"",$L104:$BY104,,0,-1),"")</f>
        <v>600</v>
      </c>
      <c r="K104" s="946">
        <f t="shared" si="79"/>
        <v>46283</v>
      </c>
      <c r="P104" s="17"/>
      <c r="R104" s="181"/>
      <c r="S104" s="181"/>
      <c r="T104" s="18"/>
      <c r="W104" s="181"/>
      <c r="X104" s="181"/>
      <c r="Y104" s="247"/>
      <c r="Z104" s="137"/>
      <c r="AA104" s="12"/>
      <c r="AB104" s="137"/>
      <c r="AC104" s="989"/>
      <c r="AD104" s="643"/>
      <c r="AE104" s="643"/>
      <c r="AF104" s="985"/>
      <c r="AG104" s="643"/>
      <c r="AH104" s="643"/>
      <c r="AI104" s="643"/>
      <c r="AJ104" s="643"/>
      <c r="AK104" s="985"/>
      <c r="AL104" s="643"/>
      <c r="AM104" s="643"/>
      <c r="AN104" s="643"/>
      <c r="AO104" s="990"/>
      <c r="AP104" s="1005"/>
      <c r="AQ104" s="585"/>
      <c r="AR104" s="585"/>
      <c r="AS104" s="585"/>
      <c r="AT104" s="1004"/>
      <c r="AU104" s="1005"/>
      <c r="AV104" s="585"/>
      <c r="AW104" s="585"/>
      <c r="AX104" s="585"/>
      <c r="AY104" s="1005"/>
      <c r="AZ104" s="585"/>
      <c r="BA104" s="966">
        <v>600</v>
      </c>
      <c r="BB104" s="1004"/>
      <c r="BC104" s="585"/>
      <c r="BD104" s="585"/>
      <c r="BE104" s="585"/>
      <c r="BF104" s="585"/>
      <c r="BG104" s="1004"/>
      <c r="BH104" s="991"/>
      <c r="BI104" s="643"/>
      <c r="BJ104" s="643"/>
      <c r="BK104" s="990"/>
      <c r="BL104" s="991"/>
      <c r="BM104" s="643"/>
      <c r="BN104" s="643"/>
      <c r="BO104" s="643"/>
      <c r="BP104" s="990"/>
      <c r="BQ104" s="991"/>
      <c r="BR104" s="643"/>
      <c r="BS104" s="643"/>
      <c r="BT104" s="990"/>
      <c r="BU104" s="991"/>
      <c r="BV104" s="643"/>
      <c r="BW104" s="643"/>
      <c r="BX104" s="985"/>
      <c r="BZ104" s="650"/>
    </row>
    <row r="105" spans="1:78" ht="21" customHeight="1" x14ac:dyDescent="0.2">
      <c r="A105" s="845" t="s">
        <v>369</v>
      </c>
      <c r="B105" s="632" t="s">
        <v>29</v>
      </c>
      <c r="C105" s="649" t="s">
        <v>311</v>
      </c>
      <c r="D105" s="632">
        <v>792</v>
      </c>
      <c r="E105" s="828">
        <f>IFERROR(VLOOKUP(A105,ContainerSchedule!$A:$E,5,0),"")</f>
        <v>46234</v>
      </c>
      <c r="F105" s="828">
        <f>VLOOKUP(A105,ContainerSchedule!$A$1:$F$91,6,0)</f>
        <v>46272</v>
      </c>
      <c r="G105" s="828"/>
      <c r="H105" s="11">
        <f t="shared" si="77"/>
        <v>792</v>
      </c>
      <c r="I105" s="944">
        <f t="shared" si="78"/>
        <v>0</v>
      </c>
      <c r="J105" s="948" cm="1">
        <f t="array" ref="J105">IFERROR(_xlfn.XLOOKUP(TRUE,$L105:$BY105&lt;&gt;"",$L105:$BY105,,0,-1),"")</f>
        <v>392</v>
      </c>
      <c r="K105" s="946">
        <f t="shared" si="79"/>
        <v>46283</v>
      </c>
      <c r="P105" s="17"/>
      <c r="R105" s="181"/>
      <c r="S105" s="181"/>
      <c r="T105" s="18"/>
      <c r="W105" s="181"/>
      <c r="X105" s="181"/>
      <c r="Y105" s="247"/>
      <c r="Z105" s="137"/>
      <c r="AA105" s="12"/>
      <c r="AB105" s="137"/>
      <c r="AC105" s="989"/>
      <c r="AD105" s="643"/>
      <c r="AE105" s="643"/>
      <c r="AF105" s="985"/>
      <c r="AG105" s="643"/>
      <c r="AH105" s="643"/>
      <c r="AI105" s="643"/>
      <c r="AJ105" s="643"/>
      <c r="AK105" s="985"/>
      <c r="AL105" s="643"/>
      <c r="AM105" s="643"/>
      <c r="AN105" s="643"/>
      <c r="AO105" s="990"/>
      <c r="AP105" s="1005"/>
      <c r="AQ105" s="585"/>
      <c r="AR105" s="585"/>
      <c r="AS105" s="585"/>
      <c r="AT105" s="1004"/>
      <c r="AU105" s="1005"/>
      <c r="AV105" s="585"/>
      <c r="AW105" s="585"/>
      <c r="AX105" s="585"/>
      <c r="AY105" s="1005"/>
      <c r="AZ105" s="966">
        <v>400</v>
      </c>
      <c r="BA105" s="585">
        <v>392</v>
      </c>
      <c r="BB105" s="1004"/>
      <c r="BC105" s="585"/>
      <c r="BD105" s="585"/>
      <c r="BE105" s="585"/>
      <c r="BF105" s="585"/>
      <c r="BG105" s="1004"/>
      <c r="BH105" s="991"/>
      <c r="BI105" s="643"/>
      <c r="BJ105" s="643"/>
      <c r="BK105" s="990"/>
      <c r="BL105" s="991"/>
      <c r="BM105" s="643"/>
      <c r="BN105" s="643"/>
      <c r="BO105" s="643"/>
      <c r="BP105" s="990"/>
      <c r="BQ105" s="991"/>
      <c r="BR105" s="643"/>
      <c r="BS105" s="643"/>
      <c r="BT105" s="990"/>
      <c r="BU105" s="991"/>
      <c r="BV105" s="643"/>
      <c r="BW105" s="643"/>
      <c r="BX105" s="985"/>
      <c r="BZ105" s="650"/>
    </row>
    <row r="106" spans="1:78" ht="21" customHeight="1" x14ac:dyDescent="0.2">
      <c r="A106" s="841" t="s">
        <v>368</v>
      </c>
      <c r="B106" s="632" t="s">
        <v>15</v>
      </c>
      <c r="C106" s="649" t="s">
        <v>820</v>
      </c>
      <c r="D106" s="632">
        <v>1110</v>
      </c>
      <c r="E106" s="828">
        <f>IFERROR(VLOOKUP(A106,ContainerSchedule!$A:$E,5,0),"")</f>
        <v>46234</v>
      </c>
      <c r="F106" s="828">
        <f>VLOOKUP(A106,ContainerSchedule!$A$1:$F$91,6,0)</f>
        <v>46272</v>
      </c>
      <c r="G106" s="828">
        <v>46266</v>
      </c>
      <c r="H106" s="11">
        <f t="shared" si="77"/>
        <v>1110</v>
      </c>
      <c r="I106" s="837">
        <f t="shared" si="78"/>
        <v>0</v>
      </c>
      <c r="J106" s="948" cm="1">
        <f t="array" ref="J106">IFERROR(_xlfn.XLOOKUP(TRUE,$L106:$BY106&lt;&gt;"",$L106:$BY106,,0,-1),"")</f>
        <v>710</v>
      </c>
      <c r="K106" s="946">
        <f t="shared" si="79"/>
        <v>46283</v>
      </c>
      <c r="P106" s="17"/>
      <c r="R106" s="181"/>
      <c r="S106" s="181"/>
      <c r="T106" s="18"/>
      <c r="W106" s="181"/>
      <c r="X106" s="181"/>
      <c r="Y106" s="247"/>
      <c r="Z106" s="137"/>
      <c r="AA106" s="12"/>
      <c r="AB106" s="137"/>
      <c r="AC106" s="989"/>
      <c r="AD106" s="643"/>
      <c r="AE106" s="643"/>
      <c r="AF106" s="985"/>
      <c r="AG106" s="643"/>
      <c r="AH106" s="643"/>
      <c r="AI106" s="643"/>
      <c r="AJ106" s="643"/>
      <c r="AK106" s="985"/>
      <c r="AL106" s="643"/>
      <c r="AM106" s="643"/>
      <c r="AN106" s="643"/>
      <c r="AO106" s="990"/>
      <c r="AP106" s="1005"/>
      <c r="AQ106" s="585"/>
      <c r="AR106" s="585"/>
      <c r="AS106" s="585"/>
      <c r="AT106" s="1004"/>
      <c r="AU106" s="1005"/>
      <c r="AV106" s="585"/>
      <c r="AW106" s="585"/>
      <c r="AX106" s="585"/>
      <c r="AY106" s="1005"/>
      <c r="AZ106" s="966">
        <v>400</v>
      </c>
      <c r="BA106" s="585">
        <v>710</v>
      </c>
      <c r="BB106" s="1004"/>
      <c r="BC106" s="585"/>
      <c r="BD106" s="585"/>
      <c r="BE106" s="585"/>
      <c r="BF106" s="585"/>
      <c r="BG106" s="1004"/>
      <c r="BH106" s="991"/>
      <c r="BI106" s="643"/>
      <c r="BJ106" s="643"/>
      <c r="BK106" s="990"/>
      <c r="BL106" s="991"/>
      <c r="BM106" s="643"/>
      <c r="BN106" s="643"/>
      <c r="BO106" s="643"/>
      <c r="BP106" s="990"/>
      <c r="BQ106" s="991"/>
      <c r="BR106" s="643"/>
      <c r="BS106" s="643"/>
      <c r="BT106" s="990"/>
      <c r="BU106" s="991"/>
      <c r="BV106" s="643"/>
      <c r="BW106" s="643"/>
      <c r="BX106" s="985"/>
      <c r="BZ106" s="650"/>
    </row>
    <row r="107" spans="1:78" ht="21" customHeight="1" x14ac:dyDescent="0.2">
      <c r="A107" s="983" t="s">
        <v>386</v>
      </c>
      <c r="B107" s="632" t="s">
        <v>60</v>
      </c>
      <c r="C107" s="649" t="s">
        <v>302</v>
      </c>
      <c r="D107" s="632">
        <v>600</v>
      </c>
      <c r="E107" s="828" t="str">
        <f>IFERROR(VLOOKUP(A107,ContainerSchedule!$A:$E,5,0),"")</f>
        <v/>
      </c>
      <c r="F107" s="828" t="e">
        <f>VLOOKUP(A107,ContainerSchedule!$A$1:$F$91,6,0)</f>
        <v>#N/A</v>
      </c>
      <c r="G107" s="828">
        <v>47665</v>
      </c>
      <c r="H107" s="11">
        <f t="shared" si="77"/>
        <v>600</v>
      </c>
      <c r="I107" s="837">
        <f t="shared" si="78"/>
        <v>0</v>
      </c>
      <c r="J107" s="948" cm="1">
        <f t="array" ref="J107">IFERROR(_xlfn.XLOOKUP(TRUE,$L107:$BY107&lt;&gt;"",$L107:$BY107,,0,-1),"")</f>
        <v>500</v>
      </c>
      <c r="K107" s="946">
        <f t="shared" si="79"/>
        <v>46290</v>
      </c>
      <c r="P107" s="17"/>
      <c r="R107" s="181"/>
      <c r="S107" s="181"/>
      <c r="T107" s="18"/>
      <c r="W107" s="181"/>
      <c r="X107" s="181"/>
      <c r="Y107" s="247"/>
      <c r="Z107" s="137"/>
      <c r="AA107" s="12"/>
      <c r="AB107" s="137"/>
      <c r="AC107" s="989"/>
      <c r="AD107" s="643"/>
      <c r="AE107" s="643"/>
      <c r="AF107" s="985"/>
      <c r="AG107" s="643"/>
      <c r="AH107" s="643"/>
      <c r="AI107" s="643"/>
      <c r="AJ107" s="643"/>
      <c r="AK107" s="985"/>
      <c r="AL107" s="643"/>
      <c r="AM107" s="643"/>
      <c r="AN107" s="643"/>
      <c r="AO107" s="990"/>
      <c r="AP107" s="1005"/>
      <c r="AQ107" s="585"/>
      <c r="AR107" s="585"/>
      <c r="AS107" s="585"/>
      <c r="AT107" s="1004"/>
      <c r="AU107" s="1005"/>
      <c r="AV107" s="585"/>
      <c r="AW107" s="585"/>
      <c r="AX107" s="585"/>
      <c r="AY107" s="1005">
        <v>100</v>
      </c>
      <c r="AZ107" s="585"/>
      <c r="BA107" s="585"/>
      <c r="BB107" s="1004">
        <v>500</v>
      </c>
      <c r="BC107" s="585"/>
      <c r="BD107" s="585"/>
      <c r="BE107" s="585"/>
      <c r="BF107" s="585"/>
      <c r="BG107" s="1004"/>
      <c r="BH107" s="991"/>
      <c r="BI107" s="643"/>
      <c r="BJ107" s="643"/>
      <c r="BK107" s="990"/>
      <c r="BL107" s="991"/>
      <c r="BM107" s="643"/>
      <c r="BN107" s="643"/>
      <c r="BO107" s="643"/>
      <c r="BP107" s="990"/>
      <c r="BQ107" s="991"/>
      <c r="BR107" s="643"/>
      <c r="BS107" s="643"/>
      <c r="BT107" s="990"/>
      <c r="BU107" s="991"/>
      <c r="BV107" s="643"/>
      <c r="BW107" s="643"/>
      <c r="BX107" s="985"/>
      <c r="BZ107" s="650"/>
    </row>
    <row r="108" spans="1:78" ht="21" customHeight="1" x14ac:dyDescent="0.2">
      <c r="A108" s="834" t="s">
        <v>219</v>
      </c>
      <c r="B108" s="838" t="s">
        <v>4</v>
      </c>
      <c r="C108" s="833" t="s">
        <v>807</v>
      </c>
      <c r="D108" s="838">
        <v>600</v>
      </c>
      <c r="E108" s="828" t="str">
        <f>IFERROR(VLOOKUP(A108,ContainerSchedule!$A:$E,5,0),"")</f>
        <v/>
      </c>
      <c r="F108" s="828">
        <v>46280</v>
      </c>
      <c r="G108" s="831">
        <v>46266</v>
      </c>
      <c r="H108" s="11">
        <f t="shared" si="77"/>
        <v>600</v>
      </c>
      <c r="I108" s="944">
        <f t="shared" si="78"/>
        <v>0</v>
      </c>
      <c r="J108" s="948" cm="1">
        <f t="array" ref="J108">IFERROR(_xlfn.XLOOKUP(TRUE,$L108:$BY108&lt;&gt;"",$L108:$BY108,,0,-1),"")</f>
        <v>240</v>
      </c>
      <c r="K108" s="946">
        <f t="shared" si="79"/>
        <v>46290</v>
      </c>
      <c r="P108" s="17"/>
      <c r="R108" s="181"/>
      <c r="S108" s="181"/>
      <c r="T108" s="18"/>
      <c r="W108" s="181"/>
      <c r="X108" s="181"/>
      <c r="Y108" s="247"/>
      <c r="Z108" s="137"/>
      <c r="AA108" s="12"/>
      <c r="AB108" s="137"/>
      <c r="AC108" s="989"/>
      <c r="AD108" s="643"/>
      <c r="AE108" s="643"/>
      <c r="AF108" s="985"/>
      <c r="AG108" s="643"/>
      <c r="AH108" s="643"/>
      <c r="AI108" s="643"/>
      <c r="AJ108" s="643"/>
      <c r="AK108" s="985"/>
      <c r="AL108" s="643"/>
      <c r="AM108" s="643"/>
      <c r="AN108" s="643"/>
      <c r="AO108" s="990"/>
      <c r="AP108" s="1005"/>
      <c r="AQ108" s="585"/>
      <c r="AR108" s="585"/>
      <c r="AS108" s="585"/>
      <c r="AT108" s="1004"/>
      <c r="AU108" s="1005"/>
      <c r="AV108" s="585"/>
      <c r="AW108" s="585"/>
      <c r="AX108" s="585"/>
      <c r="AY108" s="1005"/>
      <c r="AZ108" s="585"/>
      <c r="BA108" s="966">
        <v>360</v>
      </c>
      <c r="BB108" s="1004">
        <v>240</v>
      </c>
      <c r="BC108" s="585"/>
      <c r="BD108" s="585"/>
      <c r="BE108" s="585"/>
      <c r="BF108" s="585"/>
      <c r="BG108" s="1004"/>
      <c r="BH108" s="991"/>
      <c r="BI108" s="643"/>
      <c r="BJ108" s="643"/>
      <c r="BK108" s="990"/>
      <c r="BL108" s="991"/>
      <c r="BM108" s="643"/>
      <c r="BN108" s="643"/>
      <c r="BO108" s="643"/>
      <c r="BP108" s="990"/>
      <c r="BQ108" s="991"/>
      <c r="BR108" s="643"/>
      <c r="BS108" s="643"/>
      <c r="BT108" s="990"/>
      <c r="BU108" s="991"/>
      <c r="BV108" s="643"/>
      <c r="BW108" s="643"/>
      <c r="BX108" s="985"/>
      <c r="BZ108" s="650"/>
    </row>
    <row r="109" spans="1:78" ht="21" customHeight="1" x14ac:dyDescent="0.2">
      <c r="A109" s="834" t="s">
        <v>219</v>
      </c>
      <c r="B109" s="838" t="s">
        <v>4</v>
      </c>
      <c r="C109" s="833" t="s">
        <v>278</v>
      </c>
      <c r="D109" s="838">
        <v>997</v>
      </c>
      <c r="E109" s="828" t="str">
        <f>IFERROR(VLOOKUP(A109,ContainerSchedule!$A:$E,5,0),"")</f>
        <v/>
      </c>
      <c r="F109" s="828">
        <v>46280</v>
      </c>
      <c r="G109" s="831">
        <v>46266</v>
      </c>
      <c r="H109" s="11">
        <f t="shared" si="77"/>
        <v>997</v>
      </c>
      <c r="I109" s="944">
        <f t="shared" si="78"/>
        <v>0</v>
      </c>
      <c r="J109" s="948" cm="1">
        <f t="array" ref="J109">IFERROR(_xlfn.XLOOKUP(TRUE,$L109:$BY109&lt;&gt;"",$L109:$BY109,,0,-1),"")</f>
        <v>997</v>
      </c>
      <c r="K109" s="946">
        <f t="shared" si="79"/>
        <v>46290</v>
      </c>
      <c r="P109" s="17"/>
      <c r="R109" s="181"/>
      <c r="S109" s="181"/>
      <c r="T109" s="18"/>
      <c r="W109" s="181"/>
      <c r="X109" s="181"/>
      <c r="Y109" s="247"/>
      <c r="Z109" s="137"/>
      <c r="AA109" s="12"/>
      <c r="AB109" s="137"/>
      <c r="AC109" s="989"/>
      <c r="AD109" s="643"/>
      <c r="AE109" s="643"/>
      <c r="AF109" s="985"/>
      <c r="AG109" s="643"/>
      <c r="AH109" s="643"/>
      <c r="AI109" s="643"/>
      <c r="AJ109" s="643"/>
      <c r="AK109" s="985"/>
      <c r="AL109" s="643"/>
      <c r="AM109" s="643"/>
      <c r="AN109" s="643"/>
      <c r="AO109" s="990"/>
      <c r="AP109" s="1005"/>
      <c r="AQ109" s="585"/>
      <c r="AR109" s="585"/>
      <c r="AS109" s="585"/>
      <c r="AT109" s="1004"/>
      <c r="AU109" s="1005"/>
      <c r="AV109" s="585"/>
      <c r="AW109" s="585"/>
      <c r="AX109" s="585"/>
      <c r="AY109" s="1005"/>
      <c r="AZ109" s="585"/>
      <c r="BA109" s="966"/>
      <c r="BB109" s="1004">
        <v>997</v>
      </c>
      <c r="BC109" s="585"/>
      <c r="BD109" s="585"/>
      <c r="BE109" s="585"/>
      <c r="BF109" s="585"/>
      <c r="BG109" s="1004"/>
      <c r="BH109" s="991"/>
      <c r="BI109" s="643"/>
      <c r="BJ109" s="643"/>
      <c r="BK109" s="990"/>
      <c r="BL109" s="991"/>
      <c r="BM109" s="643"/>
      <c r="BN109" s="643"/>
      <c r="BO109" s="643"/>
      <c r="BP109" s="990"/>
      <c r="BQ109" s="991"/>
      <c r="BR109" s="643"/>
      <c r="BS109" s="643"/>
      <c r="BT109" s="990"/>
      <c r="BU109" s="991"/>
      <c r="BV109" s="643"/>
      <c r="BW109" s="643"/>
      <c r="BX109" s="985"/>
      <c r="BZ109" s="650"/>
    </row>
    <row r="110" spans="1:78" ht="21" customHeight="1" x14ac:dyDescent="0.2">
      <c r="A110" s="1012" t="s">
        <v>207</v>
      </c>
      <c r="B110" s="838" t="s">
        <v>8</v>
      </c>
      <c r="C110" s="833" t="s">
        <v>385</v>
      </c>
      <c r="D110" s="838">
        <v>1000</v>
      </c>
      <c r="E110" s="828" t="str">
        <f>IFERROR(VLOOKUP(A110,ContainerSchedule!$A:$E,5,0),"")</f>
        <v/>
      </c>
      <c r="F110" s="828">
        <v>47757</v>
      </c>
      <c r="G110" s="829"/>
      <c r="H110" s="11">
        <f t="shared" si="77"/>
        <v>1000</v>
      </c>
      <c r="I110" s="944">
        <f t="shared" si="78"/>
        <v>0</v>
      </c>
      <c r="J110" s="948" cm="1">
        <f t="array" ref="J110">IFERROR(_xlfn.XLOOKUP(TRUE,$L110:$BY110&lt;&gt;"",$L110:$BY110,,0,-1),"")</f>
        <v>1000</v>
      </c>
      <c r="K110" s="946">
        <f t="shared" si="79"/>
        <v>46290</v>
      </c>
      <c r="P110" s="17"/>
      <c r="R110" s="181"/>
      <c r="S110" s="181"/>
      <c r="T110" s="18"/>
      <c r="W110" s="181"/>
      <c r="X110" s="181"/>
      <c r="Y110" s="247"/>
      <c r="Z110" s="137"/>
      <c r="AA110" s="12"/>
      <c r="AB110" s="137"/>
      <c r="AC110" s="989"/>
      <c r="AD110" s="643"/>
      <c r="AE110" s="643"/>
      <c r="AF110" s="985"/>
      <c r="AG110" s="643"/>
      <c r="AH110" s="643"/>
      <c r="AI110" s="643"/>
      <c r="AJ110" s="643"/>
      <c r="AK110" s="985"/>
      <c r="AL110" s="643"/>
      <c r="AM110" s="643"/>
      <c r="AN110" s="643"/>
      <c r="AO110" s="990"/>
      <c r="AP110" s="1005"/>
      <c r="AQ110" s="585"/>
      <c r="AR110" s="585"/>
      <c r="AS110" s="585"/>
      <c r="AT110" s="1004"/>
      <c r="AU110" s="1005"/>
      <c r="AV110" s="585"/>
      <c r="AW110" s="585"/>
      <c r="AX110" s="585"/>
      <c r="AY110" s="1005"/>
      <c r="AZ110" s="585"/>
      <c r="BA110" s="585"/>
      <c r="BB110" s="1004">
        <v>1000</v>
      </c>
      <c r="BC110" s="585"/>
      <c r="BD110" s="585"/>
      <c r="BE110" s="585"/>
      <c r="BF110" s="585"/>
      <c r="BG110" s="1004"/>
      <c r="BH110" s="991"/>
      <c r="BI110" s="643"/>
      <c r="BJ110" s="643"/>
      <c r="BK110" s="990"/>
      <c r="BL110" s="991"/>
      <c r="BM110" s="643"/>
      <c r="BN110" s="643"/>
      <c r="BO110" s="643"/>
      <c r="BP110" s="990"/>
      <c r="BQ110" s="991"/>
      <c r="BR110" s="643"/>
      <c r="BS110" s="643"/>
      <c r="BT110" s="990"/>
      <c r="BU110" s="991"/>
      <c r="BV110" s="643"/>
      <c r="BW110" s="643"/>
      <c r="BX110" s="985"/>
      <c r="BZ110" s="650"/>
    </row>
    <row r="111" spans="1:78" ht="21" customHeight="1" x14ac:dyDescent="0.2">
      <c r="A111" s="983" t="s">
        <v>389</v>
      </c>
      <c r="B111" s="632" t="s">
        <v>60</v>
      </c>
      <c r="C111" s="649" t="s">
        <v>390</v>
      </c>
      <c r="D111" s="632">
        <v>800</v>
      </c>
      <c r="E111" s="828" t="str">
        <f>IFERROR(VLOOKUP(A111,ContainerSchedule!$A:$E,5,0),"")</f>
        <v/>
      </c>
      <c r="F111" s="828">
        <v>46296</v>
      </c>
      <c r="G111" s="831"/>
      <c r="H111" s="11">
        <f t="shared" si="77"/>
        <v>800</v>
      </c>
      <c r="I111" s="837">
        <f t="shared" si="78"/>
        <v>0</v>
      </c>
      <c r="J111" s="948" cm="1">
        <f t="array" ref="J111">IFERROR(_xlfn.XLOOKUP(TRUE,$L111:$BY111&lt;&gt;"",$L111:$BY111,,0,-1),"")</f>
        <v>400</v>
      </c>
      <c r="K111" s="946">
        <f t="shared" si="79"/>
        <v>46290</v>
      </c>
      <c r="P111" s="17"/>
      <c r="R111" s="181"/>
      <c r="S111" s="181"/>
      <c r="T111" s="18"/>
      <c r="W111" s="181"/>
      <c r="X111" s="181"/>
      <c r="Y111" s="247"/>
      <c r="Z111" s="137"/>
      <c r="AA111" s="12"/>
      <c r="AB111" s="137"/>
      <c r="AC111" s="989"/>
      <c r="AD111" s="643"/>
      <c r="AE111" s="643"/>
      <c r="AF111" s="985"/>
      <c r="AG111" s="643"/>
      <c r="AH111" s="643"/>
      <c r="AI111" s="643"/>
      <c r="AJ111" s="643"/>
      <c r="AK111" s="985"/>
      <c r="AL111" s="643"/>
      <c r="AM111" s="643"/>
      <c r="AN111" s="643"/>
      <c r="AO111" s="990"/>
      <c r="AP111" s="1005"/>
      <c r="AQ111" s="585"/>
      <c r="AR111" s="585"/>
      <c r="AS111" s="585"/>
      <c r="AT111" s="1004"/>
      <c r="AU111" s="1005"/>
      <c r="AV111" s="585"/>
      <c r="AW111" s="585"/>
      <c r="AX111" s="585"/>
      <c r="AY111" s="1005"/>
      <c r="AZ111" s="585"/>
      <c r="BA111" s="585"/>
      <c r="BB111" s="1004">
        <v>400</v>
      </c>
      <c r="BC111" s="966"/>
      <c r="BD111" s="585"/>
      <c r="BE111" s="585"/>
      <c r="BF111" s="585"/>
      <c r="BG111" s="1004"/>
      <c r="BH111" s="991"/>
      <c r="BI111" s="643"/>
      <c r="BJ111" s="643"/>
      <c r="BK111" s="990"/>
      <c r="BL111" s="991"/>
      <c r="BM111" s="643"/>
      <c r="BN111" s="643"/>
      <c r="BO111" s="643">
        <v>400</v>
      </c>
      <c r="BP111" s="990"/>
      <c r="BQ111" s="991"/>
      <c r="BR111" s="643"/>
      <c r="BS111" s="643"/>
      <c r="BT111" s="990"/>
      <c r="BU111" s="991"/>
      <c r="BV111" s="643"/>
      <c r="BW111" s="643"/>
      <c r="BX111" s="985"/>
      <c r="BZ111" s="650"/>
    </row>
    <row r="112" spans="1:78" ht="21" customHeight="1" x14ac:dyDescent="0.2">
      <c r="A112" s="845" t="s">
        <v>370</v>
      </c>
      <c r="B112" s="632" t="s">
        <v>201</v>
      </c>
      <c r="C112" s="649" t="s">
        <v>830</v>
      </c>
      <c r="D112" s="632">
        <v>600</v>
      </c>
      <c r="E112" s="828">
        <f>IFERROR(VLOOKUP(A112,ContainerSchedule!$A:$E,5,0),"")</f>
        <v>46254</v>
      </c>
      <c r="F112" s="828">
        <f>VLOOKUP(A112,ContainerSchedule!$A$1:$F$91,6,0)</f>
        <v>46292</v>
      </c>
      <c r="G112" s="832">
        <v>46169</v>
      </c>
      <c r="H112" s="11">
        <f t="shared" si="77"/>
        <v>600</v>
      </c>
      <c r="I112" s="837">
        <f t="shared" si="78"/>
        <v>0</v>
      </c>
      <c r="J112" s="948" cm="1">
        <f t="array" ref="J112">IFERROR(_xlfn.XLOOKUP(TRUE,$L112:$BY112&lt;&gt;"",$L112:$BY112,,0,-1),"")</f>
        <v>600</v>
      </c>
      <c r="K112" s="946">
        <f t="shared" si="79"/>
        <v>46297</v>
      </c>
      <c r="P112" s="17"/>
      <c r="R112" s="181"/>
      <c r="S112" s="181"/>
      <c r="T112" s="18"/>
      <c r="W112" s="181"/>
      <c r="X112" s="181"/>
      <c r="Y112" s="247"/>
      <c r="Z112" s="137"/>
      <c r="AA112" s="12"/>
      <c r="AB112" s="137"/>
      <c r="AC112" s="989"/>
      <c r="AD112" s="643"/>
      <c r="AE112" s="643"/>
      <c r="AF112" s="985"/>
      <c r="AG112" s="643"/>
      <c r="AH112" s="643"/>
      <c r="AI112" s="643"/>
      <c r="AJ112" s="643"/>
      <c r="AK112" s="985"/>
      <c r="AL112" s="643"/>
      <c r="AM112" s="643"/>
      <c r="AN112" s="643"/>
      <c r="AO112" s="990"/>
      <c r="AP112" s="1005"/>
      <c r="AQ112" s="585"/>
      <c r="AR112" s="585"/>
      <c r="AS112" s="585"/>
      <c r="AT112" s="1004"/>
      <c r="AU112" s="1005"/>
      <c r="AV112" s="585"/>
      <c r="AW112" s="585"/>
      <c r="AX112" s="585"/>
      <c r="AY112" s="1005"/>
      <c r="AZ112" s="585"/>
      <c r="BA112" s="585"/>
      <c r="BB112" s="1004"/>
      <c r="BC112" s="966">
        <v>600</v>
      </c>
      <c r="BD112" s="585"/>
      <c r="BE112" s="585"/>
      <c r="BF112" s="585"/>
      <c r="BG112" s="1004"/>
      <c r="BH112" s="991"/>
      <c r="BI112" s="643"/>
      <c r="BJ112" s="643"/>
      <c r="BK112" s="990"/>
      <c r="BL112" s="991"/>
      <c r="BM112" s="643"/>
      <c r="BN112" s="643"/>
      <c r="BO112" s="643"/>
      <c r="BP112" s="990"/>
      <c r="BQ112" s="991"/>
      <c r="BR112" s="643"/>
      <c r="BS112" s="643"/>
      <c r="BT112" s="990"/>
      <c r="BU112" s="991"/>
      <c r="BV112" s="643"/>
      <c r="BW112" s="643"/>
      <c r="BX112" s="985"/>
      <c r="BZ112" s="650"/>
    </row>
    <row r="113" spans="1:78" ht="21" customHeight="1" x14ac:dyDescent="0.2">
      <c r="A113" s="834" t="s">
        <v>225</v>
      </c>
      <c r="B113" s="838" t="s">
        <v>4</v>
      </c>
      <c r="C113" s="833" t="s">
        <v>144</v>
      </c>
      <c r="D113" s="838">
        <v>4170</v>
      </c>
      <c r="E113" s="828" t="str">
        <f>IFERROR(VLOOKUP(A113,ContainerSchedule!$A:$E,5,0),"")</f>
        <v/>
      </c>
      <c r="F113" s="828">
        <v>46310</v>
      </c>
      <c r="G113" s="831">
        <v>46296</v>
      </c>
      <c r="H113" s="11">
        <f t="shared" si="77"/>
        <v>4170</v>
      </c>
      <c r="I113" s="944">
        <f t="shared" si="78"/>
        <v>0</v>
      </c>
      <c r="J113" s="948" cm="1">
        <f t="array" ref="J113">IFERROR(_xlfn.XLOOKUP(TRUE,$L113:$BY113&lt;&gt;"",$L113:$BY113,,0,-1),"")</f>
        <v>670</v>
      </c>
      <c r="K113" s="946">
        <f t="shared" si="79"/>
        <v>46304</v>
      </c>
      <c r="P113" s="17"/>
      <c r="R113" s="181"/>
      <c r="S113" s="181"/>
      <c r="T113" s="18"/>
      <c r="W113" s="181"/>
      <c r="X113" s="181"/>
      <c r="Y113" s="247"/>
      <c r="Z113" s="137"/>
      <c r="AA113" s="12"/>
      <c r="AB113" s="137"/>
      <c r="AC113" s="989"/>
      <c r="AD113" s="643"/>
      <c r="AE113" s="643"/>
      <c r="AF113" s="985"/>
      <c r="AG113" s="643"/>
      <c r="AH113" s="643"/>
      <c r="AI113" s="643"/>
      <c r="AJ113" s="643"/>
      <c r="AK113" s="985"/>
      <c r="AL113" s="643"/>
      <c r="AM113" s="643"/>
      <c r="AN113" s="643"/>
      <c r="AO113" s="990"/>
      <c r="AP113" s="1005"/>
      <c r="AQ113" s="585"/>
      <c r="AR113" s="585"/>
      <c r="AS113" s="585"/>
      <c r="AT113" s="1004"/>
      <c r="AU113" s="1005"/>
      <c r="AV113" s="585"/>
      <c r="AW113" s="585"/>
      <c r="AX113" s="585"/>
      <c r="AY113" s="1005"/>
      <c r="AZ113" s="585"/>
      <c r="BA113" s="585"/>
      <c r="BB113" s="1004"/>
      <c r="BC113" s="585">
        <v>3500</v>
      </c>
      <c r="BD113" s="585">
        <v>670</v>
      </c>
      <c r="BE113" s="966"/>
      <c r="BF113" s="585"/>
      <c r="BG113" s="1004"/>
      <c r="BH113" s="991"/>
      <c r="BI113" s="643"/>
      <c r="BJ113" s="643"/>
      <c r="BK113" s="990"/>
      <c r="BL113" s="991"/>
      <c r="BM113" s="643"/>
      <c r="BN113" s="643"/>
      <c r="BO113" s="643"/>
      <c r="BP113" s="990"/>
      <c r="BQ113" s="991"/>
      <c r="BR113" s="643"/>
      <c r="BS113" s="643"/>
      <c r="BT113" s="990"/>
      <c r="BU113" s="991"/>
      <c r="BV113" s="643"/>
      <c r="BW113" s="643"/>
      <c r="BX113" s="985"/>
      <c r="BZ113" s="650"/>
    </row>
    <row r="114" spans="1:78" ht="21" customHeight="1" x14ac:dyDescent="0.2">
      <c r="A114" s="834" t="s">
        <v>225</v>
      </c>
      <c r="B114" s="838" t="s">
        <v>4</v>
      </c>
      <c r="C114" s="833" t="s">
        <v>177</v>
      </c>
      <c r="D114" s="838">
        <v>1749</v>
      </c>
      <c r="E114" s="828" t="str">
        <f>IFERROR(VLOOKUP(A114,ContainerSchedule!$A:$E,5,0),"")</f>
        <v/>
      </c>
      <c r="F114" s="828">
        <v>46310</v>
      </c>
      <c r="G114" s="831">
        <v>46296</v>
      </c>
      <c r="H114" s="11">
        <f t="shared" si="77"/>
        <v>1749</v>
      </c>
      <c r="I114" s="944">
        <f t="shared" si="78"/>
        <v>0</v>
      </c>
      <c r="J114" s="948" cm="1">
        <f t="array" ref="J114">IFERROR(_xlfn.XLOOKUP(TRUE,$L114:$BY114&lt;&gt;"",$L114:$BY114,,0,-1),"")</f>
        <v>1749</v>
      </c>
      <c r="K114" s="946">
        <f t="shared" si="79"/>
        <v>46304</v>
      </c>
      <c r="P114" s="17"/>
      <c r="R114" s="181"/>
      <c r="S114" s="181"/>
      <c r="T114" s="18"/>
      <c r="W114" s="181"/>
      <c r="X114" s="181"/>
      <c r="Y114" s="247"/>
      <c r="Z114" s="137"/>
      <c r="AA114" s="12"/>
      <c r="AB114" s="137"/>
      <c r="AC114" s="989"/>
      <c r="AD114" s="643"/>
      <c r="AE114" s="643"/>
      <c r="AF114" s="985"/>
      <c r="AG114" s="643"/>
      <c r="AH114" s="643"/>
      <c r="AI114" s="643"/>
      <c r="AJ114" s="643"/>
      <c r="AK114" s="985"/>
      <c r="AL114" s="643"/>
      <c r="AM114" s="643"/>
      <c r="AN114" s="643"/>
      <c r="AO114" s="990"/>
      <c r="AP114" s="1005"/>
      <c r="AQ114" s="585"/>
      <c r="AR114" s="585"/>
      <c r="AS114" s="585"/>
      <c r="AT114" s="1004"/>
      <c r="AU114" s="1005"/>
      <c r="AV114" s="585"/>
      <c r="AW114" s="585"/>
      <c r="AX114" s="585"/>
      <c r="AY114" s="1005"/>
      <c r="AZ114" s="585"/>
      <c r="BA114" s="585"/>
      <c r="BB114" s="1004"/>
      <c r="BC114" s="585"/>
      <c r="BD114" s="585">
        <v>1749</v>
      </c>
      <c r="BE114" s="966"/>
      <c r="BF114" s="585"/>
      <c r="BG114" s="1004"/>
      <c r="BH114" s="991"/>
      <c r="BI114" s="643"/>
      <c r="BJ114" s="643"/>
      <c r="BK114" s="990"/>
      <c r="BL114" s="991"/>
      <c r="BM114" s="643"/>
      <c r="BN114" s="643"/>
      <c r="BO114" s="643"/>
      <c r="BP114" s="990"/>
      <c r="BQ114" s="991"/>
      <c r="BR114" s="643"/>
      <c r="BS114" s="643"/>
      <c r="BT114" s="990"/>
      <c r="BU114" s="991"/>
      <c r="BV114" s="643"/>
      <c r="BW114" s="643"/>
      <c r="BX114" s="985"/>
      <c r="BZ114" s="650"/>
    </row>
    <row r="115" spans="1:78" ht="21" customHeight="1" x14ac:dyDescent="0.2">
      <c r="A115" s="834" t="s">
        <v>225</v>
      </c>
      <c r="B115" s="838" t="s">
        <v>4</v>
      </c>
      <c r="C115" s="833" t="s">
        <v>807</v>
      </c>
      <c r="D115" s="838">
        <v>900</v>
      </c>
      <c r="E115" s="828" t="str">
        <f>IFERROR(VLOOKUP(A115,ContainerSchedule!$A:$E,5,0),"")</f>
        <v/>
      </c>
      <c r="F115" s="828">
        <v>46310</v>
      </c>
      <c r="G115" s="831">
        <v>46296</v>
      </c>
      <c r="H115" s="11">
        <f t="shared" ref="H115:H146" si="80">SUM(L115:BX115)</f>
        <v>900</v>
      </c>
      <c r="I115" s="944">
        <f t="shared" si="78"/>
        <v>0</v>
      </c>
      <c r="J115" s="948" cm="1">
        <f t="array" ref="J115">IFERROR(_xlfn.XLOOKUP(TRUE,$L115:$BY115&lt;&gt;"",$L115:$BY115,,0,-1),"")</f>
        <v>900</v>
      </c>
      <c r="K115" s="946">
        <f t="shared" si="79"/>
        <v>46304</v>
      </c>
      <c r="P115" s="17"/>
      <c r="R115" s="181"/>
      <c r="S115" s="181"/>
      <c r="T115" s="18"/>
      <c r="W115" s="181"/>
      <c r="X115" s="181"/>
      <c r="Y115" s="247"/>
      <c r="Z115" s="137"/>
      <c r="AA115" s="12"/>
      <c r="AB115" s="137"/>
      <c r="AC115" s="989"/>
      <c r="AD115" s="643"/>
      <c r="AE115" s="643"/>
      <c r="AF115" s="985"/>
      <c r="AG115" s="643"/>
      <c r="AH115" s="643"/>
      <c r="AI115" s="643"/>
      <c r="AJ115" s="643"/>
      <c r="AK115" s="985"/>
      <c r="AL115" s="643"/>
      <c r="AM115" s="643"/>
      <c r="AN115" s="643"/>
      <c r="AO115" s="990"/>
      <c r="AP115" s="1005"/>
      <c r="AQ115" s="585"/>
      <c r="AR115" s="585"/>
      <c r="AS115" s="585"/>
      <c r="AT115" s="1004"/>
      <c r="AU115" s="1005"/>
      <c r="AV115" s="585"/>
      <c r="AW115" s="585"/>
      <c r="AX115" s="585"/>
      <c r="AY115" s="1005"/>
      <c r="AZ115" s="585"/>
      <c r="BA115" s="585"/>
      <c r="BB115" s="1004"/>
      <c r="BC115" s="585"/>
      <c r="BD115" s="585">
        <v>900</v>
      </c>
      <c r="BE115" s="966"/>
      <c r="BF115" s="585"/>
      <c r="BG115" s="1004"/>
      <c r="BH115" s="991"/>
      <c r="BI115" s="643"/>
      <c r="BJ115" s="643"/>
      <c r="BK115" s="990"/>
      <c r="BL115" s="991"/>
      <c r="BM115" s="643"/>
      <c r="BN115" s="643"/>
      <c r="BO115" s="643"/>
      <c r="BP115" s="990"/>
      <c r="BQ115" s="991"/>
      <c r="BR115" s="643"/>
      <c r="BS115" s="643"/>
      <c r="BT115" s="990"/>
      <c r="BU115" s="991"/>
      <c r="BV115" s="643"/>
      <c r="BW115" s="643"/>
      <c r="BX115" s="985"/>
      <c r="BZ115" s="650"/>
    </row>
    <row r="116" spans="1:78" ht="21" customHeight="1" x14ac:dyDescent="0.2">
      <c r="A116" s="834" t="s">
        <v>225</v>
      </c>
      <c r="B116" s="838" t="s">
        <v>4</v>
      </c>
      <c r="C116" s="833" t="s">
        <v>809</v>
      </c>
      <c r="D116" s="838">
        <v>600</v>
      </c>
      <c r="E116" s="828" t="str">
        <f>IFERROR(VLOOKUP(A116,ContainerSchedule!$A:$E,5,0),"")</f>
        <v/>
      </c>
      <c r="F116" s="828">
        <v>46310</v>
      </c>
      <c r="G116" s="831">
        <v>46296</v>
      </c>
      <c r="H116" s="11">
        <f t="shared" si="80"/>
        <v>600</v>
      </c>
      <c r="I116" s="944">
        <f t="shared" si="78"/>
        <v>0</v>
      </c>
      <c r="J116" s="948" cm="1">
        <f t="array" ref="J116">IFERROR(_xlfn.XLOOKUP(TRUE,$L116:$BY116&lt;&gt;"",$L116:$BY116,,0,-1),"")</f>
        <v>600</v>
      </c>
      <c r="K116" s="946">
        <f t="shared" si="79"/>
        <v>46304</v>
      </c>
      <c r="P116" s="17"/>
      <c r="R116" s="181"/>
      <c r="S116" s="181"/>
      <c r="T116" s="18"/>
      <c r="W116" s="181"/>
      <c r="X116" s="181"/>
      <c r="Y116" s="247"/>
      <c r="Z116" s="137"/>
      <c r="AA116" s="12"/>
      <c r="AB116" s="137"/>
      <c r="AC116" s="989"/>
      <c r="AD116" s="643"/>
      <c r="AE116" s="643"/>
      <c r="AF116" s="985"/>
      <c r="AG116" s="643"/>
      <c r="AH116" s="643"/>
      <c r="AI116" s="643"/>
      <c r="AJ116" s="643"/>
      <c r="AK116" s="985"/>
      <c r="AL116" s="643"/>
      <c r="AM116" s="643"/>
      <c r="AN116" s="643"/>
      <c r="AO116" s="990"/>
      <c r="AP116" s="1005"/>
      <c r="AQ116" s="585"/>
      <c r="AR116" s="585"/>
      <c r="AS116" s="585"/>
      <c r="AT116" s="1004"/>
      <c r="AU116" s="1005"/>
      <c r="AV116" s="585"/>
      <c r="AW116" s="585"/>
      <c r="AX116" s="585"/>
      <c r="AY116" s="1005"/>
      <c r="AZ116" s="585"/>
      <c r="BA116" s="585"/>
      <c r="BB116" s="1004"/>
      <c r="BC116" s="585"/>
      <c r="BD116" s="585">
        <v>600</v>
      </c>
      <c r="BE116" s="966"/>
      <c r="BF116" s="585"/>
      <c r="BG116" s="1004"/>
      <c r="BH116" s="991"/>
      <c r="BI116" s="643"/>
      <c r="BJ116" s="643"/>
      <c r="BK116" s="990"/>
      <c r="BL116" s="991"/>
      <c r="BM116" s="643"/>
      <c r="BN116" s="643"/>
      <c r="BO116" s="643"/>
      <c r="BP116" s="990"/>
      <c r="BQ116" s="991"/>
      <c r="BR116" s="643"/>
      <c r="BS116" s="643"/>
      <c r="BT116" s="990"/>
      <c r="BU116" s="991"/>
      <c r="BV116" s="643"/>
      <c r="BW116" s="643"/>
      <c r="BX116" s="985"/>
      <c r="BZ116" s="650"/>
    </row>
    <row r="117" spans="1:78" ht="21" customHeight="1" x14ac:dyDescent="0.2">
      <c r="A117" s="834" t="s">
        <v>225</v>
      </c>
      <c r="B117" s="838" t="s">
        <v>4</v>
      </c>
      <c r="C117" s="833" t="s">
        <v>281</v>
      </c>
      <c r="D117" s="838">
        <v>1084</v>
      </c>
      <c r="E117" s="828" t="str">
        <f>IFERROR(VLOOKUP(A117,ContainerSchedule!$A:$E,5,0),"")</f>
        <v/>
      </c>
      <c r="F117" s="828">
        <v>46310</v>
      </c>
      <c r="G117" s="831">
        <v>46296</v>
      </c>
      <c r="H117" s="11">
        <f t="shared" si="80"/>
        <v>1084</v>
      </c>
      <c r="I117" s="944">
        <f t="shared" si="78"/>
        <v>0</v>
      </c>
      <c r="J117" s="948" cm="1">
        <f t="array" ref="J117">IFERROR(_xlfn.XLOOKUP(TRUE,$L117:$BY117&lt;&gt;"",$L117:$BY117,,0,-1),"")</f>
        <v>1084</v>
      </c>
      <c r="K117" s="946">
        <f t="shared" si="79"/>
        <v>46304</v>
      </c>
      <c r="P117" s="17"/>
      <c r="R117" s="181"/>
      <c r="S117" s="181"/>
      <c r="T117" s="18"/>
      <c r="W117" s="181"/>
      <c r="X117" s="181"/>
      <c r="Y117" s="247"/>
      <c r="Z117" s="137"/>
      <c r="AA117" s="12"/>
      <c r="AB117" s="137"/>
      <c r="AC117" s="989"/>
      <c r="AD117" s="643"/>
      <c r="AE117" s="643"/>
      <c r="AF117" s="985"/>
      <c r="AG117" s="643"/>
      <c r="AH117" s="643"/>
      <c r="AI117" s="643"/>
      <c r="AJ117" s="643"/>
      <c r="AK117" s="985"/>
      <c r="AL117" s="643"/>
      <c r="AM117" s="643"/>
      <c r="AN117" s="643"/>
      <c r="AO117" s="990"/>
      <c r="AP117" s="1005"/>
      <c r="AQ117" s="585"/>
      <c r="AR117" s="585"/>
      <c r="AS117" s="585"/>
      <c r="AT117" s="1004"/>
      <c r="AU117" s="1005"/>
      <c r="AV117" s="585"/>
      <c r="AW117" s="585"/>
      <c r="AX117" s="585"/>
      <c r="AY117" s="1005"/>
      <c r="AZ117" s="585"/>
      <c r="BA117" s="585"/>
      <c r="BB117" s="1004"/>
      <c r="BC117" s="585"/>
      <c r="BD117" s="585">
        <v>1084</v>
      </c>
      <c r="BE117" s="966"/>
      <c r="BF117" s="585"/>
      <c r="BG117" s="1004"/>
      <c r="BH117" s="991"/>
      <c r="BI117" s="643"/>
      <c r="BJ117" s="643"/>
      <c r="BK117" s="990"/>
      <c r="BL117" s="991"/>
      <c r="BM117" s="643"/>
      <c r="BN117" s="643"/>
      <c r="BO117" s="643"/>
      <c r="BP117" s="990"/>
      <c r="BQ117" s="991"/>
      <c r="BR117" s="643"/>
      <c r="BS117" s="643"/>
      <c r="BT117" s="990"/>
      <c r="BU117" s="991"/>
      <c r="BV117" s="643"/>
      <c r="BW117" s="643"/>
      <c r="BX117" s="985"/>
      <c r="BZ117" s="650"/>
    </row>
    <row r="118" spans="1:78" ht="21" customHeight="1" x14ac:dyDescent="0.2">
      <c r="A118" s="834" t="s">
        <v>225</v>
      </c>
      <c r="B118" s="838" t="s">
        <v>4</v>
      </c>
      <c r="C118" s="833" t="s">
        <v>278</v>
      </c>
      <c r="D118" s="838">
        <v>600</v>
      </c>
      <c r="E118" s="828" t="str">
        <f>IFERROR(VLOOKUP(A118,ContainerSchedule!$A:$E,5,0),"")</f>
        <v/>
      </c>
      <c r="F118" s="828">
        <v>46310</v>
      </c>
      <c r="G118" s="831">
        <v>46296</v>
      </c>
      <c r="H118" s="11">
        <f t="shared" si="80"/>
        <v>600</v>
      </c>
      <c r="I118" s="944">
        <f t="shared" si="78"/>
        <v>0</v>
      </c>
      <c r="J118" s="948" cm="1">
        <f t="array" ref="J118">IFERROR(_xlfn.XLOOKUP(TRUE,$L118:$BY118&lt;&gt;"",$L118:$BY118,,0,-1),"")</f>
        <v>600</v>
      </c>
      <c r="K118" s="946">
        <f t="shared" si="79"/>
        <v>46311</v>
      </c>
      <c r="P118" s="17"/>
      <c r="R118" s="181"/>
      <c r="S118" s="181"/>
      <c r="T118" s="18"/>
      <c r="W118" s="181"/>
      <c r="X118" s="181"/>
      <c r="Y118" s="247"/>
      <c r="Z118" s="137"/>
      <c r="AA118" s="12"/>
      <c r="AB118" s="137"/>
      <c r="AC118" s="989"/>
      <c r="AD118" s="643"/>
      <c r="AE118" s="643"/>
      <c r="AF118" s="985"/>
      <c r="AG118" s="643"/>
      <c r="AH118" s="643"/>
      <c r="AI118" s="643"/>
      <c r="AJ118" s="643"/>
      <c r="AK118" s="985"/>
      <c r="AL118" s="643"/>
      <c r="AM118" s="643"/>
      <c r="AN118" s="643"/>
      <c r="AO118" s="990"/>
      <c r="AP118" s="1005"/>
      <c r="AQ118" s="585"/>
      <c r="AR118" s="585"/>
      <c r="AS118" s="585"/>
      <c r="AT118" s="1004"/>
      <c r="AU118" s="1005"/>
      <c r="AV118" s="585"/>
      <c r="AW118" s="585"/>
      <c r="AX118" s="585"/>
      <c r="AY118" s="1005"/>
      <c r="AZ118" s="585"/>
      <c r="BA118" s="585"/>
      <c r="BB118" s="1004"/>
      <c r="BC118" s="585"/>
      <c r="BD118" s="585"/>
      <c r="BE118" s="966">
        <v>600</v>
      </c>
      <c r="BF118" s="585"/>
      <c r="BG118" s="1004"/>
      <c r="BH118" s="991"/>
      <c r="BI118" s="643"/>
      <c r="BJ118" s="643"/>
      <c r="BK118" s="990"/>
      <c r="BL118" s="991"/>
      <c r="BM118" s="643"/>
      <c r="BN118" s="643"/>
      <c r="BO118" s="643"/>
      <c r="BP118" s="990"/>
      <c r="BQ118" s="991"/>
      <c r="BR118" s="643"/>
      <c r="BS118" s="643"/>
      <c r="BT118" s="990"/>
      <c r="BU118" s="991"/>
      <c r="BV118" s="643"/>
      <c r="BW118" s="643"/>
      <c r="BX118" s="985"/>
      <c r="BZ118" s="650"/>
    </row>
    <row r="119" spans="1:78" ht="21" customHeight="1" x14ac:dyDescent="0.2">
      <c r="A119" s="835" t="s">
        <v>225</v>
      </c>
      <c r="B119" s="838" t="s">
        <v>4</v>
      </c>
      <c r="C119" s="833" t="s">
        <v>287</v>
      </c>
      <c r="D119" s="838">
        <v>1026</v>
      </c>
      <c r="E119" s="828" t="str">
        <f>IFERROR(VLOOKUP(A119,ContainerSchedule!$A:$E,5,0),"")</f>
        <v/>
      </c>
      <c r="F119" s="828">
        <v>46310</v>
      </c>
      <c r="G119" s="831">
        <v>46296</v>
      </c>
      <c r="H119" s="11">
        <f t="shared" si="80"/>
        <v>1026</v>
      </c>
      <c r="I119" s="944">
        <f t="shared" si="78"/>
        <v>0</v>
      </c>
      <c r="J119" s="948" cm="1">
        <f t="array" ref="J119">IFERROR(_xlfn.XLOOKUP(TRUE,$L119:$BY119&lt;&gt;"",$L119:$BY119,,0,-1),"")</f>
        <v>1026</v>
      </c>
      <c r="K119" s="946">
        <f t="shared" si="79"/>
        <v>46311</v>
      </c>
      <c r="P119" s="17"/>
      <c r="R119" s="181"/>
      <c r="S119" s="181"/>
      <c r="T119" s="18"/>
      <c r="W119" s="181"/>
      <c r="X119" s="181"/>
      <c r="Y119" s="247"/>
      <c r="Z119" s="137"/>
      <c r="AA119" s="12"/>
      <c r="AB119" s="137"/>
      <c r="AC119" s="989"/>
      <c r="AD119" s="643"/>
      <c r="AE119" s="643"/>
      <c r="AF119" s="985"/>
      <c r="AG119" s="643"/>
      <c r="AH119" s="643"/>
      <c r="AI119" s="643"/>
      <c r="AJ119" s="643"/>
      <c r="AK119" s="985"/>
      <c r="AL119" s="643"/>
      <c r="AM119" s="643"/>
      <c r="AN119" s="643"/>
      <c r="AO119" s="990"/>
      <c r="AP119" s="1005"/>
      <c r="AQ119" s="585"/>
      <c r="AR119" s="585"/>
      <c r="AS119" s="585"/>
      <c r="AT119" s="1004"/>
      <c r="AU119" s="1005"/>
      <c r="AV119" s="585"/>
      <c r="AW119" s="585"/>
      <c r="AX119" s="585"/>
      <c r="AY119" s="1005"/>
      <c r="AZ119" s="585"/>
      <c r="BA119" s="585"/>
      <c r="BB119" s="1004"/>
      <c r="BC119" s="585"/>
      <c r="BD119" s="585"/>
      <c r="BE119" s="966">
        <v>1026</v>
      </c>
      <c r="BF119" s="585"/>
      <c r="BG119" s="1004"/>
      <c r="BH119" s="991"/>
      <c r="BI119" s="643"/>
      <c r="BJ119" s="643"/>
      <c r="BK119" s="990"/>
      <c r="BL119" s="991"/>
      <c r="BM119" s="643"/>
      <c r="BN119" s="643"/>
      <c r="BO119" s="643"/>
      <c r="BP119" s="990"/>
      <c r="BQ119" s="991"/>
      <c r="BR119" s="643"/>
      <c r="BS119" s="643"/>
      <c r="BT119" s="990"/>
      <c r="BU119" s="991"/>
      <c r="BV119" s="643"/>
      <c r="BW119" s="643"/>
      <c r="BX119" s="985"/>
      <c r="BZ119" s="650"/>
    </row>
    <row r="120" spans="1:78" ht="21" customHeight="1" x14ac:dyDescent="0.2">
      <c r="A120" s="833" t="s">
        <v>225</v>
      </c>
      <c r="B120" s="838" t="s">
        <v>4</v>
      </c>
      <c r="C120" s="833" t="s">
        <v>285</v>
      </c>
      <c r="D120" s="838">
        <v>1433</v>
      </c>
      <c r="E120" s="828" t="str">
        <f>IFERROR(VLOOKUP(A120,ContainerSchedule!$A:$E,5,0),"")</f>
        <v/>
      </c>
      <c r="F120" s="828">
        <v>46310</v>
      </c>
      <c r="G120" s="831">
        <v>46296</v>
      </c>
      <c r="H120" s="11">
        <f t="shared" si="80"/>
        <v>1433</v>
      </c>
      <c r="I120" s="944">
        <f t="shared" si="78"/>
        <v>0</v>
      </c>
      <c r="J120" s="948" cm="1">
        <f t="array" ref="J120">IFERROR(_xlfn.XLOOKUP(TRUE,$L120:$BY120&lt;&gt;"",$L120:$BY120,,0,-1),"")</f>
        <v>1433</v>
      </c>
      <c r="K120" s="946">
        <f t="shared" si="79"/>
        <v>46311</v>
      </c>
      <c r="P120" s="17"/>
      <c r="R120" s="181"/>
      <c r="S120" s="181"/>
      <c r="T120" s="18"/>
      <c r="W120" s="181"/>
      <c r="X120" s="181"/>
      <c r="Y120" s="247"/>
      <c r="Z120" s="137"/>
      <c r="AA120" s="12"/>
      <c r="AB120" s="137"/>
      <c r="AC120" s="989"/>
      <c r="AD120" s="643"/>
      <c r="AE120" s="643"/>
      <c r="AF120" s="985"/>
      <c r="AG120" s="643"/>
      <c r="AH120" s="643"/>
      <c r="AI120" s="643"/>
      <c r="AJ120" s="643"/>
      <c r="AK120" s="985"/>
      <c r="AL120" s="643"/>
      <c r="AM120" s="643"/>
      <c r="AN120" s="643"/>
      <c r="AO120" s="990"/>
      <c r="AP120" s="1005"/>
      <c r="AQ120" s="585"/>
      <c r="AR120" s="585"/>
      <c r="AS120" s="585"/>
      <c r="AT120" s="1004"/>
      <c r="AU120" s="1005"/>
      <c r="AV120" s="585"/>
      <c r="AW120" s="585"/>
      <c r="AX120" s="585"/>
      <c r="AY120" s="1005"/>
      <c r="AZ120" s="585"/>
      <c r="BA120" s="585"/>
      <c r="BB120" s="1004"/>
      <c r="BC120" s="585"/>
      <c r="BD120" s="585"/>
      <c r="BE120" s="966">
        <v>1433</v>
      </c>
      <c r="BF120" s="585"/>
      <c r="BG120" s="1004"/>
      <c r="BH120" s="991"/>
      <c r="BI120" s="643"/>
      <c r="BJ120" s="643"/>
      <c r="BK120" s="990"/>
      <c r="BL120" s="991"/>
      <c r="BM120" s="643"/>
      <c r="BN120" s="643"/>
      <c r="BO120" s="643"/>
      <c r="BP120" s="990"/>
      <c r="BQ120" s="991"/>
      <c r="BR120" s="643"/>
      <c r="BS120" s="643"/>
      <c r="BT120" s="990"/>
      <c r="BU120" s="991"/>
      <c r="BV120" s="643"/>
      <c r="BW120" s="643"/>
      <c r="BX120" s="985"/>
      <c r="BZ120" s="650"/>
    </row>
    <row r="121" spans="1:78" ht="21" customHeight="1" x14ac:dyDescent="0.2">
      <c r="A121" s="1014" t="s">
        <v>387</v>
      </c>
      <c r="B121" s="632" t="s">
        <v>60</v>
      </c>
      <c r="C121" s="649" t="s">
        <v>388</v>
      </c>
      <c r="D121" s="632">
        <v>600</v>
      </c>
      <c r="E121" s="828" t="str">
        <f>IFERROR(VLOOKUP(A121,ContainerSchedule!$A:$E,5,0),"")</f>
        <v/>
      </c>
      <c r="F121" s="828"/>
      <c r="G121" s="828"/>
      <c r="H121" s="11">
        <f t="shared" si="80"/>
        <v>600</v>
      </c>
      <c r="I121" s="837">
        <f t="shared" si="78"/>
        <v>0</v>
      </c>
      <c r="J121" s="948" cm="1">
        <f t="array" ref="J121">IFERROR(_xlfn.XLOOKUP(TRUE,$L121:$BY121&lt;&gt;"",$L121:$BY121,,0,-1),"")</f>
        <v>600</v>
      </c>
      <c r="K121" s="946">
        <f t="shared" si="79"/>
        <v>46311</v>
      </c>
      <c r="P121" s="17"/>
      <c r="R121" s="181"/>
      <c r="S121" s="181"/>
      <c r="T121" s="18"/>
      <c r="W121" s="181"/>
      <c r="X121" s="181"/>
      <c r="Y121" s="247"/>
      <c r="Z121" s="137"/>
      <c r="AA121" s="12"/>
      <c r="AB121" s="137"/>
      <c r="AC121" s="989"/>
      <c r="AD121" s="643"/>
      <c r="AE121" s="643"/>
      <c r="AF121" s="985"/>
      <c r="AG121" s="643"/>
      <c r="AH121" s="643"/>
      <c r="AI121" s="643"/>
      <c r="AJ121" s="643"/>
      <c r="AK121" s="985"/>
      <c r="AL121" s="643"/>
      <c r="AM121" s="643"/>
      <c r="AN121" s="643"/>
      <c r="AO121" s="990"/>
      <c r="AP121" s="1005"/>
      <c r="AQ121" s="585"/>
      <c r="AR121" s="585"/>
      <c r="AS121" s="585"/>
      <c r="AT121" s="1004"/>
      <c r="AU121" s="1005"/>
      <c r="AV121" s="585"/>
      <c r="AW121" s="585"/>
      <c r="AX121" s="585"/>
      <c r="AY121" s="1005"/>
      <c r="AZ121" s="585"/>
      <c r="BA121" s="585"/>
      <c r="BB121" s="1004"/>
      <c r="BC121" s="585"/>
      <c r="BD121" s="585"/>
      <c r="BE121" s="585">
        <v>600</v>
      </c>
      <c r="BF121" s="585"/>
      <c r="BG121" s="1004"/>
      <c r="BH121" s="991"/>
      <c r="BI121" s="643"/>
      <c r="BJ121" s="643"/>
      <c r="BK121" s="990"/>
      <c r="BL121" s="991"/>
      <c r="BM121" s="643"/>
      <c r="BN121" s="643"/>
      <c r="BO121" s="643"/>
      <c r="BP121" s="990"/>
      <c r="BQ121" s="991"/>
      <c r="BR121" s="643"/>
      <c r="BS121" s="643"/>
      <c r="BT121" s="990"/>
      <c r="BU121" s="991"/>
      <c r="BV121" s="643"/>
      <c r="BW121" s="643"/>
      <c r="BX121" s="985"/>
      <c r="BZ121" s="650"/>
    </row>
    <row r="122" spans="1:78" ht="21" customHeight="1" x14ac:dyDescent="0.2">
      <c r="A122" s="835" t="s">
        <v>391</v>
      </c>
      <c r="B122" s="838" t="s">
        <v>15</v>
      </c>
      <c r="C122" s="838" t="s">
        <v>778</v>
      </c>
      <c r="D122" s="838">
        <v>1500</v>
      </c>
      <c r="E122" s="828" t="str">
        <f>IFERROR(VLOOKUP(A122,ContainerSchedule!$A:$E,5,0),"")</f>
        <v/>
      </c>
      <c r="F122" s="828">
        <v>46272</v>
      </c>
      <c r="G122" s="829"/>
      <c r="H122" s="11">
        <f t="shared" si="80"/>
        <v>1500</v>
      </c>
      <c r="I122" s="837">
        <f t="shared" si="78"/>
        <v>0</v>
      </c>
      <c r="J122" s="948" cm="1">
        <f t="array" ref="J122">IFERROR(_xlfn.XLOOKUP(TRUE,$L122:$BY122&lt;&gt;"",$L122:$BY122,,0,-1),"")</f>
        <v>1500</v>
      </c>
      <c r="K122" s="946">
        <f t="shared" si="79"/>
        <v>46311</v>
      </c>
      <c r="P122" s="17"/>
      <c r="R122" s="181"/>
      <c r="S122" s="181"/>
      <c r="T122" s="18"/>
      <c r="W122" s="181"/>
      <c r="X122" s="181"/>
      <c r="Y122" s="247"/>
      <c r="Z122" s="137"/>
      <c r="AA122" s="12"/>
      <c r="AB122" s="137"/>
      <c r="AC122" s="989"/>
      <c r="AD122" s="643"/>
      <c r="AE122" s="643"/>
      <c r="AF122" s="985"/>
      <c r="AG122" s="643"/>
      <c r="AH122" s="643"/>
      <c r="AI122" s="643"/>
      <c r="AJ122" s="643"/>
      <c r="AK122" s="985"/>
      <c r="AL122" s="643"/>
      <c r="AM122" s="643"/>
      <c r="AN122" s="643"/>
      <c r="AO122" s="990"/>
      <c r="AP122" s="1005"/>
      <c r="AQ122" s="585"/>
      <c r="AR122" s="585"/>
      <c r="AS122" s="585"/>
      <c r="AT122" s="1004"/>
      <c r="AU122" s="1005"/>
      <c r="AV122" s="585"/>
      <c r="AW122" s="585"/>
      <c r="AX122" s="585"/>
      <c r="AY122" s="1005"/>
      <c r="AZ122" s="966"/>
      <c r="BA122" s="585"/>
      <c r="BB122" s="1004"/>
      <c r="BC122" s="585"/>
      <c r="BD122" s="585"/>
      <c r="BE122" s="585">
        <v>1500</v>
      </c>
      <c r="BF122" s="585"/>
      <c r="BG122" s="1004"/>
      <c r="BH122" s="991"/>
      <c r="BI122" s="643"/>
      <c r="BJ122" s="643"/>
      <c r="BK122" s="990"/>
      <c r="BL122" s="991"/>
      <c r="BM122" s="643"/>
      <c r="BN122" s="643"/>
      <c r="BO122" s="643"/>
      <c r="BP122" s="990"/>
      <c r="BQ122" s="991"/>
      <c r="BR122" s="643"/>
      <c r="BS122" s="643"/>
      <c r="BT122" s="990"/>
      <c r="BU122" s="991"/>
      <c r="BV122" s="643"/>
      <c r="BW122" s="643"/>
      <c r="BX122" s="985"/>
      <c r="BZ122" s="650"/>
    </row>
    <row r="123" spans="1:78" ht="21" customHeight="1" x14ac:dyDescent="0.2">
      <c r="A123" s="833" t="s">
        <v>385</v>
      </c>
      <c r="B123" s="838" t="s">
        <v>15</v>
      </c>
      <c r="C123" s="838" t="s">
        <v>778</v>
      </c>
      <c r="D123" s="838">
        <v>1400</v>
      </c>
      <c r="E123" s="828" t="str">
        <f>IFERROR(VLOOKUP(A123,ContainerSchedule!$A:$E,5,0),"")</f>
        <v/>
      </c>
      <c r="F123" s="828"/>
      <c r="G123" s="839"/>
      <c r="H123" s="11">
        <f t="shared" si="80"/>
        <v>1400</v>
      </c>
      <c r="I123" s="837">
        <f t="shared" si="78"/>
        <v>0</v>
      </c>
      <c r="J123" s="948" cm="1">
        <f t="array" ref="J123">IFERROR(_xlfn.XLOOKUP(TRUE,$L123:$BY123&lt;&gt;"",$L123:$BY123,,0,-1),"")</f>
        <v>1000</v>
      </c>
      <c r="K123" s="946">
        <f t="shared" si="79"/>
        <v>46318</v>
      </c>
      <c r="P123" s="17"/>
      <c r="R123" s="181"/>
      <c r="S123" s="181"/>
      <c r="T123" s="18"/>
      <c r="W123" s="181"/>
      <c r="X123" s="181"/>
      <c r="Y123" s="247"/>
      <c r="Z123" s="137"/>
      <c r="AA123" s="12"/>
      <c r="AB123" s="137"/>
      <c r="AC123" s="989"/>
      <c r="AD123" s="643"/>
      <c r="AE123" s="643"/>
      <c r="AF123" s="985"/>
      <c r="AG123" s="643"/>
      <c r="AH123" s="643"/>
      <c r="AI123" s="643"/>
      <c r="AJ123" s="643"/>
      <c r="AK123" s="985"/>
      <c r="AL123" s="643"/>
      <c r="AM123" s="643"/>
      <c r="AN123" s="643"/>
      <c r="AO123" s="990"/>
      <c r="AP123" s="1005"/>
      <c r="AQ123" s="585"/>
      <c r="AR123" s="585"/>
      <c r="AS123" s="585"/>
      <c r="AT123" s="1004"/>
      <c r="AU123" s="1005"/>
      <c r="AV123" s="585"/>
      <c r="AW123" s="585"/>
      <c r="AX123" s="585"/>
      <c r="AY123" s="1005"/>
      <c r="AZ123" s="585"/>
      <c r="BA123" s="585"/>
      <c r="BB123" s="1004"/>
      <c r="BC123" s="585"/>
      <c r="BD123" s="585"/>
      <c r="BE123" s="585">
        <v>400</v>
      </c>
      <c r="BF123" s="585">
        <v>1000</v>
      </c>
      <c r="BG123" s="1004"/>
      <c r="BH123" s="991"/>
      <c r="BI123" s="643"/>
      <c r="BJ123" s="643"/>
      <c r="BK123" s="990"/>
      <c r="BL123" s="991"/>
      <c r="BM123" s="643"/>
      <c r="BN123" s="643"/>
      <c r="BO123" s="643"/>
      <c r="BP123" s="990"/>
      <c r="BQ123" s="991"/>
      <c r="BR123" s="643"/>
      <c r="BS123" s="643"/>
      <c r="BT123" s="990"/>
      <c r="BU123" s="991"/>
      <c r="BV123" s="643"/>
      <c r="BW123" s="643"/>
      <c r="BX123" s="985"/>
      <c r="BZ123" s="650"/>
    </row>
    <row r="124" spans="1:78" ht="21" customHeight="1" x14ac:dyDescent="0.2">
      <c r="A124" s="836" t="s">
        <v>372</v>
      </c>
      <c r="B124" s="632" t="s">
        <v>29</v>
      </c>
      <c r="C124" s="649" t="s">
        <v>311</v>
      </c>
      <c r="D124" s="632">
        <v>601</v>
      </c>
      <c r="E124" s="828">
        <f>IFERROR(VLOOKUP(A124,ContainerSchedule!$A:$E,5,0),"")</f>
        <v>46275</v>
      </c>
      <c r="F124" s="828">
        <f>VLOOKUP(A124,ContainerSchedule!$A$1:$F$91,6,0)</f>
        <v>46313</v>
      </c>
      <c r="G124" s="828">
        <v>46310</v>
      </c>
      <c r="H124" s="11">
        <f t="shared" si="80"/>
        <v>601</v>
      </c>
      <c r="I124" s="837">
        <f t="shared" si="78"/>
        <v>0</v>
      </c>
      <c r="J124" s="948" cm="1">
        <f t="array" ref="J124">IFERROR(_xlfn.XLOOKUP(TRUE,$L124:$BY124&lt;&gt;"",$L124:$BY124,,0,-1),"")</f>
        <v>601</v>
      </c>
      <c r="K124" s="946">
        <f t="shared" si="79"/>
        <v>46318</v>
      </c>
      <c r="P124" s="17"/>
      <c r="R124" s="181"/>
      <c r="S124" s="181"/>
      <c r="T124" s="18"/>
      <c r="W124" s="181"/>
      <c r="X124" s="181"/>
      <c r="Y124" s="247"/>
      <c r="Z124" s="137"/>
      <c r="AA124" s="12"/>
      <c r="AB124" s="137"/>
      <c r="AC124" s="989"/>
      <c r="AD124" s="643"/>
      <c r="AE124" s="643"/>
      <c r="AF124" s="985"/>
      <c r="AG124" s="643"/>
      <c r="AH124" s="643"/>
      <c r="AI124" s="643"/>
      <c r="AJ124" s="643"/>
      <c r="AK124" s="985"/>
      <c r="AL124" s="643"/>
      <c r="AM124" s="643"/>
      <c r="AN124" s="643"/>
      <c r="AO124" s="990"/>
      <c r="AP124" s="1005"/>
      <c r="AQ124" s="585"/>
      <c r="AR124" s="585"/>
      <c r="AS124" s="585"/>
      <c r="AT124" s="1004"/>
      <c r="AU124" s="1005"/>
      <c r="AV124" s="585"/>
      <c r="AW124" s="585"/>
      <c r="AX124" s="585"/>
      <c r="AY124" s="1005"/>
      <c r="AZ124" s="585"/>
      <c r="BA124" s="585"/>
      <c r="BB124" s="1004"/>
      <c r="BC124" s="585"/>
      <c r="BD124" s="585"/>
      <c r="BE124" s="585"/>
      <c r="BF124" s="966">
        <v>601</v>
      </c>
      <c r="BG124" s="1004"/>
      <c r="BH124" s="991"/>
      <c r="BI124" s="643"/>
      <c r="BJ124" s="643"/>
      <c r="BK124" s="990"/>
      <c r="BL124" s="991"/>
      <c r="BM124" s="643"/>
      <c r="BN124" s="643"/>
      <c r="BO124" s="643"/>
      <c r="BP124" s="990"/>
      <c r="BQ124" s="991"/>
      <c r="BR124" s="643"/>
      <c r="BS124" s="643"/>
      <c r="BT124" s="990"/>
      <c r="BU124" s="991"/>
      <c r="BV124" s="643"/>
      <c r="BW124" s="643"/>
      <c r="BX124" s="985"/>
      <c r="BZ124" s="650"/>
    </row>
    <row r="125" spans="1:78" ht="21" customHeight="1" x14ac:dyDescent="0.2">
      <c r="A125" s="1009" t="s">
        <v>373</v>
      </c>
      <c r="B125" s="632" t="s">
        <v>29</v>
      </c>
      <c r="C125" s="649" t="s">
        <v>311</v>
      </c>
      <c r="D125" s="632">
        <v>602</v>
      </c>
      <c r="E125" s="828">
        <f>IFERROR(VLOOKUP(A125,ContainerSchedule!$A:$E,5,0),"")</f>
        <v>46275</v>
      </c>
      <c r="F125" s="828">
        <f>VLOOKUP(A125,ContainerSchedule!$A$1:$F$91,6,0)</f>
        <v>46313</v>
      </c>
      <c r="G125" s="828"/>
      <c r="H125" s="11">
        <f t="shared" si="80"/>
        <v>602</v>
      </c>
      <c r="I125" s="837">
        <f t="shared" si="78"/>
        <v>0</v>
      </c>
      <c r="J125" s="948" cm="1">
        <f t="array" ref="J125">IFERROR(_xlfn.XLOOKUP(TRUE,$L125:$BY125&lt;&gt;"",$L125:$BY125,,0,-1),"")</f>
        <v>602</v>
      </c>
      <c r="K125" s="946">
        <f t="shared" si="79"/>
        <v>46318</v>
      </c>
      <c r="P125" s="17"/>
      <c r="R125" s="181"/>
      <c r="S125" s="181"/>
      <c r="T125" s="18"/>
      <c r="W125" s="181"/>
      <c r="X125" s="181"/>
      <c r="Y125" s="247"/>
      <c r="Z125" s="137"/>
      <c r="AA125" s="12"/>
      <c r="AB125" s="137"/>
      <c r="AC125" s="989"/>
      <c r="AD125" s="643"/>
      <c r="AE125" s="643"/>
      <c r="AF125" s="985"/>
      <c r="AG125" s="643"/>
      <c r="AH125" s="643"/>
      <c r="AI125" s="643"/>
      <c r="AJ125" s="643"/>
      <c r="AK125" s="985"/>
      <c r="AL125" s="643"/>
      <c r="AM125" s="643"/>
      <c r="AN125" s="643"/>
      <c r="AO125" s="990"/>
      <c r="AP125" s="1005"/>
      <c r="AQ125" s="585"/>
      <c r="AR125" s="585"/>
      <c r="AS125" s="585"/>
      <c r="AT125" s="1004"/>
      <c r="AU125" s="1005"/>
      <c r="AV125" s="585"/>
      <c r="AW125" s="585"/>
      <c r="AX125" s="585"/>
      <c r="AY125" s="1005"/>
      <c r="AZ125" s="585"/>
      <c r="BA125" s="585"/>
      <c r="BB125" s="1004"/>
      <c r="BC125" s="585"/>
      <c r="BD125" s="585"/>
      <c r="BE125" s="585"/>
      <c r="BF125" s="966">
        <v>602</v>
      </c>
      <c r="BG125" s="1004"/>
      <c r="BH125" s="991"/>
      <c r="BI125" s="643"/>
      <c r="BJ125" s="643"/>
      <c r="BK125" s="990"/>
      <c r="BL125" s="991"/>
      <c r="BM125" s="643"/>
      <c r="BN125" s="643"/>
      <c r="BO125" s="643"/>
      <c r="BP125" s="990"/>
      <c r="BQ125" s="991"/>
      <c r="BR125" s="643"/>
      <c r="BS125" s="643"/>
      <c r="BT125" s="990"/>
      <c r="BU125" s="991"/>
      <c r="BV125" s="643"/>
      <c r="BW125" s="643"/>
      <c r="BX125" s="985"/>
      <c r="BZ125" s="650"/>
    </row>
    <row r="126" spans="1:78" ht="21" customHeight="1" x14ac:dyDescent="0.2">
      <c r="A126" s="833" t="s">
        <v>207</v>
      </c>
      <c r="B126" s="838" t="s">
        <v>8</v>
      </c>
      <c r="C126" s="833" t="s">
        <v>385</v>
      </c>
      <c r="D126" s="838">
        <v>1000</v>
      </c>
      <c r="E126" s="828" t="str">
        <f>IFERROR(VLOOKUP(A126,ContainerSchedule!$A:$E,5,0),"")</f>
        <v/>
      </c>
      <c r="F126" s="828"/>
      <c r="G126" s="828"/>
      <c r="H126" s="11">
        <f t="shared" si="80"/>
        <v>1000</v>
      </c>
      <c r="I126" s="944">
        <f t="shared" si="78"/>
        <v>0</v>
      </c>
      <c r="J126" s="948" cm="1">
        <f t="array" ref="J126">IFERROR(_xlfn.XLOOKUP(TRUE,$L126:$BY126&lt;&gt;"",$L126:$BY126,,0,-1),"")</f>
        <v>1000</v>
      </c>
      <c r="K126" s="946">
        <f t="shared" si="79"/>
        <v>46318</v>
      </c>
      <c r="P126" s="17"/>
      <c r="R126" s="181"/>
      <c r="S126" s="181"/>
      <c r="T126" s="18"/>
      <c r="W126" s="181"/>
      <c r="X126" s="181"/>
      <c r="Y126" s="247"/>
      <c r="Z126" s="137"/>
      <c r="AA126" s="12"/>
      <c r="AB126" s="137"/>
      <c r="AC126" s="989"/>
      <c r="AD126" s="643"/>
      <c r="AE126" s="643"/>
      <c r="AF126" s="985"/>
      <c r="AG126" s="643"/>
      <c r="AH126" s="643"/>
      <c r="AI126" s="643"/>
      <c r="AJ126" s="643"/>
      <c r="AK126" s="985"/>
      <c r="AL126" s="643"/>
      <c r="AM126" s="643"/>
      <c r="AN126" s="643"/>
      <c r="AO126" s="990"/>
      <c r="AP126" s="1005"/>
      <c r="AQ126" s="585"/>
      <c r="AR126" s="585"/>
      <c r="AS126" s="585"/>
      <c r="AT126" s="1004"/>
      <c r="AU126" s="1005"/>
      <c r="AV126" s="585"/>
      <c r="AW126" s="585"/>
      <c r="AX126" s="585"/>
      <c r="AY126" s="1005"/>
      <c r="AZ126" s="585"/>
      <c r="BA126" s="585"/>
      <c r="BB126" s="1004"/>
      <c r="BC126" s="585"/>
      <c r="BD126" s="585"/>
      <c r="BE126" s="585"/>
      <c r="BF126" s="585">
        <v>1000</v>
      </c>
      <c r="BG126" s="1004"/>
      <c r="BH126" s="991"/>
      <c r="BI126" s="643"/>
      <c r="BJ126" s="643"/>
      <c r="BK126" s="990"/>
      <c r="BL126" s="991"/>
      <c r="BM126" s="643"/>
      <c r="BN126" s="643"/>
      <c r="BO126" s="643"/>
      <c r="BP126" s="990"/>
      <c r="BQ126" s="991"/>
      <c r="BR126" s="643"/>
      <c r="BS126" s="643"/>
      <c r="BT126" s="990"/>
      <c r="BU126" s="991"/>
      <c r="BV126" s="643"/>
      <c r="BW126" s="643"/>
      <c r="BX126" s="985"/>
      <c r="BZ126" s="650"/>
    </row>
    <row r="127" spans="1:78" ht="21" customHeight="1" x14ac:dyDescent="0.2">
      <c r="A127" s="836" t="s">
        <v>371</v>
      </c>
      <c r="B127" s="632" t="s">
        <v>201</v>
      </c>
      <c r="C127" s="649" t="s">
        <v>829</v>
      </c>
      <c r="D127" s="632">
        <v>600</v>
      </c>
      <c r="E127" s="828">
        <f>IFERROR(VLOOKUP(A127,ContainerSchedule!$A:$E,5,0),"")</f>
        <v>46275</v>
      </c>
      <c r="F127" s="828">
        <f>VLOOKUP(A127,ContainerSchedule!$A$1:$F$91,6,0)</f>
        <v>46313</v>
      </c>
      <c r="G127" s="832">
        <v>46296</v>
      </c>
      <c r="H127" s="11">
        <f t="shared" si="80"/>
        <v>600</v>
      </c>
      <c r="I127" s="837">
        <f t="shared" si="78"/>
        <v>0</v>
      </c>
      <c r="J127" s="948" cm="1">
        <f t="array" ref="J127">IFERROR(_xlfn.XLOOKUP(TRUE,$L127:$BY127&lt;&gt;"",$L127:$BY127,,0,-1),"")</f>
        <v>600</v>
      </c>
      <c r="K127" s="946">
        <f t="shared" si="79"/>
        <v>46318</v>
      </c>
      <c r="P127" s="17"/>
      <c r="R127" s="181"/>
      <c r="S127" s="181"/>
      <c r="T127" s="18"/>
      <c r="W127" s="181"/>
      <c r="X127" s="181"/>
      <c r="Y127" s="247"/>
      <c r="Z127" s="137"/>
      <c r="AA127" s="12"/>
      <c r="AB127" s="137"/>
      <c r="AC127" s="989"/>
      <c r="AD127" s="643"/>
      <c r="AE127" s="643"/>
      <c r="AF127" s="985"/>
      <c r="AG127" s="643"/>
      <c r="AH127" s="643"/>
      <c r="AI127" s="643"/>
      <c r="AJ127" s="643"/>
      <c r="AK127" s="985"/>
      <c r="AL127" s="643"/>
      <c r="AM127" s="643"/>
      <c r="AN127" s="643"/>
      <c r="AO127" s="990"/>
      <c r="AP127" s="1005"/>
      <c r="AQ127" s="585"/>
      <c r="AR127" s="585"/>
      <c r="AS127" s="585"/>
      <c r="AT127" s="1004"/>
      <c r="AU127" s="1005"/>
      <c r="AV127" s="585"/>
      <c r="AW127" s="585"/>
      <c r="AX127" s="585"/>
      <c r="AY127" s="1005"/>
      <c r="AZ127" s="585"/>
      <c r="BA127" s="585"/>
      <c r="BB127" s="1004"/>
      <c r="BC127" s="585"/>
      <c r="BD127" s="585"/>
      <c r="BE127" s="585"/>
      <c r="BF127" s="966">
        <v>600</v>
      </c>
      <c r="BG127" s="1004"/>
      <c r="BH127" s="991"/>
      <c r="BI127" s="643"/>
      <c r="BJ127" s="643"/>
      <c r="BK127" s="990"/>
      <c r="BL127" s="991"/>
      <c r="BM127" s="643"/>
      <c r="BN127" s="643"/>
      <c r="BO127" s="643"/>
      <c r="BP127" s="990"/>
      <c r="BQ127" s="991"/>
      <c r="BR127" s="643"/>
      <c r="BS127" s="643"/>
      <c r="BT127" s="990"/>
      <c r="BU127" s="991"/>
      <c r="BV127" s="643"/>
      <c r="BW127" s="643"/>
      <c r="BX127" s="985"/>
      <c r="BZ127" s="650"/>
    </row>
    <row r="128" spans="1:78" ht="21" customHeight="1" x14ac:dyDescent="0.2">
      <c r="A128" s="1016" t="s">
        <v>736</v>
      </c>
      <c r="B128" s="632" t="s">
        <v>201</v>
      </c>
      <c r="C128" s="649" t="s">
        <v>392</v>
      </c>
      <c r="D128" s="632">
        <v>942</v>
      </c>
      <c r="E128" s="828" t="str">
        <f>IFERROR(VLOOKUP(A128,ContainerSchedule!$A:$E,5,0),"")</f>
        <v/>
      </c>
      <c r="F128" s="828" t="e">
        <f>VLOOKUP(A128,ContainerSchedule!$A$1:$F$91,6,0)</f>
        <v>#N/A</v>
      </c>
      <c r="G128" s="828">
        <v>46266</v>
      </c>
      <c r="H128" s="11">
        <f t="shared" si="80"/>
        <v>942</v>
      </c>
      <c r="I128" s="837">
        <f t="shared" si="78"/>
        <v>0</v>
      </c>
      <c r="J128" s="948" cm="1">
        <f t="array" ref="J128">IFERROR(_xlfn.XLOOKUP(TRUE,$L128:$BY128&lt;&gt;"",$L128:$BY128,,0,-1),"")</f>
        <v>942</v>
      </c>
      <c r="K128" s="946">
        <f t="shared" si="79"/>
        <v>46325</v>
      </c>
      <c r="P128" s="17"/>
      <c r="R128" s="181"/>
      <c r="S128" s="181"/>
      <c r="T128" s="18"/>
      <c r="W128" s="181"/>
      <c r="X128" s="181"/>
      <c r="Y128" s="247"/>
      <c r="Z128" s="137"/>
      <c r="AA128" s="12"/>
      <c r="AB128" s="137"/>
      <c r="AC128" s="989"/>
      <c r="AD128" s="643"/>
      <c r="AE128" s="643"/>
      <c r="AF128" s="985"/>
      <c r="AG128" s="643"/>
      <c r="AH128" s="643"/>
      <c r="AI128" s="643"/>
      <c r="AJ128" s="643"/>
      <c r="AK128" s="985"/>
      <c r="AL128" s="643"/>
      <c r="AM128" s="643"/>
      <c r="AN128" s="643"/>
      <c r="AO128" s="990"/>
      <c r="AP128" s="1005"/>
      <c r="AQ128" s="585"/>
      <c r="AR128" s="585"/>
      <c r="AS128" s="585"/>
      <c r="AT128" s="1004"/>
      <c r="AU128" s="1005"/>
      <c r="AV128" s="585"/>
      <c r="AW128" s="585"/>
      <c r="AX128" s="585"/>
      <c r="AY128" s="1005"/>
      <c r="AZ128" s="585"/>
      <c r="BA128" s="585"/>
      <c r="BB128" s="1004"/>
      <c r="BC128" s="585"/>
      <c r="BD128" s="585"/>
      <c r="BE128" s="585"/>
      <c r="BF128" s="585"/>
      <c r="BG128" s="1004">
        <v>942</v>
      </c>
      <c r="BH128" s="991"/>
      <c r="BI128" s="643"/>
      <c r="BJ128" s="643"/>
      <c r="BK128" s="990"/>
      <c r="BL128" s="991"/>
      <c r="BM128" s="643"/>
      <c r="BN128" s="643"/>
      <c r="BO128" s="643"/>
      <c r="BP128" s="990"/>
      <c r="BQ128" s="991"/>
      <c r="BR128" s="643"/>
      <c r="BS128" s="643"/>
      <c r="BT128" s="990"/>
      <c r="BU128" s="991"/>
      <c r="BV128" s="643"/>
      <c r="BW128" s="643"/>
      <c r="BX128" s="985"/>
      <c r="BZ128" s="650"/>
    </row>
    <row r="129" spans="1:78" ht="21" customHeight="1" x14ac:dyDescent="0.2">
      <c r="A129" s="834" t="s">
        <v>393</v>
      </c>
      <c r="B129" s="838" t="s">
        <v>4</v>
      </c>
      <c r="C129" s="833" t="s">
        <v>144</v>
      </c>
      <c r="D129" s="838">
        <v>4937</v>
      </c>
      <c r="E129" s="828" t="str">
        <f>IFERROR(VLOOKUP(A129,ContainerSchedule!$A:$E,5,0),"")</f>
        <v/>
      </c>
      <c r="F129" s="828">
        <v>46341</v>
      </c>
      <c r="G129" s="831">
        <v>46327</v>
      </c>
      <c r="H129" s="11">
        <f t="shared" si="80"/>
        <v>4937</v>
      </c>
      <c r="I129" s="944">
        <f t="shared" si="78"/>
        <v>0</v>
      </c>
      <c r="J129" s="948" cm="1">
        <f t="array" ref="J129">IFERROR(_xlfn.XLOOKUP(TRUE,$L129:$BY129&lt;&gt;"",$L129:$BY129,,0,-1),"")</f>
        <v>4537</v>
      </c>
      <c r="K129" s="946">
        <f t="shared" si="79"/>
        <v>46325</v>
      </c>
      <c r="P129" s="17"/>
      <c r="R129" s="181"/>
      <c r="S129" s="181"/>
      <c r="T129" s="18"/>
      <c r="W129" s="181"/>
      <c r="X129" s="181"/>
      <c r="Y129" s="247"/>
      <c r="Z129" s="137"/>
      <c r="AA129" s="12"/>
      <c r="AB129" s="137"/>
      <c r="AC129" s="989"/>
      <c r="AD129" s="643"/>
      <c r="AE129" s="643"/>
      <c r="AF129" s="985"/>
      <c r="AG129" s="643"/>
      <c r="AH129" s="643"/>
      <c r="AI129" s="643"/>
      <c r="AJ129" s="643"/>
      <c r="AK129" s="985"/>
      <c r="AL129" s="643"/>
      <c r="AM129" s="643"/>
      <c r="AN129" s="643"/>
      <c r="AO129" s="990"/>
      <c r="AP129" s="1005"/>
      <c r="AQ129" s="585"/>
      <c r="AR129" s="585"/>
      <c r="AS129" s="585"/>
      <c r="AT129" s="1004"/>
      <c r="AU129" s="1005"/>
      <c r="AV129" s="585"/>
      <c r="AW129" s="585"/>
      <c r="AX129" s="585"/>
      <c r="AY129" s="1005"/>
      <c r="AZ129" s="585"/>
      <c r="BA129" s="585"/>
      <c r="BB129" s="1004"/>
      <c r="BC129" s="585"/>
      <c r="BD129" s="585"/>
      <c r="BE129" s="585"/>
      <c r="BF129" s="585">
        <v>400</v>
      </c>
      <c r="BG129" s="1004">
        <v>4537</v>
      </c>
      <c r="BH129" s="991"/>
      <c r="BI129" s="643"/>
      <c r="BJ129" s="967"/>
      <c r="BK129" s="990"/>
      <c r="BL129" s="991"/>
      <c r="BM129" s="643"/>
      <c r="BN129" s="643"/>
      <c r="BO129" s="643"/>
      <c r="BP129" s="990"/>
      <c r="BQ129" s="991"/>
      <c r="BR129" s="643"/>
      <c r="BS129" s="643"/>
      <c r="BT129" s="990"/>
      <c r="BU129" s="991"/>
      <c r="BV129" s="643"/>
      <c r="BW129" s="643"/>
      <c r="BX129" s="985"/>
      <c r="BZ129" s="650"/>
    </row>
    <row r="130" spans="1:78" ht="21" customHeight="1" x14ac:dyDescent="0.2">
      <c r="A130" s="834" t="s">
        <v>393</v>
      </c>
      <c r="B130" s="838" t="s">
        <v>4</v>
      </c>
      <c r="C130" s="833" t="s">
        <v>177</v>
      </c>
      <c r="D130" s="838">
        <v>2489</v>
      </c>
      <c r="E130" s="828" t="str">
        <f>IFERROR(VLOOKUP(A130,ContainerSchedule!$A:$E,5,0),"")</f>
        <v/>
      </c>
      <c r="F130" s="828">
        <v>46341</v>
      </c>
      <c r="G130" s="831">
        <v>46327</v>
      </c>
      <c r="H130" s="11">
        <f t="shared" si="80"/>
        <v>2489</v>
      </c>
      <c r="I130" s="944">
        <f t="shared" si="78"/>
        <v>0</v>
      </c>
      <c r="J130" s="948" cm="1">
        <f t="array" ref="J130">IFERROR(_xlfn.XLOOKUP(TRUE,$L130:$BY130&lt;&gt;"",$L130:$BY130,,0,-1),"")</f>
        <v>2039</v>
      </c>
      <c r="K130" s="946">
        <f t="shared" si="79"/>
        <v>46332</v>
      </c>
      <c r="P130" s="17"/>
      <c r="R130" s="181"/>
      <c r="S130" s="181"/>
      <c r="T130" s="18"/>
      <c r="W130" s="181"/>
      <c r="X130" s="181"/>
      <c r="Y130" s="247"/>
      <c r="Z130" s="137"/>
      <c r="AA130" s="12"/>
      <c r="AB130" s="137"/>
      <c r="AC130" s="989"/>
      <c r="AD130" s="643"/>
      <c r="AE130" s="643"/>
      <c r="AF130" s="985"/>
      <c r="AG130" s="643"/>
      <c r="AH130" s="643"/>
      <c r="AI130" s="643"/>
      <c r="AJ130" s="643"/>
      <c r="AK130" s="985"/>
      <c r="AL130" s="643"/>
      <c r="AM130" s="643"/>
      <c r="AN130" s="643"/>
      <c r="AO130" s="990"/>
      <c r="AP130" s="1005"/>
      <c r="AQ130" s="585"/>
      <c r="AR130" s="585"/>
      <c r="AS130" s="585"/>
      <c r="AT130" s="1004"/>
      <c r="AU130" s="1005"/>
      <c r="AV130" s="585"/>
      <c r="AW130" s="585"/>
      <c r="AX130" s="585"/>
      <c r="AY130" s="1005"/>
      <c r="AZ130" s="585"/>
      <c r="BA130" s="585"/>
      <c r="BB130" s="1004"/>
      <c r="BC130" s="585"/>
      <c r="BD130" s="585"/>
      <c r="BE130" s="585"/>
      <c r="BF130" s="585"/>
      <c r="BG130" s="1004">
        <v>450</v>
      </c>
      <c r="BH130" s="1005">
        <v>2039</v>
      </c>
      <c r="BI130" s="643"/>
      <c r="BJ130" s="967"/>
      <c r="BK130" s="990"/>
      <c r="BL130" s="991"/>
      <c r="BM130" s="643"/>
      <c r="BN130" s="643"/>
      <c r="BO130" s="643"/>
      <c r="BP130" s="990"/>
      <c r="BQ130" s="991"/>
      <c r="BR130" s="643"/>
      <c r="BS130" s="643"/>
      <c r="BT130" s="990"/>
      <c r="BU130" s="991"/>
      <c r="BV130" s="643"/>
      <c r="BW130" s="643"/>
      <c r="BX130" s="985"/>
      <c r="BZ130" s="650"/>
    </row>
    <row r="131" spans="1:78" ht="21" customHeight="1" x14ac:dyDescent="0.2">
      <c r="A131" s="834" t="s">
        <v>393</v>
      </c>
      <c r="B131" s="838" t="s">
        <v>4</v>
      </c>
      <c r="C131" s="833" t="s">
        <v>807</v>
      </c>
      <c r="D131" s="838">
        <v>1000</v>
      </c>
      <c r="E131" s="828" t="str">
        <f>IFERROR(VLOOKUP(A131,ContainerSchedule!$A:$E,5,0),"")</f>
        <v/>
      </c>
      <c r="F131" s="828">
        <v>46341</v>
      </c>
      <c r="G131" s="831">
        <v>46327</v>
      </c>
      <c r="H131" s="11">
        <f t="shared" si="80"/>
        <v>1000</v>
      </c>
      <c r="I131" s="944">
        <f t="shared" si="78"/>
        <v>0</v>
      </c>
      <c r="J131" s="948" cm="1">
        <f t="array" ref="J131">IFERROR(_xlfn.XLOOKUP(TRUE,$L131:$BY131&lt;&gt;"",$L131:$BY131,,0,-1),"")</f>
        <v>1000</v>
      </c>
      <c r="K131" s="946">
        <f t="shared" si="79"/>
        <v>46332</v>
      </c>
      <c r="P131" s="17"/>
      <c r="R131" s="181"/>
      <c r="S131" s="181"/>
      <c r="T131" s="18"/>
      <c r="W131" s="181"/>
      <c r="X131" s="181"/>
      <c r="Y131" s="247"/>
      <c r="Z131" s="137"/>
      <c r="AA131" s="12"/>
      <c r="AB131" s="137"/>
      <c r="AC131" s="989"/>
      <c r="AD131" s="643"/>
      <c r="AE131" s="643"/>
      <c r="AF131" s="985"/>
      <c r="AG131" s="643"/>
      <c r="AH131" s="643"/>
      <c r="AI131" s="643"/>
      <c r="AJ131" s="643"/>
      <c r="AK131" s="985"/>
      <c r="AL131" s="643"/>
      <c r="AM131" s="643"/>
      <c r="AN131" s="643"/>
      <c r="AO131" s="990"/>
      <c r="AP131" s="991"/>
      <c r="AQ131" s="643"/>
      <c r="AR131" s="643"/>
      <c r="AS131" s="643"/>
      <c r="AT131" s="990"/>
      <c r="AU131" s="991"/>
      <c r="AV131" s="643"/>
      <c r="AW131" s="643"/>
      <c r="AX131" s="643"/>
      <c r="AY131" s="991"/>
      <c r="AZ131" s="643"/>
      <c r="BA131" s="643"/>
      <c r="BB131" s="990"/>
      <c r="BC131" s="585"/>
      <c r="BD131" s="585"/>
      <c r="BE131" s="585"/>
      <c r="BF131" s="585"/>
      <c r="BG131" s="1004"/>
      <c r="BH131" s="1005">
        <v>1000</v>
      </c>
      <c r="BI131" s="643"/>
      <c r="BJ131" s="967"/>
      <c r="BK131" s="990"/>
      <c r="BL131" s="991"/>
      <c r="BM131" s="643"/>
      <c r="BN131" s="643"/>
      <c r="BO131" s="643"/>
      <c r="BP131" s="990"/>
      <c r="BQ131" s="991"/>
      <c r="BR131" s="643"/>
      <c r="BS131" s="643"/>
      <c r="BT131" s="990"/>
      <c r="BU131" s="991"/>
      <c r="BV131" s="643"/>
      <c r="BW131" s="643"/>
      <c r="BX131" s="985"/>
      <c r="BZ131" s="650"/>
    </row>
    <row r="132" spans="1:78" ht="21" customHeight="1" x14ac:dyDescent="0.2">
      <c r="A132" s="834" t="s">
        <v>393</v>
      </c>
      <c r="B132" s="838" t="s">
        <v>4</v>
      </c>
      <c r="C132" s="833" t="s">
        <v>809</v>
      </c>
      <c r="D132" s="838">
        <v>847</v>
      </c>
      <c r="E132" s="828" t="str">
        <f>IFERROR(VLOOKUP(A132,ContainerSchedule!$A:$E,5,0),"")</f>
        <v/>
      </c>
      <c r="F132" s="828">
        <v>46341</v>
      </c>
      <c r="G132" s="831">
        <v>46327</v>
      </c>
      <c r="H132" s="11">
        <f t="shared" si="80"/>
        <v>847</v>
      </c>
      <c r="I132" s="944">
        <f t="shared" si="78"/>
        <v>0</v>
      </c>
      <c r="J132" s="948" cm="1">
        <f t="array" ref="J132">IFERROR(_xlfn.XLOOKUP(TRUE,$L132:$BY132&lt;&gt;"",$L132:$BY132,,0,-1),"")</f>
        <v>847</v>
      </c>
      <c r="K132" s="946">
        <f t="shared" si="79"/>
        <v>46332</v>
      </c>
      <c r="P132" s="17"/>
      <c r="R132" s="181"/>
      <c r="S132" s="181"/>
      <c r="T132" s="18"/>
      <c r="W132" s="181"/>
      <c r="X132" s="181"/>
      <c r="Y132" s="247"/>
      <c r="Z132" s="137"/>
      <c r="AA132" s="12"/>
      <c r="AB132" s="137"/>
      <c r="AC132" s="989"/>
      <c r="AD132" s="643"/>
      <c r="AE132" s="643"/>
      <c r="AF132" s="985"/>
      <c r="AG132" s="643"/>
      <c r="AH132" s="643"/>
      <c r="AI132" s="643"/>
      <c r="AJ132" s="643"/>
      <c r="AK132" s="985"/>
      <c r="AL132" s="643"/>
      <c r="AM132" s="643"/>
      <c r="AN132" s="643"/>
      <c r="AO132" s="990"/>
      <c r="AP132" s="991"/>
      <c r="AQ132" s="643"/>
      <c r="AR132" s="643"/>
      <c r="AS132" s="643"/>
      <c r="AT132" s="990"/>
      <c r="AU132" s="991"/>
      <c r="AV132" s="643"/>
      <c r="AW132" s="643"/>
      <c r="AX132" s="643"/>
      <c r="AY132" s="991"/>
      <c r="AZ132" s="643"/>
      <c r="BA132" s="643"/>
      <c r="BB132" s="990"/>
      <c r="BC132" s="585"/>
      <c r="BD132" s="585"/>
      <c r="BE132" s="585"/>
      <c r="BF132" s="585"/>
      <c r="BG132" s="1004"/>
      <c r="BH132" s="1005">
        <v>847</v>
      </c>
      <c r="BI132" s="643"/>
      <c r="BJ132" s="967"/>
      <c r="BK132" s="990"/>
      <c r="BL132" s="991"/>
      <c r="BM132" s="643"/>
      <c r="BN132" s="643"/>
      <c r="BO132" s="643"/>
      <c r="BP132" s="990"/>
      <c r="BQ132" s="991"/>
      <c r="BR132" s="643"/>
      <c r="BS132" s="643"/>
      <c r="BT132" s="990"/>
      <c r="BU132" s="991"/>
      <c r="BV132" s="643"/>
      <c r="BW132" s="643"/>
      <c r="BX132" s="985"/>
      <c r="BZ132" s="650"/>
    </row>
    <row r="133" spans="1:78" ht="21" customHeight="1" x14ac:dyDescent="0.2">
      <c r="A133" s="834" t="s">
        <v>393</v>
      </c>
      <c r="B133" s="838" t="s">
        <v>4</v>
      </c>
      <c r="C133" s="833" t="s">
        <v>281</v>
      </c>
      <c r="D133" s="838">
        <v>1576</v>
      </c>
      <c r="E133" s="828" t="str">
        <f>IFERROR(VLOOKUP(A133,ContainerSchedule!$A:$E,5,0),"")</f>
        <v/>
      </c>
      <c r="F133" s="828">
        <v>46341</v>
      </c>
      <c r="G133" s="831">
        <v>46327</v>
      </c>
      <c r="H133" s="11">
        <f t="shared" si="80"/>
        <v>1576</v>
      </c>
      <c r="I133" s="944">
        <f t="shared" si="78"/>
        <v>0</v>
      </c>
      <c r="J133" s="948" cm="1">
        <f t="array" ref="J133">IFERROR(_xlfn.XLOOKUP(TRUE,$L133:$BY133&lt;&gt;"",$L133:$BY133,,0,-1),"")</f>
        <v>476</v>
      </c>
      <c r="K133" s="946">
        <f t="shared" si="79"/>
        <v>46339</v>
      </c>
      <c r="P133" s="17"/>
      <c r="R133" s="181"/>
      <c r="S133" s="181"/>
      <c r="T133" s="18"/>
      <c r="W133" s="181"/>
      <c r="X133" s="181"/>
      <c r="Y133" s="247"/>
      <c r="Z133" s="137"/>
      <c r="AA133" s="12"/>
      <c r="AB133" s="137"/>
      <c r="AC133" s="989"/>
      <c r="AD133" s="643"/>
      <c r="AE133" s="643"/>
      <c r="AF133" s="985"/>
      <c r="AG133" s="643"/>
      <c r="AH133" s="643"/>
      <c r="AI133" s="643"/>
      <c r="AJ133" s="643"/>
      <c r="AK133" s="985"/>
      <c r="AL133" s="643"/>
      <c r="AM133" s="643"/>
      <c r="AN133" s="643"/>
      <c r="AO133" s="990"/>
      <c r="AP133" s="991"/>
      <c r="AQ133" s="643"/>
      <c r="AR133" s="643"/>
      <c r="AS133" s="643"/>
      <c r="AT133" s="990"/>
      <c r="AU133" s="991"/>
      <c r="AV133" s="643"/>
      <c r="AW133" s="643"/>
      <c r="AX133" s="643"/>
      <c r="AY133" s="991"/>
      <c r="AZ133" s="643"/>
      <c r="BA133" s="643"/>
      <c r="BB133" s="990"/>
      <c r="BC133" s="585"/>
      <c r="BD133" s="585"/>
      <c r="BE133" s="585"/>
      <c r="BF133" s="585"/>
      <c r="BG133" s="1004"/>
      <c r="BH133" s="1005">
        <v>1100</v>
      </c>
      <c r="BI133" s="643">
        <v>476</v>
      </c>
      <c r="BJ133" s="967"/>
      <c r="BK133" s="990"/>
      <c r="BL133" s="991"/>
      <c r="BM133" s="643"/>
      <c r="BN133" s="643"/>
      <c r="BO133" s="643"/>
      <c r="BP133" s="990"/>
      <c r="BQ133" s="991"/>
      <c r="BR133" s="643"/>
      <c r="BS133" s="643"/>
      <c r="BT133" s="990"/>
      <c r="BU133" s="991"/>
      <c r="BV133" s="643"/>
      <c r="BW133" s="643"/>
      <c r="BX133" s="985"/>
      <c r="BZ133" s="650"/>
    </row>
    <row r="134" spans="1:78" ht="21" customHeight="1" x14ac:dyDescent="0.2">
      <c r="A134" s="834" t="s">
        <v>393</v>
      </c>
      <c r="B134" s="838" t="s">
        <v>4</v>
      </c>
      <c r="C134" s="833" t="s">
        <v>287</v>
      </c>
      <c r="D134" s="838">
        <v>1447</v>
      </c>
      <c r="E134" s="828" t="str">
        <f>IFERROR(VLOOKUP(A134,ContainerSchedule!$A:$E,5,0),"")</f>
        <v/>
      </c>
      <c r="F134" s="828">
        <v>46341</v>
      </c>
      <c r="G134" s="831">
        <v>46327</v>
      </c>
      <c r="H134" s="11">
        <f t="shared" si="80"/>
        <v>1447</v>
      </c>
      <c r="I134" s="944">
        <f t="shared" ref="I134:I165" si="81">D134-H134</f>
        <v>0</v>
      </c>
      <c r="J134" s="948" cm="1">
        <f t="array" ref="J134">IFERROR(_xlfn.XLOOKUP(TRUE,$L134:$BY134&lt;&gt;"",$L134:$BY134,,0,-1),"")</f>
        <v>1447</v>
      </c>
      <c r="K134" s="946">
        <f t="shared" ref="K134:K152" si="82">IFERROR(INDEX($L$5:$BZ$5,MATCH($J134,$L134:$BZ134,0)),"")</f>
        <v>46339</v>
      </c>
      <c r="P134" s="17"/>
      <c r="R134" s="181"/>
      <c r="S134" s="181"/>
      <c r="T134" s="18"/>
      <c r="W134" s="181"/>
      <c r="X134" s="181"/>
      <c r="Y134" s="247"/>
      <c r="Z134" s="137"/>
      <c r="AA134" s="12"/>
      <c r="AB134" s="137"/>
      <c r="AC134" s="989"/>
      <c r="AD134" s="643"/>
      <c r="AE134" s="643"/>
      <c r="AF134" s="985"/>
      <c r="AG134" s="643"/>
      <c r="AH134" s="643"/>
      <c r="AI134" s="643"/>
      <c r="AJ134" s="643"/>
      <c r="AK134" s="985"/>
      <c r="AL134" s="643"/>
      <c r="AM134" s="643"/>
      <c r="AN134" s="643"/>
      <c r="AO134" s="990"/>
      <c r="AP134" s="991"/>
      <c r="AQ134" s="643"/>
      <c r="AR134" s="643"/>
      <c r="AS134" s="643"/>
      <c r="AT134" s="990"/>
      <c r="AU134" s="991"/>
      <c r="AV134" s="643"/>
      <c r="AW134" s="643"/>
      <c r="AX134" s="643"/>
      <c r="AY134" s="991"/>
      <c r="AZ134" s="643"/>
      <c r="BA134" s="643"/>
      <c r="BB134" s="990"/>
      <c r="BC134" s="585"/>
      <c r="BD134" s="585"/>
      <c r="BE134" s="585"/>
      <c r="BF134" s="585"/>
      <c r="BG134" s="1004"/>
      <c r="BH134" s="1005"/>
      <c r="BI134" s="585">
        <v>1447</v>
      </c>
      <c r="BJ134" s="975"/>
      <c r="BK134" s="990"/>
      <c r="BL134" s="991"/>
      <c r="BM134" s="643"/>
      <c r="BN134" s="643"/>
      <c r="BO134" s="643"/>
      <c r="BP134" s="990"/>
      <c r="BQ134" s="991"/>
      <c r="BR134" s="643"/>
      <c r="BS134" s="643"/>
      <c r="BT134" s="990"/>
      <c r="BU134" s="991"/>
      <c r="BV134" s="643"/>
      <c r="BW134" s="643"/>
      <c r="BX134" s="985"/>
      <c r="BZ134" s="650"/>
    </row>
    <row r="135" spans="1:78" ht="21" customHeight="1" x14ac:dyDescent="0.2">
      <c r="A135" s="834" t="s">
        <v>393</v>
      </c>
      <c r="B135" s="838" t="s">
        <v>4</v>
      </c>
      <c r="C135" s="833" t="s">
        <v>285</v>
      </c>
      <c r="D135" s="838">
        <v>1806</v>
      </c>
      <c r="E135" s="828" t="str">
        <f>IFERROR(VLOOKUP(A135,ContainerSchedule!$A:$E,5,0),"")</f>
        <v/>
      </c>
      <c r="F135" s="828">
        <v>46341</v>
      </c>
      <c r="G135" s="831">
        <v>46327</v>
      </c>
      <c r="H135" s="11">
        <f t="shared" si="80"/>
        <v>1806</v>
      </c>
      <c r="I135" s="944">
        <f t="shared" si="81"/>
        <v>0</v>
      </c>
      <c r="J135" s="948" cm="1">
        <f t="array" ref="J135">IFERROR(_xlfn.XLOOKUP(TRUE,$L135:$BY135&lt;&gt;"",$L135:$BY135,,0,-1),"")</f>
        <v>1806</v>
      </c>
      <c r="K135" s="946">
        <f t="shared" si="82"/>
        <v>46339</v>
      </c>
      <c r="P135" s="17"/>
      <c r="R135" s="181"/>
      <c r="S135" s="181"/>
      <c r="T135" s="18"/>
      <c r="W135" s="181"/>
      <c r="X135" s="181"/>
      <c r="Y135" s="247"/>
      <c r="Z135" s="137"/>
      <c r="AA135" s="12"/>
      <c r="AB135" s="137"/>
      <c r="AC135" s="989"/>
      <c r="AD135" s="643"/>
      <c r="AE135" s="643"/>
      <c r="AF135" s="985"/>
      <c r="AG135" s="643"/>
      <c r="AH135" s="643"/>
      <c r="AI135" s="643"/>
      <c r="AJ135" s="643"/>
      <c r="AK135" s="985"/>
      <c r="AL135" s="643"/>
      <c r="AM135" s="643"/>
      <c r="AN135" s="643"/>
      <c r="AO135" s="990"/>
      <c r="AP135" s="991"/>
      <c r="AQ135" s="643"/>
      <c r="AR135" s="643"/>
      <c r="AS135" s="643"/>
      <c r="AT135" s="990"/>
      <c r="AU135" s="991"/>
      <c r="AV135" s="643"/>
      <c r="AW135" s="643"/>
      <c r="AX135" s="643"/>
      <c r="AY135" s="991"/>
      <c r="AZ135" s="643"/>
      <c r="BA135" s="643"/>
      <c r="BB135" s="990"/>
      <c r="BC135" s="643"/>
      <c r="BD135" s="643"/>
      <c r="BE135" s="643"/>
      <c r="BF135" s="585"/>
      <c r="BG135" s="1004"/>
      <c r="BH135" s="1005"/>
      <c r="BI135" s="585">
        <v>1806</v>
      </c>
      <c r="BJ135" s="966"/>
      <c r="BK135" s="990"/>
      <c r="BL135" s="991"/>
      <c r="BM135" s="643"/>
      <c r="BN135" s="643"/>
      <c r="BO135" s="643"/>
      <c r="BP135" s="990"/>
      <c r="BQ135" s="991"/>
      <c r="BR135" s="643"/>
      <c r="BS135" s="643"/>
      <c r="BT135" s="990"/>
      <c r="BU135" s="991"/>
      <c r="BV135" s="643"/>
      <c r="BW135" s="643"/>
      <c r="BX135" s="985"/>
      <c r="BZ135" s="650"/>
    </row>
    <row r="136" spans="1:78" ht="21" customHeight="1" x14ac:dyDescent="0.2">
      <c r="A136" s="633" t="s">
        <v>374</v>
      </c>
      <c r="B136" s="632" t="s">
        <v>15</v>
      </c>
      <c r="C136" s="649" t="s">
        <v>820</v>
      </c>
      <c r="D136" s="632">
        <v>2964</v>
      </c>
      <c r="E136" s="828">
        <f>IFERROR(VLOOKUP(A136,ContainerSchedule!$A:$E,5,0),"")</f>
        <v>46295</v>
      </c>
      <c r="F136" s="828">
        <f>VLOOKUP(A136,ContainerSchedule!$A$1:$F$91,6,0)</f>
        <v>46333</v>
      </c>
      <c r="G136" s="828">
        <v>46342</v>
      </c>
      <c r="H136" s="11">
        <f t="shared" si="80"/>
        <v>2964</v>
      </c>
      <c r="I136" s="837">
        <f t="shared" si="81"/>
        <v>0</v>
      </c>
      <c r="J136" s="948" cm="1">
        <f t="array" ref="J136">IFERROR(_xlfn.XLOOKUP(TRUE,$L136:$BY136&lt;&gt;"",$L136:$BY136,,0,-1),"")</f>
        <v>2664</v>
      </c>
      <c r="K136" s="946">
        <f t="shared" si="82"/>
        <v>46346</v>
      </c>
      <c r="P136" s="17"/>
      <c r="R136" s="181"/>
      <c r="S136" s="181"/>
      <c r="T136" s="18"/>
      <c r="W136" s="181"/>
      <c r="X136" s="181"/>
      <c r="Y136" s="247"/>
      <c r="Z136" s="137"/>
      <c r="AA136" s="12"/>
      <c r="AB136" s="137"/>
      <c r="AC136" s="989"/>
      <c r="AD136" s="643"/>
      <c r="AE136" s="643"/>
      <c r="AF136" s="985"/>
      <c r="AG136" s="643"/>
      <c r="AH136" s="643"/>
      <c r="AI136" s="643"/>
      <c r="AJ136" s="643"/>
      <c r="AK136" s="985"/>
      <c r="AL136" s="643"/>
      <c r="AM136" s="643"/>
      <c r="AN136" s="643"/>
      <c r="AO136" s="990"/>
      <c r="AP136" s="991"/>
      <c r="AQ136" s="643"/>
      <c r="AR136" s="643"/>
      <c r="AS136" s="643"/>
      <c r="AT136" s="990"/>
      <c r="AU136" s="991"/>
      <c r="AV136" s="643"/>
      <c r="AW136" s="643"/>
      <c r="AX136" s="643"/>
      <c r="AY136" s="991"/>
      <c r="AZ136" s="643"/>
      <c r="BA136" s="643"/>
      <c r="BB136" s="990"/>
      <c r="BC136" s="643"/>
      <c r="BD136" s="643"/>
      <c r="BE136" s="643"/>
      <c r="BF136" s="643"/>
      <c r="BG136" s="990"/>
      <c r="BH136" s="1005"/>
      <c r="BI136" s="967">
        <v>300</v>
      </c>
      <c r="BJ136" s="643">
        <v>2664</v>
      </c>
      <c r="BK136" s="990"/>
      <c r="BL136" s="991"/>
      <c r="BM136" s="643"/>
      <c r="BN136" s="643"/>
      <c r="BO136" s="643"/>
      <c r="BP136" s="990"/>
      <c r="BQ136" s="991"/>
      <c r="BR136" s="643"/>
      <c r="BS136" s="643"/>
      <c r="BT136" s="990"/>
      <c r="BU136" s="991"/>
      <c r="BV136" s="643"/>
      <c r="BW136" s="643"/>
      <c r="BX136" s="985"/>
      <c r="BZ136" s="650"/>
    </row>
    <row r="137" spans="1:78" ht="21" customHeight="1" x14ac:dyDescent="0.2">
      <c r="A137" s="834" t="s">
        <v>385</v>
      </c>
      <c r="B137" s="838" t="s">
        <v>29</v>
      </c>
      <c r="C137" s="833" t="s">
        <v>311</v>
      </c>
      <c r="D137" s="838">
        <v>750</v>
      </c>
      <c r="E137" s="828" t="str">
        <f>IFERROR(VLOOKUP(A137,ContainerSchedule!$A:$E,5,0),"")</f>
        <v/>
      </c>
      <c r="F137" s="828">
        <v>46341</v>
      </c>
      <c r="G137" s="831" t="s">
        <v>394</v>
      </c>
      <c r="H137" s="11">
        <f t="shared" si="80"/>
        <v>750</v>
      </c>
      <c r="I137" s="944">
        <f t="shared" si="81"/>
        <v>0</v>
      </c>
      <c r="J137" s="948" cm="1">
        <f t="array" ref="J137">IFERROR(_xlfn.XLOOKUP(TRUE,$L137:$BY137&lt;&gt;"",$L137:$BY137,,0,-1),"")</f>
        <v>750</v>
      </c>
      <c r="K137" s="946">
        <f t="shared" si="82"/>
        <v>46346</v>
      </c>
      <c r="P137" s="17"/>
      <c r="R137" s="181"/>
      <c r="S137" s="181"/>
      <c r="T137" s="18"/>
      <c r="W137" s="181"/>
      <c r="X137" s="181"/>
      <c r="Y137" s="247"/>
      <c r="Z137" s="137"/>
      <c r="AA137" s="12"/>
      <c r="AB137" s="137"/>
      <c r="AC137" s="989"/>
      <c r="AD137" s="643"/>
      <c r="AE137" s="643"/>
      <c r="AF137" s="985"/>
      <c r="AG137" s="643"/>
      <c r="AH137" s="643"/>
      <c r="AI137" s="643"/>
      <c r="AJ137" s="643"/>
      <c r="AK137" s="985"/>
      <c r="AL137" s="643"/>
      <c r="AM137" s="643"/>
      <c r="AN137" s="643"/>
      <c r="AO137" s="990"/>
      <c r="AP137" s="991"/>
      <c r="AQ137" s="643"/>
      <c r="AR137" s="643"/>
      <c r="AS137" s="643"/>
      <c r="AT137" s="990"/>
      <c r="AU137" s="991"/>
      <c r="AV137" s="643"/>
      <c r="AW137" s="643"/>
      <c r="AX137" s="643"/>
      <c r="AY137" s="991"/>
      <c r="AZ137" s="643"/>
      <c r="BA137" s="643"/>
      <c r="BB137" s="990"/>
      <c r="BC137" s="643"/>
      <c r="BD137" s="643"/>
      <c r="BE137" s="643"/>
      <c r="BF137" s="643"/>
      <c r="BG137" s="990"/>
      <c r="BH137" s="1005"/>
      <c r="BI137" s="643"/>
      <c r="BJ137" s="967">
        <v>750</v>
      </c>
      <c r="BK137" s="990"/>
      <c r="BL137" s="991"/>
      <c r="BM137" s="643"/>
      <c r="BN137" s="643"/>
      <c r="BO137" s="643"/>
      <c r="BP137" s="990"/>
      <c r="BQ137" s="991"/>
      <c r="BR137" s="643"/>
      <c r="BS137" s="643"/>
      <c r="BT137" s="990"/>
      <c r="BU137" s="991"/>
      <c r="BV137" s="643"/>
      <c r="BW137" s="643"/>
      <c r="BX137" s="985"/>
      <c r="BZ137" s="650"/>
    </row>
    <row r="138" spans="1:78" ht="21" customHeight="1" x14ac:dyDescent="0.2">
      <c r="A138" s="834" t="s">
        <v>385</v>
      </c>
      <c r="B138" s="838" t="s">
        <v>8</v>
      </c>
      <c r="C138" s="833" t="s">
        <v>385</v>
      </c>
      <c r="D138" s="838">
        <v>1000</v>
      </c>
      <c r="E138" s="828" t="str">
        <f>IFERROR(VLOOKUP(A138,ContainerSchedule!$A:$E,5,0),"")</f>
        <v/>
      </c>
      <c r="F138" s="828">
        <v>46341</v>
      </c>
      <c r="G138" s="831" t="s">
        <v>394</v>
      </c>
      <c r="H138" s="11">
        <f t="shared" si="80"/>
        <v>1000</v>
      </c>
      <c r="I138" s="944">
        <f t="shared" si="81"/>
        <v>0</v>
      </c>
      <c r="J138" s="948" cm="1">
        <f t="array" ref="J138">IFERROR(_xlfn.XLOOKUP(TRUE,$L138:$BY138&lt;&gt;"",$L138:$BY138,,0,-1),"")</f>
        <v>1000</v>
      </c>
      <c r="K138" s="946">
        <f t="shared" si="82"/>
        <v>46353</v>
      </c>
      <c r="P138" s="17"/>
      <c r="R138" s="181"/>
      <c r="S138" s="181"/>
      <c r="T138" s="18"/>
      <c r="W138" s="181"/>
      <c r="X138" s="181"/>
      <c r="Y138" s="247"/>
      <c r="Z138" s="137"/>
      <c r="AA138" s="12"/>
      <c r="AB138" s="137"/>
      <c r="AC138" s="989"/>
      <c r="AD138" s="643"/>
      <c r="AE138" s="643"/>
      <c r="AF138" s="985"/>
      <c r="AG138" s="643"/>
      <c r="AH138" s="643"/>
      <c r="AI138" s="643"/>
      <c r="AJ138" s="643"/>
      <c r="AK138" s="985"/>
      <c r="AL138" s="643"/>
      <c r="AM138" s="643"/>
      <c r="AN138" s="643"/>
      <c r="AO138" s="990"/>
      <c r="AP138" s="991"/>
      <c r="AQ138" s="643"/>
      <c r="AR138" s="643"/>
      <c r="AS138" s="643"/>
      <c r="AT138" s="990"/>
      <c r="AU138" s="991"/>
      <c r="AV138" s="643"/>
      <c r="AW138" s="643"/>
      <c r="AX138" s="643"/>
      <c r="AY138" s="991"/>
      <c r="AZ138" s="643"/>
      <c r="BA138" s="643"/>
      <c r="BB138" s="990"/>
      <c r="BC138" s="643"/>
      <c r="BD138" s="643"/>
      <c r="BE138" s="643"/>
      <c r="BF138" s="643"/>
      <c r="BG138" s="990"/>
      <c r="BH138" s="991"/>
      <c r="BI138" s="643"/>
      <c r="BJ138" s="967"/>
      <c r="BK138" s="990">
        <v>1000</v>
      </c>
      <c r="BL138" s="991"/>
      <c r="BM138" s="643"/>
      <c r="BN138" s="643"/>
      <c r="BO138" s="643"/>
      <c r="BP138" s="990"/>
      <c r="BQ138" s="991"/>
      <c r="BR138" s="643"/>
      <c r="BS138" s="643"/>
      <c r="BT138" s="990"/>
      <c r="BU138" s="991"/>
      <c r="BV138" s="643"/>
      <c r="BW138" s="643"/>
      <c r="BX138" s="985"/>
      <c r="BZ138" s="650"/>
    </row>
    <row r="139" spans="1:78" ht="21" customHeight="1" x14ac:dyDescent="0.2">
      <c r="A139" s="834" t="s">
        <v>385</v>
      </c>
      <c r="B139" s="838" t="s">
        <v>201</v>
      </c>
      <c r="C139" s="833" t="s">
        <v>385</v>
      </c>
      <c r="D139" s="838">
        <v>300</v>
      </c>
      <c r="E139" s="828" t="str">
        <f>IFERROR(VLOOKUP(A139,ContainerSchedule!$A:$E,5,0),"")</f>
        <v/>
      </c>
      <c r="F139" s="828">
        <v>46341</v>
      </c>
      <c r="G139" s="831" t="s">
        <v>394</v>
      </c>
      <c r="H139" s="11">
        <f t="shared" si="80"/>
        <v>300</v>
      </c>
      <c r="I139" s="944">
        <f t="shared" si="81"/>
        <v>0</v>
      </c>
      <c r="J139" s="948" cm="1">
        <f t="array" ref="J139">IFERROR(_xlfn.XLOOKUP(TRUE,$L139:$BY139&lt;&gt;"",$L139:$BY139,,0,-1),"")</f>
        <v>300</v>
      </c>
      <c r="K139" s="946">
        <f t="shared" si="82"/>
        <v>46353</v>
      </c>
      <c r="P139" s="17"/>
      <c r="R139" s="181"/>
      <c r="S139" s="181"/>
      <c r="T139" s="18"/>
      <c r="W139" s="181"/>
      <c r="X139" s="181"/>
      <c r="Y139" s="247"/>
      <c r="Z139" s="137"/>
      <c r="AA139" s="12"/>
      <c r="AB139" s="137"/>
      <c r="AC139" s="989"/>
      <c r="AD139" s="643"/>
      <c r="AE139" s="643"/>
      <c r="AF139" s="985"/>
      <c r="AG139" s="643"/>
      <c r="AH139" s="643"/>
      <c r="AI139" s="643"/>
      <c r="AJ139" s="643"/>
      <c r="AK139" s="985"/>
      <c r="AL139" s="643"/>
      <c r="AM139" s="643"/>
      <c r="AN139" s="643"/>
      <c r="AO139" s="990"/>
      <c r="AP139" s="991"/>
      <c r="AQ139" s="643"/>
      <c r="AR139" s="643"/>
      <c r="AS139" s="643"/>
      <c r="AT139" s="990"/>
      <c r="AU139" s="991"/>
      <c r="AV139" s="643"/>
      <c r="AW139" s="643"/>
      <c r="AX139" s="643"/>
      <c r="AY139" s="991"/>
      <c r="AZ139" s="643"/>
      <c r="BA139" s="643"/>
      <c r="BB139" s="990"/>
      <c r="BC139" s="643"/>
      <c r="BD139" s="643"/>
      <c r="BE139" s="643"/>
      <c r="BF139" s="643"/>
      <c r="BG139" s="990"/>
      <c r="BH139" s="991"/>
      <c r="BI139" s="643"/>
      <c r="BJ139" s="967"/>
      <c r="BK139" s="990">
        <v>300</v>
      </c>
      <c r="BL139" s="991"/>
      <c r="BM139" s="643"/>
      <c r="BN139" s="643"/>
      <c r="BO139" s="643"/>
      <c r="BP139" s="990"/>
      <c r="BQ139" s="991"/>
      <c r="BR139" s="643"/>
      <c r="BS139" s="643"/>
      <c r="BT139" s="990"/>
      <c r="BU139" s="991"/>
      <c r="BV139" s="643"/>
      <c r="BW139" s="643"/>
      <c r="BX139" s="985"/>
      <c r="BZ139" s="650"/>
    </row>
    <row r="140" spans="1:78" ht="21" customHeight="1" x14ac:dyDescent="0.2">
      <c r="A140" s="834" t="s">
        <v>241</v>
      </c>
      <c r="B140" s="838" t="s">
        <v>4</v>
      </c>
      <c r="C140" s="833" t="s">
        <v>144</v>
      </c>
      <c r="D140" s="838">
        <v>3789</v>
      </c>
      <c r="E140" s="828" t="str">
        <f>IFERROR(VLOOKUP(A140,ContainerSchedule!$A:$E,5,0),"")</f>
        <v/>
      </c>
      <c r="F140" s="828">
        <v>46371</v>
      </c>
      <c r="G140" s="831">
        <v>46357</v>
      </c>
      <c r="H140" s="11">
        <f t="shared" si="80"/>
        <v>3789</v>
      </c>
      <c r="I140" s="944">
        <f t="shared" si="81"/>
        <v>0</v>
      </c>
      <c r="J140" s="948" cm="1">
        <f t="array" ref="J140">IFERROR(_xlfn.XLOOKUP(TRUE,$L140:$BY140&lt;&gt;"",$L140:$BY140,,0,-1),"")</f>
        <v>2089</v>
      </c>
      <c r="K140" s="946">
        <f t="shared" si="82"/>
        <v>46360</v>
      </c>
      <c r="P140" s="17"/>
      <c r="R140" s="181"/>
      <c r="S140" s="181"/>
      <c r="T140" s="18"/>
      <c r="W140" s="181"/>
      <c r="X140" s="181"/>
      <c r="Y140" s="247"/>
      <c r="Z140" s="137"/>
      <c r="AA140" s="12"/>
      <c r="AB140" s="137"/>
      <c r="AC140" s="989"/>
      <c r="AD140" s="643"/>
      <c r="AE140" s="643"/>
      <c r="AF140" s="985"/>
      <c r="AG140" s="643"/>
      <c r="AH140" s="643"/>
      <c r="AI140" s="643"/>
      <c r="AJ140" s="643"/>
      <c r="AK140" s="985"/>
      <c r="AL140" s="643"/>
      <c r="AM140" s="643"/>
      <c r="AN140" s="643"/>
      <c r="AO140" s="990"/>
      <c r="AP140" s="991"/>
      <c r="AQ140" s="643"/>
      <c r="AR140" s="643"/>
      <c r="AS140" s="643"/>
      <c r="AT140" s="990"/>
      <c r="AU140" s="991"/>
      <c r="AV140" s="643"/>
      <c r="AW140" s="643"/>
      <c r="AX140" s="643"/>
      <c r="AY140" s="991"/>
      <c r="AZ140" s="643"/>
      <c r="BA140" s="643"/>
      <c r="BB140" s="990"/>
      <c r="BC140" s="643"/>
      <c r="BD140" s="643"/>
      <c r="BE140" s="643"/>
      <c r="BF140" s="643"/>
      <c r="BG140" s="990"/>
      <c r="BH140" s="991"/>
      <c r="BI140" s="643"/>
      <c r="BJ140" s="643"/>
      <c r="BK140" s="990">
        <v>1700</v>
      </c>
      <c r="BL140" s="991">
        <v>2089</v>
      </c>
      <c r="BM140" s="643"/>
      <c r="BN140" s="967"/>
      <c r="BO140" s="643"/>
      <c r="BP140" s="990"/>
      <c r="BQ140" s="991"/>
      <c r="BR140" s="643"/>
      <c r="BS140" s="643"/>
      <c r="BT140" s="990"/>
      <c r="BU140" s="991"/>
      <c r="BV140" s="643"/>
      <c r="BW140" s="643"/>
      <c r="BX140" s="985"/>
      <c r="BZ140" s="650"/>
    </row>
    <row r="141" spans="1:78" ht="21" customHeight="1" x14ac:dyDescent="0.2">
      <c r="A141" s="834" t="s">
        <v>241</v>
      </c>
      <c r="B141" s="838" t="s">
        <v>4</v>
      </c>
      <c r="C141" s="833" t="s">
        <v>177</v>
      </c>
      <c r="D141" s="838">
        <v>1995</v>
      </c>
      <c r="E141" s="828" t="str">
        <f>IFERROR(VLOOKUP(A141,ContainerSchedule!$A:$E,5,0),"")</f>
        <v/>
      </c>
      <c r="F141" s="828">
        <v>46371</v>
      </c>
      <c r="G141" s="831">
        <v>46357</v>
      </c>
      <c r="H141" s="11">
        <f t="shared" si="80"/>
        <v>1995</v>
      </c>
      <c r="I141" s="944">
        <f t="shared" si="81"/>
        <v>0</v>
      </c>
      <c r="J141" s="948" cm="1">
        <f t="array" ref="J141">IFERROR(_xlfn.XLOOKUP(TRUE,$L141:$BY141&lt;&gt;"",$L141:$BY141,,0,-1),"")</f>
        <v>1995</v>
      </c>
      <c r="K141" s="946">
        <f t="shared" si="82"/>
        <v>46360</v>
      </c>
      <c r="P141" s="17"/>
      <c r="R141" s="181"/>
      <c r="S141" s="181"/>
      <c r="T141" s="18"/>
      <c r="W141" s="181"/>
      <c r="X141" s="181"/>
      <c r="Y141" s="247"/>
      <c r="Z141" s="137"/>
      <c r="AA141" s="12"/>
      <c r="AB141" s="137"/>
      <c r="AC141" s="989"/>
      <c r="AD141" s="643"/>
      <c r="AE141" s="643"/>
      <c r="AF141" s="985"/>
      <c r="AG141" s="643"/>
      <c r="AH141" s="643"/>
      <c r="AI141" s="643"/>
      <c r="AJ141" s="643"/>
      <c r="AK141" s="985"/>
      <c r="AL141" s="643"/>
      <c r="AM141" s="643"/>
      <c r="AN141" s="643"/>
      <c r="AO141" s="990"/>
      <c r="AP141" s="991"/>
      <c r="AQ141" s="643"/>
      <c r="AR141" s="643"/>
      <c r="AS141" s="643"/>
      <c r="AT141" s="990"/>
      <c r="AU141" s="991"/>
      <c r="AV141" s="643"/>
      <c r="AW141" s="643"/>
      <c r="AX141" s="643"/>
      <c r="AY141" s="991"/>
      <c r="AZ141" s="643"/>
      <c r="BA141" s="643"/>
      <c r="BB141" s="990"/>
      <c r="BC141" s="643"/>
      <c r="BD141" s="643"/>
      <c r="BE141" s="643"/>
      <c r="BF141" s="643"/>
      <c r="BG141" s="990"/>
      <c r="BH141" s="991"/>
      <c r="BI141" s="643"/>
      <c r="BJ141" s="643"/>
      <c r="BK141" s="990"/>
      <c r="BL141" s="991">
        <v>1995</v>
      </c>
      <c r="BM141" s="643"/>
      <c r="BN141" s="967"/>
      <c r="BO141" s="643"/>
      <c r="BP141" s="990"/>
      <c r="BQ141" s="991"/>
      <c r="BR141" s="643"/>
      <c r="BS141" s="643"/>
      <c r="BT141" s="990"/>
      <c r="BU141" s="991"/>
      <c r="BV141" s="643"/>
      <c r="BW141" s="643"/>
      <c r="BX141" s="985"/>
      <c r="BZ141" s="650"/>
    </row>
    <row r="142" spans="1:78" ht="21" customHeight="1" x14ac:dyDescent="0.2">
      <c r="A142" s="834" t="s">
        <v>241</v>
      </c>
      <c r="B142" s="838" t="s">
        <v>4</v>
      </c>
      <c r="C142" s="833" t="s">
        <v>807</v>
      </c>
      <c r="D142" s="838">
        <v>1100</v>
      </c>
      <c r="E142" s="828" t="str">
        <f>IFERROR(VLOOKUP(A142,ContainerSchedule!$A:$E,5,0),"")</f>
        <v/>
      </c>
      <c r="F142" s="828">
        <v>46371</v>
      </c>
      <c r="G142" s="831">
        <v>46357</v>
      </c>
      <c r="H142" s="11">
        <f t="shared" si="80"/>
        <v>1100</v>
      </c>
      <c r="I142" s="944">
        <f t="shared" si="81"/>
        <v>0</v>
      </c>
      <c r="J142" s="948" cm="1">
        <f t="array" ref="J142">IFERROR(_xlfn.XLOOKUP(TRUE,$L142:$BY142&lt;&gt;"",$L142:$BY142,,0,-1),"")</f>
        <v>300</v>
      </c>
      <c r="K142" s="946">
        <f t="shared" si="82"/>
        <v>46367</v>
      </c>
      <c r="P142" s="17"/>
      <c r="R142" s="181"/>
      <c r="S142" s="181"/>
      <c r="T142" s="18"/>
      <c r="W142" s="181"/>
      <c r="X142" s="181"/>
      <c r="Y142" s="247"/>
      <c r="Z142" s="137"/>
      <c r="AA142" s="12"/>
      <c r="AB142" s="137"/>
      <c r="AC142" s="989"/>
      <c r="AD142" s="643"/>
      <c r="AE142" s="643"/>
      <c r="AF142" s="985"/>
      <c r="AG142" s="643"/>
      <c r="AH142" s="643"/>
      <c r="AI142" s="643"/>
      <c r="AJ142" s="643"/>
      <c r="AK142" s="985"/>
      <c r="AL142" s="643"/>
      <c r="AM142" s="643"/>
      <c r="AN142" s="643"/>
      <c r="AO142" s="990"/>
      <c r="AP142" s="991"/>
      <c r="AQ142" s="643"/>
      <c r="AR142" s="643"/>
      <c r="AS142" s="643"/>
      <c r="AT142" s="990"/>
      <c r="AU142" s="991"/>
      <c r="AV142" s="643"/>
      <c r="AW142" s="643"/>
      <c r="AX142" s="643"/>
      <c r="AY142" s="991"/>
      <c r="AZ142" s="643"/>
      <c r="BA142" s="643"/>
      <c r="BB142" s="1004"/>
      <c r="BC142" s="643"/>
      <c r="BD142" s="643"/>
      <c r="BE142" s="643"/>
      <c r="BF142" s="643"/>
      <c r="BG142" s="990"/>
      <c r="BH142" s="991"/>
      <c r="BI142" s="643"/>
      <c r="BJ142" s="643"/>
      <c r="BK142" s="990"/>
      <c r="BL142" s="991">
        <v>800</v>
      </c>
      <c r="BM142" s="643">
        <v>300</v>
      </c>
      <c r="BN142" s="967"/>
      <c r="BO142" s="643"/>
      <c r="BP142" s="990"/>
      <c r="BQ142" s="991"/>
      <c r="BR142" s="643"/>
      <c r="BS142" s="643"/>
      <c r="BT142" s="990"/>
      <c r="BU142" s="991"/>
      <c r="BV142" s="643"/>
      <c r="BW142" s="643"/>
      <c r="BX142" s="985"/>
      <c r="BZ142" s="650"/>
    </row>
    <row r="143" spans="1:78" ht="21" customHeight="1" x14ac:dyDescent="0.2">
      <c r="A143" s="834" t="s">
        <v>241</v>
      </c>
      <c r="B143" s="838" t="s">
        <v>4</v>
      </c>
      <c r="C143" s="833" t="s">
        <v>281</v>
      </c>
      <c r="D143" s="838">
        <v>1232</v>
      </c>
      <c r="E143" s="828" t="str">
        <f>IFERROR(VLOOKUP(A143,ContainerSchedule!$A:$E,5,0),"")</f>
        <v/>
      </c>
      <c r="F143" s="828">
        <v>46371</v>
      </c>
      <c r="G143" s="831">
        <v>46357</v>
      </c>
      <c r="H143" s="11">
        <f t="shared" si="80"/>
        <v>1232</v>
      </c>
      <c r="I143" s="944">
        <f t="shared" si="81"/>
        <v>0</v>
      </c>
      <c r="J143" s="948" cm="1">
        <f t="array" ref="J143">IFERROR(_xlfn.XLOOKUP(TRUE,$L143:$BY143&lt;&gt;"",$L143:$BY143,,0,-1),"")</f>
        <v>1232</v>
      </c>
      <c r="K143" s="946">
        <f t="shared" si="82"/>
        <v>46367</v>
      </c>
      <c r="P143" s="17"/>
      <c r="R143" s="181"/>
      <c r="S143" s="181"/>
      <c r="T143" s="18"/>
      <c r="W143" s="181"/>
      <c r="X143" s="181"/>
      <c r="Y143" s="247"/>
      <c r="Z143" s="137"/>
      <c r="AA143" s="12"/>
      <c r="AB143" s="137"/>
      <c r="AC143" s="989"/>
      <c r="AD143" s="643"/>
      <c r="AE143" s="643"/>
      <c r="AF143" s="985"/>
      <c r="AG143" s="643"/>
      <c r="AH143" s="643"/>
      <c r="AI143" s="643"/>
      <c r="AJ143" s="643"/>
      <c r="AK143" s="985"/>
      <c r="AL143" s="643"/>
      <c r="AM143" s="643"/>
      <c r="AN143" s="643"/>
      <c r="AO143" s="990"/>
      <c r="AP143" s="991"/>
      <c r="AQ143" s="643"/>
      <c r="AR143" s="643"/>
      <c r="AS143" s="643"/>
      <c r="AT143" s="990"/>
      <c r="AU143" s="991"/>
      <c r="AV143" s="643"/>
      <c r="AW143" s="643"/>
      <c r="AX143" s="643"/>
      <c r="AY143" s="991"/>
      <c r="AZ143" s="643"/>
      <c r="BA143" s="643"/>
      <c r="BB143" s="1004"/>
      <c r="BC143" s="643"/>
      <c r="BD143" s="643"/>
      <c r="BE143" s="643"/>
      <c r="BF143" s="643"/>
      <c r="BG143" s="990"/>
      <c r="BH143" s="991"/>
      <c r="BI143" s="643"/>
      <c r="BJ143" s="643"/>
      <c r="BK143" s="990"/>
      <c r="BL143" s="991"/>
      <c r="BM143" s="643">
        <v>1232</v>
      </c>
      <c r="BN143" s="967"/>
      <c r="BO143" s="643"/>
      <c r="BP143" s="990"/>
      <c r="BQ143" s="991"/>
      <c r="BR143" s="643"/>
      <c r="BS143" s="643"/>
      <c r="BT143" s="990"/>
      <c r="BU143" s="991"/>
      <c r="BV143" s="643"/>
      <c r="BW143" s="643"/>
      <c r="BX143" s="985"/>
      <c r="BZ143" s="650"/>
    </row>
    <row r="144" spans="1:78" ht="21" customHeight="1" x14ac:dyDescent="0.2">
      <c r="A144" s="834" t="s">
        <v>241</v>
      </c>
      <c r="B144" s="838" t="s">
        <v>4</v>
      </c>
      <c r="C144" s="833" t="s">
        <v>278</v>
      </c>
      <c r="D144" s="838">
        <v>600</v>
      </c>
      <c r="E144" s="828" t="str">
        <f>IFERROR(VLOOKUP(A144,ContainerSchedule!$A:$E,5,0),"")</f>
        <v/>
      </c>
      <c r="F144" s="828">
        <v>46371</v>
      </c>
      <c r="G144" s="831">
        <v>46357</v>
      </c>
      <c r="H144" s="11">
        <f t="shared" si="80"/>
        <v>600</v>
      </c>
      <c r="I144" s="944">
        <f t="shared" si="81"/>
        <v>0</v>
      </c>
      <c r="J144" s="948" cm="1">
        <f t="array" ref="J144">IFERROR(_xlfn.XLOOKUP(TRUE,$L144:$BY144&lt;&gt;"",$L144:$BY144,,0,-1),"")</f>
        <v>600</v>
      </c>
      <c r="K144" s="946">
        <f t="shared" si="82"/>
        <v>46367</v>
      </c>
      <c r="P144" s="17"/>
      <c r="R144" s="181"/>
      <c r="S144" s="181"/>
      <c r="T144" s="18"/>
      <c r="W144" s="181"/>
      <c r="X144" s="181"/>
      <c r="Y144" s="247"/>
      <c r="Z144" s="137"/>
      <c r="AA144" s="12"/>
      <c r="AB144" s="137"/>
      <c r="AC144" s="989"/>
      <c r="AD144" s="643"/>
      <c r="AE144" s="643"/>
      <c r="AF144" s="985"/>
      <c r="AG144" s="643"/>
      <c r="AH144" s="643"/>
      <c r="AI144" s="643"/>
      <c r="AJ144" s="643"/>
      <c r="AK144" s="985"/>
      <c r="AL144" s="643"/>
      <c r="AM144" s="643"/>
      <c r="AN144" s="643"/>
      <c r="AO144" s="990"/>
      <c r="AP144" s="991"/>
      <c r="AQ144" s="643"/>
      <c r="AR144" s="643"/>
      <c r="AS144" s="643"/>
      <c r="AT144" s="990"/>
      <c r="AU144" s="991"/>
      <c r="AV144" s="643"/>
      <c r="AW144" s="643"/>
      <c r="AX144" s="643"/>
      <c r="AY144" s="991"/>
      <c r="AZ144" s="643"/>
      <c r="BA144" s="643"/>
      <c r="BB144" s="1004"/>
      <c r="BC144" s="643"/>
      <c r="BD144" s="643"/>
      <c r="BE144" s="643"/>
      <c r="BF144" s="643"/>
      <c r="BG144" s="990"/>
      <c r="BH144" s="991"/>
      <c r="BI144" s="643"/>
      <c r="BJ144" s="643"/>
      <c r="BK144" s="990"/>
      <c r="BL144" s="991"/>
      <c r="BM144" s="643">
        <v>600</v>
      </c>
      <c r="BN144" s="967"/>
      <c r="BO144" s="643"/>
      <c r="BP144" s="990"/>
      <c r="BQ144" s="991"/>
      <c r="BR144" s="643"/>
      <c r="BS144" s="643"/>
      <c r="BT144" s="990"/>
      <c r="BU144" s="991"/>
      <c r="BV144" s="643"/>
      <c r="BW144" s="643"/>
      <c r="BX144" s="985"/>
      <c r="BZ144" s="650"/>
    </row>
    <row r="145" spans="1:78" ht="21" customHeight="1" x14ac:dyDescent="0.2">
      <c r="A145" s="834" t="s">
        <v>241</v>
      </c>
      <c r="B145" s="838" t="s">
        <v>4</v>
      </c>
      <c r="C145" s="833" t="s">
        <v>287</v>
      </c>
      <c r="D145" s="838">
        <v>1098</v>
      </c>
      <c r="E145" s="828" t="str">
        <f>IFERROR(VLOOKUP(A145,ContainerSchedule!$A:$E,5,0),"")</f>
        <v/>
      </c>
      <c r="F145" s="828">
        <v>46371</v>
      </c>
      <c r="G145" s="831">
        <v>46357</v>
      </c>
      <c r="H145" s="11">
        <f t="shared" si="80"/>
        <v>1098</v>
      </c>
      <c r="I145" s="944">
        <f t="shared" si="81"/>
        <v>0</v>
      </c>
      <c r="J145" s="948" cm="1">
        <f t="array" ref="J145">IFERROR(_xlfn.XLOOKUP(TRUE,$L145:$BY145&lt;&gt;"",$L145:$BY145,,0,-1),"")</f>
        <v>1098</v>
      </c>
      <c r="K145" s="946">
        <f t="shared" si="82"/>
        <v>46367</v>
      </c>
      <c r="P145" s="17"/>
      <c r="R145" s="181"/>
      <c r="S145" s="181"/>
      <c r="T145" s="18"/>
      <c r="W145" s="181"/>
      <c r="X145" s="181"/>
      <c r="Y145" s="247"/>
      <c r="Z145" s="137"/>
      <c r="AA145" s="12"/>
      <c r="AB145" s="137"/>
      <c r="AC145" s="989"/>
      <c r="AD145" s="643"/>
      <c r="AE145" s="643"/>
      <c r="AF145" s="985"/>
      <c r="AG145" s="643"/>
      <c r="AH145" s="643"/>
      <c r="AI145" s="643"/>
      <c r="AJ145" s="643"/>
      <c r="AK145" s="985"/>
      <c r="AL145" s="643"/>
      <c r="AM145" s="643"/>
      <c r="AN145" s="643"/>
      <c r="AO145" s="990"/>
      <c r="AP145" s="991"/>
      <c r="AQ145" s="643"/>
      <c r="AR145" s="643"/>
      <c r="AS145" s="643"/>
      <c r="AT145" s="990"/>
      <c r="AU145" s="991"/>
      <c r="AV145" s="643"/>
      <c r="AW145" s="643"/>
      <c r="AX145" s="643"/>
      <c r="AY145" s="991"/>
      <c r="AZ145" s="643"/>
      <c r="BA145" s="643"/>
      <c r="BB145" s="1004"/>
      <c r="BC145" s="643"/>
      <c r="BD145" s="643"/>
      <c r="BE145" s="643"/>
      <c r="BF145" s="643"/>
      <c r="BG145" s="990"/>
      <c r="BH145" s="991"/>
      <c r="BI145" s="643"/>
      <c r="BJ145" s="643"/>
      <c r="BK145" s="990"/>
      <c r="BL145" s="991"/>
      <c r="BM145" s="643">
        <v>1098</v>
      </c>
      <c r="BN145" s="967"/>
      <c r="BO145" s="643"/>
      <c r="BP145" s="990"/>
      <c r="BQ145" s="991"/>
      <c r="BR145" s="643"/>
      <c r="BS145" s="643"/>
      <c r="BT145" s="990"/>
      <c r="BU145" s="991"/>
      <c r="BV145" s="643"/>
      <c r="BW145" s="643"/>
      <c r="BX145" s="985"/>
      <c r="BZ145" s="650"/>
    </row>
    <row r="146" spans="1:78" ht="21" customHeight="1" x14ac:dyDescent="0.2">
      <c r="A146" s="834" t="s">
        <v>241</v>
      </c>
      <c r="B146" s="838" t="s">
        <v>4</v>
      </c>
      <c r="C146" s="833" t="s">
        <v>285</v>
      </c>
      <c r="D146" s="838">
        <v>1373</v>
      </c>
      <c r="E146" s="828" t="str">
        <f>IFERROR(VLOOKUP(A146,ContainerSchedule!$A:$E,5,0),"")</f>
        <v/>
      </c>
      <c r="F146" s="828">
        <v>46371</v>
      </c>
      <c r="G146" s="831">
        <v>46357</v>
      </c>
      <c r="H146" s="11">
        <f t="shared" si="80"/>
        <v>1373</v>
      </c>
      <c r="I146" s="944">
        <f t="shared" si="81"/>
        <v>0</v>
      </c>
      <c r="J146" s="948" cm="1">
        <f t="array" ref="J146">IFERROR(_xlfn.XLOOKUP(TRUE,$L146:$BY146&lt;&gt;"",$L146:$BY146,,0,-1),"")</f>
        <v>1373</v>
      </c>
      <c r="K146" s="946">
        <f t="shared" si="82"/>
        <v>46367</v>
      </c>
      <c r="P146" s="17"/>
      <c r="R146" s="181"/>
      <c r="S146" s="181"/>
      <c r="T146" s="18"/>
      <c r="W146" s="181"/>
      <c r="X146" s="181"/>
      <c r="Y146" s="247"/>
      <c r="Z146" s="137"/>
      <c r="AA146" s="12"/>
      <c r="AB146" s="137"/>
      <c r="AC146" s="989"/>
      <c r="AD146" s="643"/>
      <c r="AE146" s="643"/>
      <c r="AF146" s="985"/>
      <c r="AG146" s="643"/>
      <c r="AH146" s="643"/>
      <c r="AI146" s="643"/>
      <c r="AJ146" s="643"/>
      <c r="AK146" s="985"/>
      <c r="AL146" s="643"/>
      <c r="AM146" s="643"/>
      <c r="AN146" s="643"/>
      <c r="AO146" s="990"/>
      <c r="AP146" s="991"/>
      <c r="AQ146" s="643"/>
      <c r="AR146" s="643"/>
      <c r="AS146" s="643"/>
      <c r="AT146" s="990"/>
      <c r="AU146" s="991"/>
      <c r="AV146" s="643"/>
      <c r="AW146" s="643"/>
      <c r="AX146" s="643"/>
      <c r="AY146" s="991"/>
      <c r="AZ146" s="643"/>
      <c r="BA146" s="643"/>
      <c r="BB146" s="1004"/>
      <c r="BC146" s="643"/>
      <c r="BD146" s="643"/>
      <c r="BE146" s="643"/>
      <c r="BF146" s="643"/>
      <c r="BG146" s="990"/>
      <c r="BH146" s="991"/>
      <c r="BI146" s="643"/>
      <c r="BJ146" s="643"/>
      <c r="BK146" s="990"/>
      <c r="BL146" s="991"/>
      <c r="BM146" s="643">
        <v>1373</v>
      </c>
      <c r="BN146" s="967"/>
      <c r="BO146" s="643"/>
      <c r="BP146" s="990"/>
      <c r="BQ146" s="991"/>
      <c r="BR146" s="643"/>
      <c r="BS146" s="643"/>
      <c r="BT146" s="990"/>
      <c r="BU146" s="991"/>
      <c r="BV146" s="643"/>
      <c r="BW146" s="643"/>
      <c r="BX146" s="985"/>
      <c r="BZ146" s="650"/>
    </row>
    <row r="147" spans="1:78" ht="21" customHeight="1" x14ac:dyDescent="0.2">
      <c r="A147" s="841" t="s">
        <v>375</v>
      </c>
      <c r="B147" s="632" t="s">
        <v>15</v>
      </c>
      <c r="C147" s="649" t="s">
        <v>820</v>
      </c>
      <c r="D147" s="632">
        <v>2460</v>
      </c>
      <c r="E147" s="828">
        <f>IFERROR(VLOOKUP(A147,ContainerSchedule!$A:$E,5,0),"")</f>
        <v>46310</v>
      </c>
      <c r="F147" s="828">
        <f>VLOOKUP(A147,ContainerSchedule!$A$1:$F$91,6,0)</f>
        <v>46348</v>
      </c>
      <c r="G147" s="828">
        <v>46367</v>
      </c>
      <c r="H147" s="11">
        <f t="shared" ref="H147:H152" si="83">SUM(L147:BX147)</f>
        <v>2460</v>
      </c>
      <c r="I147" s="837">
        <f t="shared" si="81"/>
        <v>0</v>
      </c>
      <c r="J147" s="948" cm="1">
        <f t="array" ref="J147">IFERROR(_xlfn.XLOOKUP(TRUE,$L147:$BY147&lt;&gt;"",$L147:$BY147,,0,-1),"")</f>
        <v>2400</v>
      </c>
      <c r="K147" s="946">
        <f t="shared" si="82"/>
        <v>46374</v>
      </c>
      <c r="P147" s="17"/>
      <c r="R147" s="181"/>
      <c r="S147" s="181"/>
      <c r="T147" s="18"/>
      <c r="W147" s="181"/>
      <c r="X147" s="181"/>
      <c r="Y147" s="247"/>
      <c r="Z147" s="137"/>
      <c r="AA147" s="12"/>
      <c r="AB147" s="137"/>
      <c r="AC147" s="989"/>
      <c r="AD147" s="643"/>
      <c r="AE147" s="643"/>
      <c r="AF147" s="985"/>
      <c r="AG147" s="643"/>
      <c r="AH147" s="643"/>
      <c r="AI147" s="643"/>
      <c r="AJ147" s="643"/>
      <c r="AK147" s="985"/>
      <c r="AL147" s="643"/>
      <c r="AM147" s="643"/>
      <c r="AN147" s="643"/>
      <c r="AO147" s="990"/>
      <c r="AP147" s="991"/>
      <c r="AQ147" s="643"/>
      <c r="AR147" s="643"/>
      <c r="AS147" s="643"/>
      <c r="AT147" s="990"/>
      <c r="AU147" s="991"/>
      <c r="AV147" s="643"/>
      <c r="AW147" s="643"/>
      <c r="AX147" s="643"/>
      <c r="AY147" s="991"/>
      <c r="AZ147" s="643"/>
      <c r="BA147" s="643"/>
      <c r="BB147" s="990"/>
      <c r="BC147" s="643"/>
      <c r="BD147" s="643"/>
      <c r="BE147" s="643"/>
      <c r="BF147" s="643"/>
      <c r="BG147" s="990"/>
      <c r="BH147" s="991"/>
      <c r="BI147" s="643"/>
      <c r="BJ147" s="643"/>
      <c r="BK147" s="976"/>
      <c r="BL147" s="991"/>
      <c r="BM147" s="643">
        <v>60</v>
      </c>
      <c r="BN147" s="643">
        <v>2400</v>
      </c>
      <c r="BO147" s="643"/>
      <c r="BP147" s="990"/>
      <c r="BQ147" s="991"/>
      <c r="BR147" s="643"/>
      <c r="BS147" s="643"/>
      <c r="BT147" s="990"/>
      <c r="BU147" s="991"/>
      <c r="BV147" s="643"/>
      <c r="BW147" s="643"/>
      <c r="BX147" s="985"/>
      <c r="BZ147" s="650"/>
    </row>
    <row r="148" spans="1:78" ht="21" customHeight="1" x14ac:dyDescent="0.2">
      <c r="A148" s="833" t="s">
        <v>207</v>
      </c>
      <c r="B148" s="838" t="s">
        <v>29</v>
      </c>
      <c r="C148" s="833" t="s">
        <v>311</v>
      </c>
      <c r="D148" s="838">
        <v>750</v>
      </c>
      <c r="E148" s="828" t="str">
        <f>IFERROR(VLOOKUP(A148,ContainerSchedule!$A:$E,5,0),"")</f>
        <v/>
      </c>
      <c r="F148" s="828">
        <v>46386</v>
      </c>
      <c r="G148" s="831">
        <f>+G140</f>
        <v>46357</v>
      </c>
      <c r="H148" s="11">
        <f t="shared" si="83"/>
        <v>750</v>
      </c>
      <c r="I148" s="944">
        <f t="shared" si="81"/>
        <v>0</v>
      </c>
      <c r="J148" s="948" cm="1">
        <f t="array" ref="J148">IFERROR(_xlfn.XLOOKUP(TRUE,$L148:$BY148&lt;&gt;"",$L148:$BY148,,0,-1),"")</f>
        <v>150</v>
      </c>
      <c r="K148" s="946">
        <f t="shared" si="82"/>
        <v>46381</v>
      </c>
      <c r="P148" s="17"/>
      <c r="R148" s="181"/>
      <c r="S148" s="181"/>
      <c r="T148" s="18"/>
      <c r="W148" s="181"/>
      <c r="X148" s="181"/>
      <c r="Y148" s="247"/>
      <c r="Z148" s="137"/>
      <c r="AA148" s="12"/>
      <c r="AB148" s="137"/>
      <c r="AC148" s="989"/>
      <c r="AD148" s="643"/>
      <c r="AE148" s="643"/>
      <c r="AF148" s="985"/>
      <c r="AG148" s="643"/>
      <c r="AH148" s="643"/>
      <c r="AI148" s="643"/>
      <c r="AJ148" s="643"/>
      <c r="AK148" s="985"/>
      <c r="AL148" s="643"/>
      <c r="AM148" s="643"/>
      <c r="AN148" s="643"/>
      <c r="AO148" s="990"/>
      <c r="AP148" s="991"/>
      <c r="AQ148" s="643"/>
      <c r="AR148" s="643"/>
      <c r="AS148" s="643"/>
      <c r="AT148" s="990"/>
      <c r="AU148" s="991"/>
      <c r="AV148" s="643"/>
      <c r="AW148" s="643"/>
      <c r="AX148" s="643"/>
      <c r="AY148" s="991"/>
      <c r="AZ148" s="643"/>
      <c r="BA148" s="643"/>
      <c r="BB148" s="990"/>
      <c r="BC148" s="643"/>
      <c r="BD148" s="643"/>
      <c r="BE148" s="643"/>
      <c r="BF148" s="643"/>
      <c r="BG148" s="990"/>
      <c r="BH148" s="991"/>
      <c r="BI148" s="643"/>
      <c r="BJ148" s="643"/>
      <c r="BK148" s="990"/>
      <c r="BL148" s="991"/>
      <c r="BM148" s="643"/>
      <c r="BN148" s="585">
        <v>600</v>
      </c>
      <c r="BO148" s="643">
        <v>150</v>
      </c>
      <c r="BP148" s="976"/>
      <c r="BQ148" s="991"/>
      <c r="BR148" s="643"/>
      <c r="BS148" s="643"/>
      <c r="BT148" s="990"/>
      <c r="BU148" s="991"/>
      <c r="BV148" s="643"/>
      <c r="BW148" s="643"/>
      <c r="BX148" s="985"/>
      <c r="BZ148" s="650"/>
    </row>
    <row r="149" spans="1:78" ht="21" customHeight="1" x14ac:dyDescent="0.2">
      <c r="A149" s="834" t="s">
        <v>207</v>
      </c>
      <c r="B149" s="838" t="s">
        <v>8</v>
      </c>
      <c r="C149" s="833" t="s">
        <v>385</v>
      </c>
      <c r="D149" s="838">
        <v>1000</v>
      </c>
      <c r="E149" s="828" t="str">
        <f>IFERROR(VLOOKUP(A149,ContainerSchedule!$A:$E,5,0),"")</f>
        <v/>
      </c>
      <c r="F149" s="828">
        <v>46386</v>
      </c>
      <c r="G149" s="828"/>
      <c r="H149" s="11">
        <f t="shared" si="83"/>
        <v>1000</v>
      </c>
      <c r="I149" s="944">
        <f t="shared" si="81"/>
        <v>0</v>
      </c>
      <c r="J149" s="948" cm="1">
        <f t="array" ref="J149">IFERROR(_xlfn.XLOOKUP(TRUE,$L149:$BY149&lt;&gt;"",$L149:$BY149,,0,-1),"")</f>
        <v>1000</v>
      </c>
      <c r="K149" s="946">
        <f t="shared" si="82"/>
        <v>46381</v>
      </c>
      <c r="P149" s="17"/>
      <c r="R149" s="181"/>
      <c r="S149" s="181"/>
      <c r="T149" s="18"/>
      <c r="W149" s="181"/>
      <c r="X149" s="181"/>
      <c r="Y149" s="247"/>
      <c r="Z149" s="137"/>
      <c r="AA149" s="12"/>
      <c r="AB149" s="137"/>
      <c r="AC149" s="989"/>
      <c r="AD149" s="643"/>
      <c r="AE149" s="643"/>
      <c r="AF149" s="985"/>
      <c r="AG149" s="643"/>
      <c r="AH149" s="643"/>
      <c r="AI149" s="643"/>
      <c r="AJ149" s="643"/>
      <c r="AK149" s="985"/>
      <c r="AL149" s="643"/>
      <c r="AM149" s="643"/>
      <c r="AN149" s="643"/>
      <c r="AO149" s="990"/>
      <c r="AP149" s="991"/>
      <c r="AQ149" s="643"/>
      <c r="AR149" s="643"/>
      <c r="AS149" s="643"/>
      <c r="AT149" s="990"/>
      <c r="AU149" s="991"/>
      <c r="AV149" s="643"/>
      <c r="AW149" s="643"/>
      <c r="AX149" s="643"/>
      <c r="AY149" s="991"/>
      <c r="AZ149" s="643"/>
      <c r="BA149" s="643"/>
      <c r="BB149" s="990"/>
      <c r="BC149" s="643"/>
      <c r="BD149" s="643"/>
      <c r="BE149" s="643"/>
      <c r="BF149" s="643"/>
      <c r="BG149" s="990"/>
      <c r="BH149" s="991"/>
      <c r="BI149" s="643"/>
      <c r="BJ149" s="643"/>
      <c r="BK149" s="990"/>
      <c r="BL149" s="991"/>
      <c r="BM149" s="643"/>
      <c r="BN149" s="643"/>
      <c r="BO149" s="643">
        <v>1000</v>
      </c>
      <c r="BP149" s="976"/>
      <c r="BQ149" s="991"/>
      <c r="BR149" s="643"/>
      <c r="BS149" s="643"/>
      <c r="BT149" s="990"/>
      <c r="BU149" s="991"/>
      <c r="BV149" s="643"/>
      <c r="BW149" s="643"/>
      <c r="BX149" s="985"/>
      <c r="BZ149" s="650"/>
    </row>
    <row r="150" spans="1:78" ht="21" customHeight="1" x14ac:dyDescent="0.2">
      <c r="A150" s="834" t="s">
        <v>207</v>
      </c>
      <c r="B150" s="838" t="s">
        <v>201</v>
      </c>
      <c r="C150" s="833" t="s">
        <v>385</v>
      </c>
      <c r="D150" s="838">
        <v>2000</v>
      </c>
      <c r="E150" s="828" t="str">
        <f>IFERROR(VLOOKUP(A150,ContainerSchedule!$A:$E,5,0),"")</f>
        <v/>
      </c>
      <c r="F150" s="828">
        <v>46386</v>
      </c>
      <c r="G150" s="828"/>
      <c r="H150" s="11">
        <f t="shared" si="83"/>
        <v>2000</v>
      </c>
      <c r="I150" s="944">
        <f t="shared" si="81"/>
        <v>0</v>
      </c>
      <c r="J150" s="948" cm="1">
        <f t="array" ref="J150">IFERROR(_xlfn.XLOOKUP(TRUE,$L150:$BY150&lt;&gt;"",$L150:$BY150,,0,-1),"")</f>
        <v>750</v>
      </c>
      <c r="K150" s="946">
        <f t="shared" si="82"/>
        <v>46388</v>
      </c>
      <c r="P150" s="17"/>
      <c r="R150" s="181"/>
      <c r="S150" s="181"/>
      <c r="T150" s="18"/>
      <c r="W150" s="181"/>
      <c r="X150" s="181"/>
      <c r="Y150" s="247"/>
      <c r="Z150" s="137"/>
      <c r="AA150" s="12"/>
      <c r="AB150" s="137"/>
      <c r="AC150" s="989"/>
      <c r="AD150" s="643"/>
      <c r="AE150" s="643"/>
      <c r="AF150" s="985"/>
      <c r="AG150" s="643"/>
      <c r="AH150" s="643"/>
      <c r="AI150" s="643"/>
      <c r="AJ150" s="643"/>
      <c r="AK150" s="985"/>
      <c r="AL150" s="643"/>
      <c r="AM150" s="643"/>
      <c r="AN150" s="643"/>
      <c r="AO150" s="990"/>
      <c r="AP150" s="991"/>
      <c r="AQ150" s="643"/>
      <c r="AR150" s="643"/>
      <c r="AS150" s="643"/>
      <c r="AT150" s="990"/>
      <c r="AU150" s="991"/>
      <c r="AV150" s="643"/>
      <c r="AW150" s="643"/>
      <c r="AX150" s="643"/>
      <c r="AY150" s="991"/>
      <c r="AZ150" s="643"/>
      <c r="BA150" s="643"/>
      <c r="BB150" s="990"/>
      <c r="BC150" s="643"/>
      <c r="BD150" s="643"/>
      <c r="BE150" s="643"/>
      <c r="BF150" s="643"/>
      <c r="BG150" s="990"/>
      <c r="BH150" s="991"/>
      <c r="BI150" s="643"/>
      <c r="BJ150" s="643"/>
      <c r="BK150" s="990"/>
      <c r="BL150" s="991"/>
      <c r="BM150" s="643"/>
      <c r="BN150" s="643"/>
      <c r="BO150" s="643">
        <v>1250</v>
      </c>
      <c r="BP150" s="976">
        <v>750</v>
      </c>
      <c r="BQ150" s="991"/>
      <c r="BR150" s="643"/>
      <c r="BS150" s="643"/>
      <c r="BT150" s="990"/>
      <c r="BU150" s="991"/>
      <c r="BV150" s="643"/>
      <c r="BW150" s="643"/>
      <c r="BX150" s="985"/>
      <c r="BZ150" s="650"/>
    </row>
    <row r="151" spans="1:78" ht="21" customHeight="1" x14ac:dyDescent="0.2">
      <c r="A151" s="834" t="s">
        <v>207</v>
      </c>
      <c r="B151" s="838" t="s">
        <v>60</v>
      </c>
      <c r="C151" s="833" t="s">
        <v>202</v>
      </c>
      <c r="D151" s="838">
        <v>1500</v>
      </c>
      <c r="E151" s="828" t="str">
        <f>IFERROR(VLOOKUP(A151,ContainerSchedule!$A:$E,5,0),"")</f>
        <v/>
      </c>
      <c r="F151" s="828">
        <v>46386</v>
      </c>
      <c r="G151" s="828"/>
      <c r="H151" s="11">
        <f t="shared" si="83"/>
        <v>1500</v>
      </c>
      <c r="I151" s="944">
        <f t="shared" si="81"/>
        <v>0</v>
      </c>
      <c r="J151" s="948" cm="1">
        <f t="array" ref="J151">IFERROR(_xlfn.XLOOKUP(TRUE,$L151:$BY151&lt;&gt;"",$L151:$BY151,,0,-1),"")</f>
        <v>1500</v>
      </c>
      <c r="K151" s="946">
        <f t="shared" si="82"/>
        <v>46388</v>
      </c>
      <c r="P151" s="17"/>
      <c r="R151" s="181"/>
      <c r="S151" s="181"/>
      <c r="T151" s="18"/>
      <c r="W151" s="181"/>
      <c r="X151" s="181"/>
      <c r="Y151" s="247"/>
      <c r="Z151" s="137"/>
      <c r="AA151" s="12"/>
      <c r="AB151" s="137"/>
      <c r="AC151" s="989"/>
      <c r="AD151" s="643"/>
      <c r="AE151" s="643"/>
      <c r="AF151" s="985"/>
      <c r="AG151" s="643"/>
      <c r="AH151" s="643"/>
      <c r="AI151" s="643"/>
      <c r="AJ151" s="643"/>
      <c r="AK151" s="990"/>
      <c r="AL151" s="991"/>
      <c r="AM151" s="643"/>
      <c r="AN151" s="643"/>
      <c r="AO151" s="990"/>
      <c r="AP151" s="991"/>
      <c r="AQ151" s="643"/>
      <c r="AR151" s="643"/>
      <c r="AS151" s="643"/>
      <c r="AT151" s="990"/>
      <c r="AU151" s="991"/>
      <c r="AV151" s="643"/>
      <c r="AW151" s="643"/>
      <c r="AX151" s="643"/>
      <c r="AY151" s="991"/>
      <c r="AZ151" s="643"/>
      <c r="BA151" s="643"/>
      <c r="BB151" s="990"/>
      <c r="BC151" s="643"/>
      <c r="BD151" s="643"/>
      <c r="BE151" s="643"/>
      <c r="BF151" s="643"/>
      <c r="BG151" s="990"/>
      <c r="BH151" s="991"/>
      <c r="BI151" s="643"/>
      <c r="BJ151" s="643"/>
      <c r="BK151" s="990"/>
      <c r="BL151" s="991"/>
      <c r="BM151" s="643"/>
      <c r="BN151" s="643"/>
      <c r="BO151" s="643"/>
      <c r="BP151" s="976">
        <v>1500</v>
      </c>
      <c r="BQ151" s="991"/>
      <c r="BR151" s="643"/>
      <c r="BS151" s="643"/>
      <c r="BT151" s="990"/>
      <c r="BU151" s="991"/>
      <c r="BV151" s="643"/>
      <c r="BW151" s="643"/>
      <c r="BX151" s="985"/>
      <c r="BZ151" s="650"/>
    </row>
    <row r="152" spans="1:78" ht="21" customHeight="1" x14ac:dyDescent="0.2">
      <c r="A152" s="834" t="s">
        <v>385</v>
      </c>
      <c r="B152" s="838" t="s">
        <v>60</v>
      </c>
      <c r="C152" s="833" t="s">
        <v>202</v>
      </c>
      <c r="D152" s="838"/>
      <c r="E152" s="828" t="str">
        <f>IFERROR(VLOOKUP(A152,ContainerSchedule!$A:$E,5,0),"")</f>
        <v/>
      </c>
      <c r="F152" s="828">
        <v>46356</v>
      </c>
      <c r="G152" s="831" t="s">
        <v>394</v>
      </c>
      <c r="H152" s="11">
        <f t="shared" si="83"/>
        <v>0</v>
      </c>
      <c r="I152" s="944">
        <f t="shared" si="81"/>
        <v>0</v>
      </c>
      <c r="J152" s="948" t="str" cm="1">
        <f t="array" ref="J152">IFERROR(_xlfn.XLOOKUP(TRUE,$L152:$BY152&lt;&gt;"",$L152:$BY152,,0,-1),"")</f>
        <v/>
      </c>
      <c r="K152" s="946" t="str">
        <f t="shared" si="82"/>
        <v/>
      </c>
      <c r="P152" s="17"/>
      <c r="R152" s="181"/>
      <c r="S152" s="181"/>
      <c r="T152" s="18"/>
      <c r="W152" s="181"/>
      <c r="X152" s="181"/>
      <c r="Y152" s="247"/>
      <c r="Z152" s="137"/>
      <c r="AA152" s="12"/>
      <c r="AB152" s="137"/>
      <c r="AC152" s="989"/>
      <c r="AD152" s="643"/>
      <c r="AE152" s="643"/>
      <c r="AF152" s="985"/>
      <c r="AG152" s="643"/>
      <c r="AH152" s="643"/>
      <c r="AI152" s="643"/>
      <c r="AJ152" s="643"/>
      <c r="AK152" s="990"/>
      <c r="AL152" s="991"/>
      <c r="AM152" s="643"/>
      <c r="AN152" s="643"/>
      <c r="AO152" s="990"/>
      <c r="AP152" s="991"/>
      <c r="AQ152" s="643"/>
      <c r="AR152" s="643"/>
      <c r="AS152" s="643"/>
      <c r="AT152" s="990"/>
      <c r="AU152" s="991"/>
      <c r="AV152" s="643"/>
      <c r="AW152" s="643"/>
      <c r="AX152" s="643"/>
      <c r="AY152" s="991"/>
      <c r="AZ152" s="643"/>
      <c r="BA152" s="643"/>
      <c r="BB152" s="990"/>
      <c r="BC152" s="643"/>
      <c r="BD152" s="643"/>
      <c r="BE152" s="643"/>
      <c r="BF152" s="643"/>
      <c r="BG152" s="990"/>
      <c r="BH152" s="991"/>
      <c r="BI152" s="643"/>
      <c r="BJ152" s="643"/>
      <c r="BK152" s="990"/>
      <c r="BL152" s="979"/>
      <c r="BM152" s="643"/>
      <c r="BN152" s="643"/>
      <c r="BO152" s="643"/>
      <c r="BP152" s="990"/>
      <c r="BQ152" s="991"/>
      <c r="BR152" s="643"/>
      <c r="BS152" s="643"/>
      <c r="BT152" s="990"/>
      <c r="BU152" s="991"/>
      <c r="BV152" s="643"/>
      <c r="BW152" s="643"/>
      <c r="BX152" s="985"/>
      <c r="BZ152" s="650"/>
    </row>
    <row r="156" spans="1:78" x14ac:dyDescent="0.2">
      <c r="I156" s="698"/>
      <c r="J156" s="698"/>
      <c r="U156"/>
      <c r="AF156"/>
    </row>
    <row r="157" spans="1:78" x14ac:dyDescent="0.2">
      <c r="H157" s="644"/>
      <c r="AF157" s="181"/>
    </row>
    <row r="158" spans="1:78" ht="16" hidden="1" customHeight="1" thickBot="1" x14ac:dyDescent="0.25">
      <c r="A158" s="1022" t="s">
        <v>252</v>
      </c>
      <c r="B158" s="1023"/>
      <c r="C158" s="1023"/>
      <c r="D158" s="1023"/>
      <c r="E158" s="1023"/>
      <c r="F158" s="1023"/>
      <c r="G158" s="1023"/>
      <c r="H158" s="1023"/>
      <c r="I158" s="1023"/>
      <c r="J158" s="57"/>
      <c r="K158" s="59"/>
      <c r="L158" s="84" t="e">
        <f>+#REF!</f>
        <v>#REF!</v>
      </c>
      <c r="M158" s="84" t="e">
        <f t="shared" ref="M158:T158" si="84">+L158</f>
        <v>#REF!</v>
      </c>
      <c r="N158" s="84" t="e">
        <f t="shared" si="84"/>
        <v>#REF!</v>
      </c>
      <c r="O158" s="84" t="e">
        <f t="shared" si="84"/>
        <v>#REF!</v>
      </c>
      <c r="P158" s="84" t="e">
        <f t="shared" si="84"/>
        <v>#REF!</v>
      </c>
      <c r="Q158" s="84" t="e">
        <f t="shared" si="84"/>
        <v>#REF!</v>
      </c>
      <c r="R158" s="84" t="e">
        <f t="shared" si="84"/>
        <v>#REF!</v>
      </c>
      <c r="S158" s="84" t="e">
        <f t="shared" si="84"/>
        <v>#REF!</v>
      </c>
      <c r="T158" s="84" t="e">
        <f t="shared" si="84"/>
        <v>#REF!</v>
      </c>
      <c r="AF158" s="181"/>
    </row>
    <row r="159" spans="1:78" s="89" customFormat="1" ht="16" hidden="1" customHeight="1" thickBot="1" x14ac:dyDescent="0.25">
      <c r="A159" s="1025" t="s">
        <v>253</v>
      </c>
      <c r="B159" s="1026"/>
      <c r="C159" s="1026"/>
      <c r="D159" s="1026"/>
      <c r="E159" s="1026"/>
      <c r="F159" s="1026"/>
      <c r="G159" s="1026"/>
      <c r="H159" s="1026"/>
      <c r="I159" s="1026"/>
      <c r="J159" s="86"/>
      <c r="K159" s="88"/>
      <c r="L159" s="86" t="e">
        <f>+(#REF!+#REF!+#REF!+#REF!+#REF!+#REF!+#REF!+#REF!)*L158</f>
        <v>#REF!</v>
      </c>
      <c r="M159" s="86" t="e">
        <f>+(#REF!+#REF!+#REF!+#REF!+#REF!+#REF!+#REF!+#REF!)*M158</f>
        <v>#REF!</v>
      </c>
      <c r="N159" s="86" t="e">
        <f>+(#REF!+#REF!+#REF!+#REF!+#REF!+#REF!+#REF!+#REF!)*N158</f>
        <v>#REF!</v>
      </c>
      <c r="O159" s="86" t="e">
        <f>+(#REF!+#REF!+#REF!+#REF!+#REF!+#REF!+#REF!+#REF!)*O158</f>
        <v>#REF!</v>
      </c>
      <c r="P159" s="86" t="e">
        <f>+(#REF!+#REF!+#REF!+#REF!+#REF!+#REF!+#REF!+#REF!)*P158</f>
        <v>#REF!</v>
      </c>
      <c r="Q159" s="86" t="e">
        <f>+(#REF!+#REF!+#REF!+#REF!+#REF!+#REF!+#REF!+#REF!)*Q158</f>
        <v>#REF!</v>
      </c>
      <c r="R159" s="86" t="e">
        <f>+(#REF!+#REF!+#REF!+#REF!+#REF!+#REF!+#REF!+#REF!)*R158</f>
        <v>#REF!</v>
      </c>
      <c r="S159" s="86" t="e">
        <f>+(#REF!+#REF!+#REF!+#REF!+#REF!+#REF!+#REF!+#REF!)*S158</f>
        <v>#REF!</v>
      </c>
      <c r="T159" s="88" t="e">
        <f>+(#REF!+#REF!+#REF!+#REF!+#REF!+#REF!+#REF!+#REF!)*T158</f>
        <v>#REF!</v>
      </c>
      <c r="U159" s="251"/>
      <c r="AF159" s="255"/>
    </row>
    <row r="160" spans="1:78" s="89" customFormat="1" ht="16" hidden="1" customHeight="1" thickBot="1" x14ac:dyDescent="0.25">
      <c r="A160" s="1025" t="s">
        <v>254</v>
      </c>
      <c r="B160" s="1026"/>
      <c r="C160" s="1026"/>
      <c r="D160" s="1026"/>
      <c r="E160" s="1026"/>
      <c r="F160" s="1026"/>
      <c r="G160" s="1026"/>
      <c r="H160" s="1026"/>
      <c r="I160" s="1026"/>
      <c r="J160" s="86"/>
      <c r="K160" s="88"/>
      <c r="L160" s="87" t="e">
        <f>+(#REF!+#REF!+#REF!+#REF!+#REF!+#REF!+#REF!+#REF!+#REF!+#REF!+#REF!+#REF!+#REF!+#REF!+#REF!+#REF!+#REF!+#REF!+#REF!+#REF!+#REF!+#REF!+L24+#REF!+#REF!+#REF!+#REF!+#REF!+#REF!)*L158</f>
        <v>#REF!</v>
      </c>
      <c r="M160" s="87" t="e">
        <f>+(#REF!+#REF!+#REF!+#REF!+#REF!+#REF!+#REF!+#REF!+#REF!+#REF!+#REF!+#REF!+#REF!+#REF!+#REF!+#REF!+#REF!+#REF!+#REF!+#REF!+#REF!+#REF!+M24+#REF!+#REF!+#REF!+#REF!+#REF!+#REF!)*M158</f>
        <v>#REF!</v>
      </c>
      <c r="N160" s="87" t="e">
        <f>+(#REF!+#REF!+#REF!+#REF!+#REF!+#REF!+#REF!+#REF!+#REF!+#REF!+#REF!+#REF!+#REF!+#REF!+#REF!+#REF!+#REF!+#REF!+#REF!+#REF!+#REF!+#REF!+N24+#REF!+#REF!+#REF!+#REF!+#REF!+#REF!)*N158</f>
        <v>#REF!</v>
      </c>
      <c r="O160" s="87" t="e">
        <f>+(#REF!+#REF!+#REF!+#REF!+#REF!+#REF!+#REF!+#REF!+#REF!+#REF!+#REF!+#REF!+#REF!+#REF!+#REF!+#REF!+#REF!+#REF!+#REF!+#REF!+#REF!+#REF!+O24+#REF!+#REF!+#REF!+#REF!+#REF!+#REF!)*O158</f>
        <v>#REF!</v>
      </c>
      <c r="P160" s="87" t="e">
        <f>+(#REF!+#REF!+#REF!+#REF!+#REF!+#REF!+#REF!+#REF!+#REF!+#REF!+#REF!+#REF!+#REF!+#REF!+#REF!+#REF!+#REF!+#REF!+#REF!+#REF!+#REF!+#REF!+P24+#REF!+#REF!+#REF!+#REF!+#REF!+#REF!)*P158</f>
        <v>#REF!</v>
      </c>
      <c r="Q160" s="87" t="e">
        <f>+(#REF!+#REF!+#REF!+#REF!+#REF!+#REF!+#REF!+#REF!+#REF!+#REF!+#REF!+#REF!+#REF!+#REF!+#REF!+#REF!+#REF!+#REF!+#REF!+#REF!+#REF!+#REF!+Q24+#REF!+#REF!+#REF!+#REF!+#REF!+#REF!)*Q158</f>
        <v>#REF!</v>
      </c>
      <c r="R160" s="87" t="e">
        <f>+(#REF!+#REF!+#REF!+#REF!+#REF!+#REF!+#REF!+#REF!+#REF!+#REF!+#REF!+#REF!+#REF!+#REF!+#REF!+#REF!+#REF!+#REF!+#REF!+#REF!+#REF!+#REF!+R24+#REF!+#REF!+#REF!+#REF!+#REF!+#REF!)*R158</f>
        <v>#REF!</v>
      </c>
      <c r="S160" s="87" t="e">
        <f>+(#REF!+#REF!+#REF!+#REF!+#REF!+#REF!+#REF!+#REF!+#REF!+#REF!+#REF!+#REF!+#REF!+#REF!+#REF!+#REF!+#REF!+#REF!+#REF!+#REF!+#REF!+#REF!+S24+#REF!+#REF!+#REF!+#REF!+#REF!+#REF!)*S158</f>
        <v>#REF!</v>
      </c>
      <c r="T160" s="87" t="e">
        <f>+(#REF!+#REF!+#REF!+#REF!+#REF!+#REF!+#REF!+#REF!+#REF!+#REF!+#REF!+#REF!+#REF!+#REF!+#REF!+#REF!+#REF!+#REF!+#REF!+#REF!+#REF!+#REF!+T24+#REF!+#REF!+#REF!+#REF!+#REF!+#REF!)*T158</f>
        <v>#REF!</v>
      </c>
      <c r="U160" s="251"/>
      <c r="AF160" s="255"/>
    </row>
    <row r="161" spans="1:76" s="89" customFormat="1" ht="16" hidden="1" thickBot="1" x14ac:dyDescent="0.25">
      <c r="A161" s="91"/>
      <c r="B161" s="92" t="s">
        <v>255</v>
      </c>
      <c r="C161" s="92"/>
      <c r="D161" s="629"/>
      <c r="E161" s="629"/>
      <c r="F161" s="92"/>
      <c r="G161" s="92" t="s">
        <v>256</v>
      </c>
      <c r="H161" s="92"/>
      <c r="I161" s="92" t="e">
        <f>SUM(L161:T161)</f>
        <v>#REF!</v>
      </c>
      <c r="J161" s="92"/>
      <c r="K161" s="93"/>
      <c r="L161" s="1027" t="e">
        <f>SUM(L159:O160)</f>
        <v>#REF!</v>
      </c>
      <c r="M161" s="1028"/>
      <c r="N161" s="1028"/>
      <c r="O161" s="1029"/>
      <c r="P161" s="1027" t="e">
        <f>SUM(P159:T160)</f>
        <v>#REF!</v>
      </c>
      <c r="Q161" s="1028"/>
      <c r="R161" s="1028"/>
      <c r="S161" s="1028"/>
      <c r="T161" s="1029"/>
      <c r="U161" s="251"/>
      <c r="AF161" s="255"/>
    </row>
    <row r="162" spans="1:76" ht="16" hidden="1" thickBot="1" x14ac:dyDescent="0.25">
      <c r="A162" s="94"/>
      <c r="B162" s="37"/>
      <c r="C162" s="37"/>
      <c r="D162" s="630"/>
      <c r="E162" s="630"/>
      <c r="F162" s="37"/>
      <c r="G162" s="38"/>
      <c r="H162" s="38"/>
      <c r="I162" s="38"/>
      <c r="J162" s="38"/>
      <c r="K162" s="78"/>
      <c r="L162" s="1022" t="s">
        <v>261</v>
      </c>
      <c r="M162" s="1023"/>
      <c r="N162" s="1023"/>
      <c r="O162" s="1024"/>
      <c r="P162" s="1022" t="s">
        <v>270</v>
      </c>
      <c r="Q162" s="1023"/>
      <c r="R162" s="1023"/>
      <c r="S162" s="1023"/>
      <c r="T162" s="1024"/>
      <c r="AF162" s="181"/>
    </row>
    <row r="163" spans="1:76" hidden="1" x14ac:dyDescent="0.2">
      <c r="AF163" s="181"/>
    </row>
    <row r="164" spans="1:76" hidden="1" x14ac:dyDescent="0.2">
      <c r="AF164" s="181"/>
    </row>
    <row r="165" spans="1:76" ht="16" hidden="1" thickBot="1" x14ac:dyDescent="0.25">
      <c r="AF165" s="181"/>
    </row>
    <row r="166" spans="1:76" ht="19" hidden="1" x14ac:dyDescent="0.2">
      <c r="G166" s="1020">
        <v>2025</v>
      </c>
      <c r="H166" s="1021"/>
      <c r="AF166" s="181"/>
    </row>
    <row r="167" spans="1:76" hidden="1" x14ac:dyDescent="0.2">
      <c r="G167" s="96" t="s">
        <v>265</v>
      </c>
      <c r="H167" s="97" t="e">
        <f>#REF!</f>
        <v>#REF!</v>
      </c>
      <c r="AF167" s="181"/>
    </row>
    <row r="168" spans="1:76" hidden="1" x14ac:dyDescent="0.2">
      <c r="G168" s="96" t="s">
        <v>266</v>
      </c>
      <c r="H168" s="97" t="e">
        <f>#REF!</f>
        <v>#REF!</v>
      </c>
      <c r="AF168" s="181"/>
    </row>
    <row r="169" spans="1:76" hidden="1" x14ac:dyDescent="0.2">
      <c r="G169" s="96" t="s">
        <v>267</v>
      </c>
      <c r="H169" s="97" t="e">
        <f>#REF!</f>
        <v>#REF!</v>
      </c>
      <c r="AF169" s="181"/>
    </row>
    <row r="170" spans="1:76" hidden="1" x14ac:dyDescent="0.2">
      <c r="G170" s="96" t="s">
        <v>268</v>
      </c>
      <c r="H170" s="97" t="e">
        <f>#REF!</f>
        <v>#REF!</v>
      </c>
      <c r="AF170" s="181"/>
    </row>
    <row r="171" spans="1:76" hidden="1" x14ac:dyDescent="0.2">
      <c r="G171" s="96" t="s">
        <v>258</v>
      </c>
      <c r="H171" s="97" t="e">
        <f>#REF!</f>
        <v>#REF!</v>
      </c>
      <c r="AF171" s="181"/>
    </row>
    <row r="172" spans="1:76" hidden="1" x14ac:dyDescent="0.2">
      <c r="G172" s="96" t="s">
        <v>259</v>
      </c>
      <c r="H172" s="97" t="e">
        <f>#REF!</f>
        <v>#REF!</v>
      </c>
      <c r="AF172" s="181"/>
    </row>
    <row r="173" spans="1:76" hidden="1" x14ac:dyDescent="0.2">
      <c r="G173" s="99" t="s">
        <v>272</v>
      </c>
      <c r="H173" s="100" t="e">
        <f>#REF!</f>
        <v>#REF!</v>
      </c>
      <c r="AF173" s="181"/>
    </row>
    <row r="174" spans="1:76" hidden="1" x14ac:dyDescent="0.2">
      <c r="G174" s="99" t="s">
        <v>273</v>
      </c>
      <c r="H174" s="100" t="e">
        <f>#REF!</f>
        <v>#REF!</v>
      </c>
      <c r="AF174" s="181"/>
    </row>
    <row r="175" spans="1:76" s="12" customFormat="1" hidden="1" x14ac:dyDescent="0.2">
      <c r="A175" s="79"/>
      <c r="B175" s="15"/>
      <c r="C175" s="15"/>
      <c r="D175" s="628"/>
      <c r="E175" s="628"/>
      <c r="F175" s="15"/>
      <c r="G175" s="99" t="s">
        <v>261</v>
      </c>
      <c r="H175" s="100" t="e">
        <f>L161</f>
        <v>#REF!</v>
      </c>
      <c r="I175" s="15"/>
      <c r="J175" s="15"/>
      <c r="K175" s="15"/>
      <c r="L175"/>
      <c r="M175"/>
      <c r="N175"/>
      <c r="O175"/>
      <c r="P175"/>
      <c r="Q175"/>
      <c r="R175"/>
      <c r="S175"/>
      <c r="T175"/>
      <c r="U175" s="137"/>
      <c r="V175"/>
      <c r="W175"/>
      <c r="X175"/>
      <c r="Y175"/>
      <c r="Z175"/>
      <c r="AA175"/>
      <c r="AB175"/>
      <c r="AC175"/>
      <c r="AD175"/>
      <c r="AE175"/>
      <c r="AF175" s="181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</row>
    <row r="176" spans="1:76" s="12" customFormat="1" ht="16" hidden="1" thickBot="1" x14ac:dyDescent="0.25">
      <c r="A176" s="79"/>
      <c r="B176" s="15"/>
      <c r="C176" s="15"/>
      <c r="D176" s="628"/>
      <c r="E176" s="628"/>
      <c r="F176" s="15"/>
      <c r="G176" s="102" t="s">
        <v>274</v>
      </c>
      <c r="H176" s="103" t="e">
        <f>SUM(H167:H175)</f>
        <v>#REF!</v>
      </c>
      <c r="I176" s="15"/>
      <c r="J176" s="15"/>
      <c r="K176" s="15"/>
      <c r="L176"/>
      <c r="M176"/>
      <c r="N176"/>
      <c r="O176"/>
      <c r="P176"/>
      <c r="Q176"/>
      <c r="R176"/>
      <c r="S176"/>
      <c r="T176"/>
      <c r="U176" s="137"/>
      <c r="V176"/>
      <c r="W176"/>
      <c r="X176"/>
      <c r="Y176"/>
      <c r="Z176"/>
      <c r="AA176"/>
      <c r="AB176"/>
      <c r="AC176"/>
      <c r="AD176"/>
      <c r="AE176"/>
      <c r="AF176" s="181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</row>
    <row r="177" spans="1:76" s="12" customFormat="1" hidden="1" x14ac:dyDescent="0.2">
      <c r="A177" s="79"/>
      <c r="B177" s="15"/>
      <c r="C177" s="15"/>
      <c r="D177" s="628"/>
      <c r="E177" s="628"/>
      <c r="F177" s="15"/>
      <c r="G177" s="15"/>
      <c r="H177" s="15"/>
      <c r="I177" s="15"/>
      <c r="J177" s="15"/>
      <c r="K177" s="15"/>
      <c r="L177"/>
      <c r="M177"/>
      <c r="N177"/>
      <c r="O177"/>
      <c r="P177"/>
      <c r="Q177"/>
      <c r="R177"/>
      <c r="S177"/>
      <c r="T177"/>
      <c r="U177" s="137"/>
      <c r="V177"/>
      <c r="W177"/>
      <c r="X177"/>
      <c r="Y177"/>
      <c r="Z177"/>
      <c r="AA177"/>
      <c r="AB177"/>
      <c r="AC177"/>
      <c r="AD177"/>
      <c r="AE177"/>
      <c r="AF177" s="181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</row>
    <row r="179" spans="1:76" x14ac:dyDescent="0.2">
      <c r="AF179" s="181"/>
    </row>
    <row r="182" spans="1:76" x14ac:dyDescent="0.2">
      <c r="B182"/>
      <c r="C182" s="137"/>
    </row>
  </sheetData>
  <autoFilter ref="A5:BX152" xr:uid="{EFB72873-CBCB-F44A-8503-B3DAD1FD39BA}">
    <sortState xmlns:xlrd2="http://schemas.microsoft.com/office/spreadsheetml/2017/richdata2" ref="A6:BX152">
      <sortCondition sortBy="cellColor" ref="K5:K152" dxfId="2"/>
    </sortState>
  </autoFilter>
  <mergeCells count="8">
    <mergeCell ref="G166:H166"/>
    <mergeCell ref="L162:O162"/>
    <mergeCell ref="P162:T162"/>
    <mergeCell ref="A158:I158"/>
    <mergeCell ref="A159:I159"/>
    <mergeCell ref="A160:I160"/>
    <mergeCell ref="L161:O161"/>
    <mergeCell ref="P161:T161"/>
  </mergeCells>
  <phoneticPr fontId="32" type="noConversion"/>
  <pageMargins left="0.25" right="0.25" top="0.75" bottom="0.75" header="0.3" footer="0.3"/>
  <pageSetup paperSize="9" scale="1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" r:id="rId4" name="Button 102">
              <controlPr defaultSize="0" print="0" autoFill="0" autoPict="0" macro="[0]!PlotGanttChart">
                <anchor moveWithCells="1" sizeWithCells="1">
                  <from>
                    <xdr:col>1</xdr:col>
                    <xdr:colOff>622300</xdr:colOff>
                    <xdr:row>0</xdr:row>
                    <xdr:rowOff>101600</xdr:rowOff>
                  </from>
                  <to>
                    <xdr:col>2</xdr:col>
                    <xdr:colOff>723900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C0B07BDB-0A9F-8D4A-A8D5-49DA3D9C806C}">
            <xm:f>Setting!$B$3&gt;$K6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K6:K152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BBA9BA-5F69-4F4E-B167-5F38527AB974}">
          <x14:formula1>
            <xm:f>_xlfn.ANCHORARRAY(DataValidation!$H$4)</xm:f>
          </x14:formula1>
          <xm:sqref>B6:B152</xm:sqref>
        </x14:dataValidation>
        <x14:dataValidation type="list" allowBlank="1" showInputMessage="1" showErrorMessage="1" xr:uid="{A228EBDA-A333-614E-AC68-BA0D2E9893E2}">
          <x14:formula1>
            <xm:f>_xlfn.ANCHORARRAY(_xlfn.XLOOKUP($B6,_xlfn.ANCHORARRAY(DataValidation!$H$4),DataValidation!$H$5:$O$5))</xm:f>
          </x14:formula1>
          <xm:sqref>C6:C152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CA2E4-67F8-424B-B468-772B4D3AA160}">
  <sheetPr codeName="Sheet34">
    <pageSetUpPr fitToPage="1"/>
  </sheetPr>
  <dimension ref="A1:BE163"/>
  <sheetViews>
    <sheetView zoomScaleNormal="100" zoomScaleSheetLayoutView="130" workbookViewId="0">
      <pane xSplit="5" ySplit="8" topLeftCell="F9" activePane="bottomRight" state="frozen"/>
      <selection activeCell="AW2" sqref="AW2:BI2"/>
      <selection pane="topRight" activeCell="AW2" sqref="AW2:BI2"/>
      <selection pane="bottomLeft" activeCell="AW2" sqref="AW2:BI2"/>
      <selection pane="bottomRight" activeCell="AV8" sqref="AV8"/>
    </sheetView>
  </sheetViews>
  <sheetFormatPr baseColWidth="10" defaultColWidth="8.83203125" defaultRowHeight="15" x14ac:dyDescent="0.2"/>
  <cols>
    <col min="1" max="1" width="23.1640625" style="15" bestFit="1" customWidth="1"/>
    <col min="2" max="2" width="14.33203125" style="15" customWidth="1"/>
    <col min="3" max="3" width="12.83203125" style="15" customWidth="1"/>
    <col min="4" max="4" width="12.6640625" style="15" bestFit="1" customWidth="1"/>
    <col min="5" max="5" width="9.83203125" style="15" customWidth="1"/>
    <col min="6" max="6" width="6" bestFit="1" customWidth="1"/>
    <col min="7" max="7" width="7.6640625" bestFit="1" customWidth="1"/>
    <col min="8" max="9" width="6" bestFit="1" customWidth="1"/>
    <col min="10" max="13" width="6.33203125" bestFit="1" customWidth="1"/>
    <col min="15" max="15" width="10.1640625" bestFit="1" customWidth="1"/>
  </cols>
  <sheetData>
    <row r="1" spans="1:57" ht="17" customHeight="1" thickBot="1" x14ac:dyDescent="0.25">
      <c r="A1" s="1033"/>
      <c r="B1" s="1034"/>
      <c r="C1" s="1033" t="s">
        <v>83</v>
      </c>
      <c r="D1" s="1034"/>
      <c r="E1" s="683"/>
      <c r="F1" s="516">
        <v>825</v>
      </c>
      <c r="G1" s="516">
        <f>+F1</f>
        <v>825</v>
      </c>
      <c r="H1" s="516">
        <f t="shared" ref="H1:BE1" si="0">+G1</f>
        <v>825</v>
      </c>
      <c r="I1" s="516">
        <f t="shared" si="0"/>
        <v>825</v>
      </c>
      <c r="J1" s="516">
        <f t="shared" si="0"/>
        <v>825</v>
      </c>
      <c r="K1" s="516">
        <f t="shared" si="0"/>
        <v>825</v>
      </c>
      <c r="L1" s="516">
        <f t="shared" si="0"/>
        <v>825</v>
      </c>
      <c r="M1" s="684">
        <f t="shared" si="0"/>
        <v>825</v>
      </c>
      <c r="N1" s="515">
        <f t="shared" si="0"/>
        <v>825</v>
      </c>
      <c r="O1" s="515">
        <f t="shared" si="0"/>
        <v>825</v>
      </c>
      <c r="P1" s="515">
        <f t="shared" si="0"/>
        <v>825</v>
      </c>
      <c r="Q1" s="515">
        <f t="shared" si="0"/>
        <v>825</v>
      </c>
      <c r="R1" s="515">
        <f t="shared" si="0"/>
        <v>825</v>
      </c>
      <c r="S1" s="515">
        <f t="shared" si="0"/>
        <v>825</v>
      </c>
      <c r="T1" s="515">
        <f t="shared" si="0"/>
        <v>825</v>
      </c>
      <c r="U1" s="515">
        <f t="shared" si="0"/>
        <v>825</v>
      </c>
      <c r="V1" s="515">
        <f t="shared" si="0"/>
        <v>825</v>
      </c>
      <c r="W1" s="515">
        <f t="shared" si="0"/>
        <v>825</v>
      </c>
      <c r="X1" s="515">
        <f t="shared" si="0"/>
        <v>825</v>
      </c>
      <c r="Y1" s="515">
        <f t="shared" si="0"/>
        <v>825</v>
      </c>
      <c r="Z1" s="515">
        <f t="shared" si="0"/>
        <v>825</v>
      </c>
      <c r="AA1" s="515">
        <f t="shared" si="0"/>
        <v>825</v>
      </c>
      <c r="AB1" s="515">
        <f t="shared" si="0"/>
        <v>825</v>
      </c>
      <c r="AC1" s="515">
        <f t="shared" si="0"/>
        <v>825</v>
      </c>
      <c r="AD1" s="515">
        <f t="shared" si="0"/>
        <v>825</v>
      </c>
      <c r="AE1" s="515">
        <f t="shared" si="0"/>
        <v>825</v>
      </c>
      <c r="AF1" s="515">
        <f t="shared" si="0"/>
        <v>825</v>
      </c>
      <c r="AG1" s="515">
        <f t="shared" si="0"/>
        <v>825</v>
      </c>
      <c r="AH1" s="515">
        <f t="shared" si="0"/>
        <v>825</v>
      </c>
      <c r="AI1" s="515">
        <f t="shared" si="0"/>
        <v>825</v>
      </c>
      <c r="AJ1" s="515">
        <f t="shared" si="0"/>
        <v>825</v>
      </c>
      <c r="AK1" s="515">
        <f t="shared" si="0"/>
        <v>825</v>
      </c>
      <c r="AL1" s="515">
        <f t="shared" si="0"/>
        <v>825</v>
      </c>
      <c r="AM1" s="515">
        <f t="shared" si="0"/>
        <v>825</v>
      </c>
      <c r="AN1" s="515">
        <f t="shared" si="0"/>
        <v>825</v>
      </c>
      <c r="AO1" s="515">
        <f t="shared" si="0"/>
        <v>825</v>
      </c>
      <c r="AP1" s="515">
        <f t="shared" si="0"/>
        <v>825</v>
      </c>
      <c r="AQ1" s="515">
        <f t="shared" si="0"/>
        <v>825</v>
      </c>
      <c r="AR1" s="515">
        <f t="shared" si="0"/>
        <v>825</v>
      </c>
      <c r="AS1" s="515">
        <f t="shared" si="0"/>
        <v>825</v>
      </c>
      <c r="AT1" s="515">
        <f t="shared" si="0"/>
        <v>825</v>
      </c>
      <c r="AU1" s="515">
        <f t="shared" si="0"/>
        <v>825</v>
      </c>
      <c r="AV1" s="515">
        <f t="shared" si="0"/>
        <v>825</v>
      </c>
      <c r="AW1" s="515">
        <f t="shared" si="0"/>
        <v>825</v>
      </c>
      <c r="AX1" s="515">
        <f t="shared" si="0"/>
        <v>825</v>
      </c>
      <c r="AY1" s="515">
        <f t="shared" si="0"/>
        <v>825</v>
      </c>
      <c r="AZ1" s="515">
        <f t="shared" si="0"/>
        <v>825</v>
      </c>
      <c r="BA1" s="515">
        <f t="shared" si="0"/>
        <v>825</v>
      </c>
      <c r="BB1" s="515">
        <f t="shared" si="0"/>
        <v>825</v>
      </c>
      <c r="BC1" s="515">
        <f t="shared" si="0"/>
        <v>825</v>
      </c>
      <c r="BD1" s="515">
        <f t="shared" si="0"/>
        <v>825</v>
      </c>
      <c r="BE1" s="515">
        <f t="shared" si="0"/>
        <v>825</v>
      </c>
    </row>
    <row r="2" spans="1:57" ht="17" customHeight="1" thickBot="1" x14ac:dyDescent="0.25">
      <c r="A2" s="685"/>
      <c r="B2" s="685"/>
      <c r="C2" s="685"/>
      <c r="D2" s="686"/>
      <c r="E2" s="685"/>
      <c r="F2" s="687">
        <f>+F121-SUM(F9:F117)</f>
        <v>0</v>
      </c>
      <c r="G2" s="687">
        <f t="shared" ref="G2:BE2" si="1">+G121-SUM(G9:G117)</f>
        <v>0</v>
      </c>
      <c r="H2" s="687">
        <f t="shared" si="1"/>
        <v>0</v>
      </c>
      <c r="I2" s="687">
        <f t="shared" si="1"/>
        <v>0</v>
      </c>
      <c r="J2" s="687">
        <f t="shared" si="1"/>
        <v>0</v>
      </c>
      <c r="K2" s="687">
        <f t="shared" si="1"/>
        <v>0</v>
      </c>
      <c r="L2" s="687">
        <f t="shared" si="1"/>
        <v>0</v>
      </c>
      <c r="M2" s="687">
        <f t="shared" si="1"/>
        <v>0</v>
      </c>
      <c r="N2" s="687">
        <f t="shared" si="1"/>
        <v>0</v>
      </c>
      <c r="O2" s="687">
        <f t="shared" si="1"/>
        <v>0</v>
      </c>
      <c r="P2" s="687">
        <f t="shared" si="1"/>
        <v>0</v>
      </c>
      <c r="Q2" s="687">
        <f t="shared" si="1"/>
        <v>0</v>
      </c>
      <c r="R2" s="687">
        <f t="shared" si="1"/>
        <v>0</v>
      </c>
      <c r="S2" s="687">
        <f t="shared" si="1"/>
        <v>0</v>
      </c>
      <c r="T2" s="687">
        <f t="shared" si="1"/>
        <v>0</v>
      </c>
      <c r="U2" s="687">
        <f t="shared" si="1"/>
        <v>0</v>
      </c>
      <c r="V2" s="687">
        <f t="shared" si="1"/>
        <v>0</v>
      </c>
      <c r="W2" s="687">
        <f t="shared" si="1"/>
        <v>0</v>
      </c>
      <c r="X2" s="687">
        <f t="shared" si="1"/>
        <v>0</v>
      </c>
      <c r="Y2" s="687">
        <f t="shared" si="1"/>
        <v>0</v>
      </c>
      <c r="Z2" s="687">
        <f t="shared" si="1"/>
        <v>0</v>
      </c>
      <c r="AA2" s="687">
        <f t="shared" si="1"/>
        <v>0</v>
      </c>
      <c r="AB2" s="687">
        <f t="shared" si="1"/>
        <v>0</v>
      </c>
      <c r="AC2" s="687">
        <f t="shared" si="1"/>
        <v>0</v>
      </c>
      <c r="AD2" s="687">
        <f t="shared" si="1"/>
        <v>0</v>
      </c>
      <c r="AE2" s="687">
        <f t="shared" si="1"/>
        <v>0</v>
      </c>
      <c r="AF2" s="687">
        <f t="shared" si="1"/>
        <v>0</v>
      </c>
      <c r="AG2" s="687">
        <f t="shared" si="1"/>
        <v>0</v>
      </c>
      <c r="AH2" s="687">
        <f t="shared" si="1"/>
        <v>0</v>
      </c>
      <c r="AI2" s="687">
        <f t="shared" si="1"/>
        <v>0</v>
      </c>
      <c r="AJ2" s="687">
        <f t="shared" si="1"/>
        <v>0</v>
      </c>
      <c r="AK2" s="687">
        <f t="shared" si="1"/>
        <v>0</v>
      </c>
      <c r="AL2" s="687">
        <f t="shared" si="1"/>
        <v>0</v>
      </c>
      <c r="AM2" s="687">
        <f t="shared" si="1"/>
        <v>0</v>
      </c>
      <c r="AN2" s="687">
        <f t="shared" si="1"/>
        <v>0</v>
      </c>
      <c r="AO2" s="687">
        <f t="shared" si="1"/>
        <v>0</v>
      </c>
      <c r="AP2" s="687">
        <f t="shared" si="1"/>
        <v>0</v>
      </c>
      <c r="AQ2" s="687">
        <f t="shared" si="1"/>
        <v>0</v>
      </c>
      <c r="AR2" s="687">
        <f t="shared" si="1"/>
        <v>0</v>
      </c>
      <c r="AS2" s="687">
        <f t="shared" si="1"/>
        <v>0</v>
      </c>
      <c r="AT2" s="687">
        <f t="shared" si="1"/>
        <v>0</v>
      </c>
      <c r="AU2" s="687">
        <f t="shared" si="1"/>
        <v>0</v>
      </c>
      <c r="AV2" s="687">
        <f t="shared" si="1"/>
        <v>0</v>
      </c>
      <c r="AW2" s="687">
        <f t="shared" si="1"/>
        <v>0</v>
      </c>
      <c r="AX2" s="687">
        <f t="shared" si="1"/>
        <v>0</v>
      </c>
      <c r="AY2" s="687">
        <f t="shared" si="1"/>
        <v>0</v>
      </c>
      <c r="AZ2" s="687">
        <f t="shared" si="1"/>
        <v>0</v>
      </c>
      <c r="BA2" s="687">
        <f t="shared" si="1"/>
        <v>0</v>
      </c>
      <c r="BB2" s="687">
        <f t="shared" si="1"/>
        <v>0</v>
      </c>
      <c r="BC2" s="687">
        <f t="shared" si="1"/>
        <v>0</v>
      </c>
      <c r="BD2" s="687">
        <f t="shared" si="1"/>
        <v>3100</v>
      </c>
      <c r="BE2" s="687">
        <f t="shared" si="1"/>
        <v>3300</v>
      </c>
    </row>
    <row r="3" spans="1:57" s="15" customFormat="1" ht="33" thickBot="1" x14ac:dyDescent="0.25">
      <c r="A3" s="55" t="s">
        <v>89</v>
      </c>
      <c r="B3" s="55" t="s">
        <v>90</v>
      </c>
      <c r="C3" s="677" t="s">
        <v>410</v>
      </c>
      <c r="D3" s="56" t="s">
        <v>92</v>
      </c>
      <c r="E3" s="688" t="s">
        <v>411</v>
      </c>
      <c r="F3" s="635">
        <v>46030</v>
      </c>
      <c r="G3" s="635">
        <f>+F3+7</f>
        <v>46037</v>
      </c>
      <c r="H3" s="635">
        <f t="shared" ref="H3:BE3" si="2">+G3+7</f>
        <v>46044</v>
      </c>
      <c r="I3" s="635">
        <f t="shared" si="2"/>
        <v>46051</v>
      </c>
      <c r="J3" s="635">
        <f t="shared" si="2"/>
        <v>46058</v>
      </c>
      <c r="K3" s="635">
        <f t="shared" si="2"/>
        <v>46065</v>
      </c>
      <c r="L3" s="635">
        <f t="shared" si="2"/>
        <v>46072</v>
      </c>
      <c r="M3" s="635">
        <f t="shared" si="2"/>
        <v>46079</v>
      </c>
      <c r="N3" s="689">
        <f t="shared" si="2"/>
        <v>46086</v>
      </c>
      <c r="O3" s="635">
        <f t="shared" si="2"/>
        <v>46093</v>
      </c>
      <c r="P3" s="635">
        <f t="shared" si="2"/>
        <v>46100</v>
      </c>
      <c r="Q3" s="635">
        <f t="shared" si="2"/>
        <v>46107</v>
      </c>
      <c r="R3" s="690">
        <f t="shared" si="2"/>
        <v>46114</v>
      </c>
      <c r="S3" s="689">
        <f t="shared" si="2"/>
        <v>46121</v>
      </c>
      <c r="T3" s="635">
        <f t="shared" si="2"/>
        <v>46128</v>
      </c>
      <c r="U3" s="635">
        <f t="shared" si="2"/>
        <v>46135</v>
      </c>
      <c r="V3" s="690">
        <f t="shared" si="2"/>
        <v>46142</v>
      </c>
      <c r="W3" s="689">
        <f t="shared" si="2"/>
        <v>46149</v>
      </c>
      <c r="X3" s="635">
        <f t="shared" si="2"/>
        <v>46156</v>
      </c>
      <c r="Y3" s="635">
        <f t="shared" si="2"/>
        <v>46163</v>
      </c>
      <c r="Z3" s="690">
        <f t="shared" si="2"/>
        <v>46170</v>
      </c>
      <c r="AA3" s="689">
        <f t="shared" si="2"/>
        <v>46177</v>
      </c>
      <c r="AB3" s="635">
        <f t="shared" si="2"/>
        <v>46184</v>
      </c>
      <c r="AC3" s="635">
        <f t="shared" si="2"/>
        <v>46191</v>
      </c>
      <c r="AD3" s="635">
        <f t="shared" si="2"/>
        <v>46198</v>
      </c>
      <c r="AE3" s="690">
        <f t="shared" si="2"/>
        <v>46205</v>
      </c>
      <c r="AF3" s="689">
        <f t="shared" si="2"/>
        <v>46212</v>
      </c>
      <c r="AG3" s="635">
        <f t="shared" si="2"/>
        <v>46219</v>
      </c>
      <c r="AH3" s="635">
        <f t="shared" si="2"/>
        <v>46226</v>
      </c>
      <c r="AI3" s="690">
        <f t="shared" si="2"/>
        <v>46233</v>
      </c>
      <c r="AJ3" s="689">
        <f t="shared" si="2"/>
        <v>46240</v>
      </c>
      <c r="AK3" s="635">
        <f t="shared" si="2"/>
        <v>46247</v>
      </c>
      <c r="AL3" s="635">
        <f t="shared" si="2"/>
        <v>46254</v>
      </c>
      <c r="AM3" s="690">
        <f t="shared" si="2"/>
        <v>46261</v>
      </c>
      <c r="AN3" s="689">
        <f t="shared" si="2"/>
        <v>46268</v>
      </c>
      <c r="AO3" s="635">
        <f t="shared" si="2"/>
        <v>46275</v>
      </c>
      <c r="AP3" s="635">
        <f t="shared" si="2"/>
        <v>46282</v>
      </c>
      <c r="AQ3" s="635">
        <f t="shared" si="2"/>
        <v>46289</v>
      </c>
      <c r="AR3" s="690">
        <f t="shared" si="2"/>
        <v>46296</v>
      </c>
      <c r="AS3" s="689">
        <f t="shared" si="2"/>
        <v>46303</v>
      </c>
      <c r="AT3" s="635">
        <f t="shared" si="2"/>
        <v>46310</v>
      </c>
      <c r="AU3" s="635">
        <f t="shared" si="2"/>
        <v>46317</v>
      </c>
      <c r="AV3" s="690">
        <f t="shared" si="2"/>
        <v>46324</v>
      </c>
      <c r="AW3" s="689">
        <f t="shared" si="2"/>
        <v>46331</v>
      </c>
      <c r="AX3" s="635">
        <f t="shared" si="2"/>
        <v>46338</v>
      </c>
      <c r="AY3" s="635">
        <f t="shared" si="2"/>
        <v>46345</v>
      </c>
      <c r="AZ3" s="690">
        <f t="shared" si="2"/>
        <v>46352</v>
      </c>
      <c r="BA3" s="689">
        <f t="shared" si="2"/>
        <v>46359</v>
      </c>
      <c r="BB3" s="635">
        <f t="shared" si="2"/>
        <v>46366</v>
      </c>
      <c r="BC3" s="635">
        <f t="shared" si="2"/>
        <v>46373</v>
      </c>
      <c r="BD3" s="635">
        <f t="shared" si="2"/>
        <v>46380</v>
      </c>
      <c r="BE3" s="690">
        <f t="shared" si="2"/>
        <v>46387</v>
      </c>
    </row>
    <row r="4" spans="1:57" x14ac:dyDescent="0.2">
      <c r="A4" s="631" t="s">
        <v>15</v>
      </c>
      <c r="B4" s="691">
        <v>2430</v>
      </c>
      <c r="C4" s="631" t="e">
        <f>SUM(#REF!)</f>
        <v>#REF!</v>
      </c>
      <c r="D4" s="691" t="e">
        <f>B4-C4</f>
        <v>#REF!</v>
      </c>
      <c r="E4" s="692" t="str" cm="1">
        <f t="array" ref="E4">IFERROR(_xlfn.XLOOKUP(TRUE,$F4:$M4&lt;&gt;"",$F4:$M4,,0,-1),"")</f>
        <v/>
      </c>
      <c r="F4" s="466"/>
      <c r="G4" s="25"/>
      <c r="H4" s="25"/>
      <c r="I4" s="467"/>
      <c r="J4" s="466"/>
      <c r="K4" s="25"/>
      <c r="L4" s="25"/>
      <c r="M4" s="25"/>
      <c r="N4" s="24"/>
      <c r="O4" s="25"/>
      <c r="P4" s="25"/>
      <c r="Q4" s="25"/>
      <c r="R4" s="60"/>
      <c r="S4" s="24"/>
      <c r="T4" s="25"/>
      <c r="U4" s="25"/>
      <c r="V4" s="60"/>
      <c r="W4" s="24"/>
      <c r="X4" s="25"/>
      <c r="Y4" s="25"/>
      <c r="Z4" s="60"/>
      <c r="AA4" s="24"/>
      <c r="AB4" s="25"/>
      <c r="AC4" s="25"/>
      <c r="AD4" s="25"/>
      <c r="AE4" s="60"/>
      <c r="AF4" s="24"/>
      <c r="AG4" s="25"/>
      <c r="AH4" s="25"/>
      <c r="AI4" s="60"/>
      <c r="AJ4" s="24"/>
      <c r="AK4" s="25"/>
      <c r="AL4" s="25"/>
      <c r="AM4" s="60"/>
      <c r="AN4" s="24"/>
      <c r="AO4" s="25"/>
      <c r="AP4" s="25"/>
      <c r="AQ4" s="25"/>
      <c r="AR4" s="60"/>
      <c r="AS4" s="24"/>
      <c r="AT4" s="25"/>
      <c r="AU4" s="25"/>
      <c r="AV4" s="60"/>
      <c r="AW4" s="24"/>
      <c r="AX4" s="25"/>
      <c r="AY4" s="25"/>
      <c r="AZ4" s="60"/>
      <c r="BA4" s="24"/>
      <c r="BB4" s="25"/>
      <c r="BC4" s="25"/>
      <c r="BD4" s="25"/>
      <c r="BE4" s="60"/>
    </row>
    <row r="5" spans="1:57" x14ac:dyDescent="0.2">
      <c r="A5" s="648" t="s">
        <v>202</v>
      </c>
      <c r="B5" s="693">
        <v>600</v>
      </c>
      <c r="C5" s="648">
        <f>SUM(F5:M5)</f>
        <v>0</v>
      </c>
      <c r="D5" s="693">
        <f>B5-C5</f>
        <v>600</v>
      </c>
      <c r="E5" s="694" t="str" cm="1">
        <f t="array" ref="E5">IFERROR(_xlfn.XLOOKUP(TRUE,$F5:$M5&lt;&gt;"",$F5:$M5,,0,-1),"")</f>
        <v/>
      </c>
      <c r="F5" s="162"/>
      <c r="I5" s="163"/>
      <c r="J5" s="162"/>
      <c r="N5" s="17"/>
      <c r="R5" s="18"/>
      <c r="S5" s="17"/>
      <c r="V5" s="18"/>
      <c r="W5" s="17"/>
      <c r="Z5" s="18"/>
      <c r="AA5" s="17"/>
      <c r="AE5" s="18"/>
      <c r="AF5" s="17"/>
      <c r="AI5" s="18"/>
      <c r="AJ5" s="17"/>
      <c r="AM5" s="18"/>
      <c r="AN5" s="17"/>
      <c r="AR5" s="18"/>
      <c r="AS5" s="17"/>
      <c r="AV5" s="18"/>
      <c r="AW5" s="17"/>
      <c r="AZ5" s="18"/>
      <c r="BA5" s="17"/>
      <c r="BE5" s="18"/>
    </row>
    <row r="6" spans="1:57" x14ac:dyDescent="0.2">
      <c r="A6" s="648" t="s">
        <v>202</v>
      </c>
      <c r="B6" s="693">
        <v>600</v>
      </c>
      <c r="C6" s="648">
        <f>SUM(F6:M6)</f>
        <v>0</v>
      </c>
      <c r="D6" s="693">
        <f>B6-C6</f>
        <v>600</v>
      </c>
      <c r="E6" s="694" t="str" cm="1">
        <f t="array" ref="E6">IFERROR(_xlfn.XLOOKUP(TRUE,$F6:$M6&lt;&gt;"",$F6:$M6,,0,-1),"")</f>
        <v/>
      </c>
      <c r="F6" s="162"/>
      <c r="I6" s="163"/>
      <c r="J6" s="162"/>
      <c r="N6" s="17"/>
      <c r="R6" s="18"/>
      <c r="S6" s="17"/>
      <c r="V6" s="18"/>
      <c r="W6" s="17"/>
      <c r="Z6" s="18"/>
      <c r="AA6" s="17"/>
      <c r="AE6" s="18"/>
      <c r="AF6" s="17"/>
      <c r="AI6" s="18"/>
      <c r="AJ6" s="17"/>
      <c r="AM6" s="18"/>
      <c r="AN6" s="17"/>
      <c r="AR6" s="18"/>
      <c r="AS6" s="17"/>
      <c r="AV6" s="18"/>
      <c r="AW6" s="17"/>
      <c r="AZ6" s="18"/>
      <c r="BA6" s="17"/>
      <c r="BE6" s="18"/>
    </row>
    <row r="7" spans="1:57" x14ac:dyDescent="0.2">
      <c r="A7" s="631" t="s">
        <v>202</v>
      </c>
      <c r="B7" s="691">
        <v>600</v>
      </c>
      <c r="C7" s="631">
        <f>SUM(F7:M7)</f>
        <v>0</v>
      </c>
      <c r="D7" s="691">
        <f>B7-C7</f>
        <v>600</v>
      </c>
      <c r="E7" s="692" t="str" cm="1">
        <f t="array" ref="E7">IFERROR(_xlfn.XLOOKUP(TRUE,$F7:$M7&lt;&gt;"",$F7:$M7,,0,-1),"")</f>
        <v/>
      </c>
      <c r="F7" s="162"/>
      <c r="I7" s="163"/>
      <c r="J7" s="162"/>
      <c r="N7" s="17"/>
      <c r="R7" s="18"/>
      <c r="S7" s="17"/>
      <c r="V7" s="18"/>
      <c r="W7" s="17"/>
      <c r="Z7" s="18"/>
      <c r="AA7" s="17"/>
      <c r="AE7" s="18"/>
      <c r="AF7" s="17"/>
      <c r="AI7" s="18"/>
      <c r="AJ7" s="17"/>
      <c r="AM7" s="18"/>
      <c r="AN7" s="17"/>
      <c r="AR7" s="18"/>
      <c r="AS7" s="17"/>
      <c r="AV7" s="18"/>
      <c r="AW7" s="17"/>
      <c r="AZ7" s="18"/>
      <c r="BA7" s="17"/>
      <c r="BE7" s="18"/>
    </row>
    <row r="8" spans="1:57" ht="16" thickBot="1" x14ac:dyDescent="0.25">
      <c r="A8" s="648" t="s">
        <v>202</v>
      </c>
      <c r="B8" s="693">
        <v>600</v>
      </c>
      <c r="C8" s="695">
        <f>SUM(F8:M8)</f>
        <v>0</v>
      </c>
      <c r="D8" s="693">
        <f>B8-C8</f>
        <v>600</v>
      </c>
      <c r="E8" s="694" t="str" cm="1">
        <f t="array" ref="E8">IFERROR(_xlfn.XLOOKUP(TRUE,$F8:$M8&lt;&gt;"",$F8:$M8,,0,-1),"")</f>
        <v/>
      </c>
      <c r="F8" s="162"/>
      <c r="I8" s="163"/>
      <c r="J8" s="162"/>
      <c r="N8" s="17"/>
      <c r="R8" s="18"/>
      <c r="S8" s="17"/>
      <c r="V8" s="18"/>
      <c r="W8" s="17"/>
      <c r="Z8" s="18"/>
      <c r="AA8" s="17"/>
      <c r="AE8" s="18"/>
      <c r="AF8" s="17"/>
      <c r="AI8" s="18"/>
      <c r="AJ8" s="17"/>
      <c r="AM8" s="18"/>
      <c r="AN8" s="17"/>
      <c r="AR8" s="18"/>
      <c r="AS8" s="17"/>
      <c r="AV8" s="18"/>
      <c r="AW8" s="17"/>
      <c r="AZ8" s="18"/>
      <c r="BA8" s="17"/>
      <c r="BE8" s="18"/>
    </row>
    <row r="9" spans="1:57" ht="18" customHeight="1" x14ac:dyDescent="0.2">
      <c r="A9" s="11" t="s">
        <v>4</v>
      </c>
      <c r="B9" s="696">
        <v>10000</v>
      </c>
      <c r="C9" s="1030" t="s">
        <v>412</v>
      </c>
      <c r="D9" s="697">
        <f>+B9-SUM(F9:BE9)</f>
        <v>0</v>
      </c>
      <c r="E9" s="698"/>
      <c r="F9" s="175">
        <v>4125</v>
      </c>
      <c r="G9" s="137">
        <v>4125</v>
      </c>
      <c r="H9" s="137">
        <v>1750</v>
      </c>
      <c r="I9" s="174"/>
      <c r="J9" s="175"/>
      <c r="K9" s="137"/>
      <c r="L9" s="137"/>
      <c r="M9" s="137"/>
      <c r="N9" s="247"/>
      <c r="O9" s="137"/>
      <c r="P9" s="137"/>
      <c r="Q9" s="137"/>
      <c r="R9" s="271"/>
      <c r="S9" s="247"/>
      <c r="T9" s="137"/>
      <c r="U9" s="137"/>
      <c r="V9" s="271"/>
      <c r="W9" s="247"/>
      <c r="X9" s="137"/>
      <c r="Y9" s="137"/>
      <c r="Z9" s="271"/>
      <c r="AA9" s="247"/>
      <c r="AB9" s="137"/>
      <c r="AC9" s="137"/>
      <c r="AD9" s="137"/>
      <c r="AE9" s="271"/>
      <c r="AF9" s="247"/>
      <c r="AG9" s="137"/>
      <c r="AH9" s="137"/>
      <c r="AI9" s="271"/>
      <c r="AJ9" s="247"/>
      <c r="AK9" s="137"/>
      <c r="AL9" s="137"/>
      <c r="AM9" s="271"/>
      <c r="AN9" s="247"/>
      <c r="AO9" s="137"/>
      <c r="AP9" s="137"/>
      <c r="AQ9" s="137"/>
      <c r="AR9" s="271"/>
      <c r="AS9" s="247"/>
      <c r="AT9" s="137"/>
      <c r="AU9" s="137"/>
      <c r="AV9" s="271"/>
      <c r="AW9" s="247"/>
      <c r="AX9" s="137"/>
      <c r="AY9" s="137"/>
      <c r="AZ9" s="271"/>
      <c r="BA9" s="247"/>
      <c r="BB9" s="137"/>
      <c r="BC9" s="137"/>
      <c r="BD9" s="137"/>
      <c r="BE9" s="271"/>
    </row>
    <row r="10" spans="1:57" x14ac:dyDescent="0.2">
      <c r="A10" s="11" t="s">
        <v>202</v>
      </c>
      <c r="B10" s="696">
        <v>1500</v>
      </c>
      <c r="C10" s="1031"/>
      <c r="D10" s="697">
        <f t="shared" ref="D10:D17" si="3">+B10-SUM(F10:BE10)</f>
        <v>0</v>
      </c>
      <c r="E10" s="698"/>
      <c r="F10" s="175"/>
      <c r="G10" s="137"/>
      <c r="H10" s="137">
        <v>1500</v>
      </c>
      <c r="I10" s="174"/>
      <c r="J10" s="175"/>
      <c r="K10" s="137"/>
      <c r="L10" s="137"/>
      <c r="M10" s="137"/>
      <c r="N10" s="247"/>
      <c r="O10" s="137"/>
      <c r="P10" s="137"/>
      <c r="Q10" s="137"/>
      <c r="R10" s="271"/>
      <c r="S10" s="247"/>
      <c r="T10" s="137"/>
      <c r="U10" s="137"/>
      <c r="V10" s="271"/>
      <c r="W10" s="247"/>
      <c r="X10" s="137"/>
      <c r="Y10" s="137"/>
      <c r="Z10" s="271"/>
      <c r="AA10" s="247"/>
      <c r="AB10" s="137"/>
      <c r="AC10" s="137"/>
      <c r="AD10" s="137"/>
      <c r="AE10" s="271"/>
      <c r="AF10" s="247"/>
      <c r="AG10" s="137"/>
      <c r="AH10" s="137"/>
      <c r="AI10" s="271"/>
      <c r="AJ10" s="247"/>
      <c r="AK10" s="137"/>
      <c r="AL10" s="137"/>
      <c r="AM10" s="271"/>
      <c r="AN10" s="247"/>
      <c r="AO10" s="137"/>
      <c r="AP10" s="137"/>
      <c r="AQ10" s="137"/>
      <c r="AR10" s="271"/>
      <c r="AS10" s="247"/>
      <c r="AT10" s="137"/>
      <c r="AU10" s="137"/>
      <c r="AV10" s="271"/>
      <c r="AW10" s="247"/>
      <c r="AX10" s="137"/>
      <c r="AY10" s="137"/>
      <c r="AZ10" s="271"/>
      <c r="BA10" s="247"/>
      <c r="BB10" s="137"/>
      <c r="BC10" s="137"/>
      <c r="BD10" s="137"/>
      <c r="BE10" s="271"/>
    </row>
    <row r="11" spans="1:57" x14ac:dyDescent="0.2">
      <c r="A11" s="11" t="s">
        <v>8</v>
      </c>
      <c r="B11" s="696">
        <v>1000</v>
      </c>
      <c r="C11" s="1031"/>
      <c r="D11" s="697">
        <f t="shared" si="3"/>
        <v>0</v>
      </c>
      <c r="E11" s="698"/>
      <c r="F11" s="175"/>
      <c r="G11" s="137"/>
      <c r="H11" s="137">
        <v>875</v>
      </c>
      <c r="I11" s="174">
        <v>125</v>
      </c>
      <c r="J11" s="175"/>
      <c r="K11" s="137"/>
      <c r="L11" s="137"/>
      <c r="M11" s="137"/>
      <c r="N11" s="247"/>
      <c r="O11" s="137"/>
      <c r="P11" s="137"/>
      <c r="Q11" s="137"/>
      <c r="R11" s="271"/>
      <c r="S11" s="247"/>
      <c r="T11" s="137"/>
      <c r="U11" s="137"/>
      <c r="V11" s="271"/>
      <c r="W11" s="247"/>
      <c r="X11" s="137"/>
      <c r="Y11" s="137"/>
      <c r="Z11" s="271"/>
      <c r="AA11" s="247"/>
      <c r="AB11" s="137"/>
      <c r="AC11" s="137"/>
      <c r="AD11" s="137"/>
      <c r="AE11" s="271"/>
      <c r="AF11" s="247"/>
      <c r="AG11" s="137"/>
      <c r="AH11" s="137"/>
      <c r="AI11" s="271"/>
      <c r="AJ11" s="247"/>
      <c r="AK11" s="137"/>
      <c r="AL11" s="137"/>
      <c r="AM11" s="271"/>
      <c r="AN11" s="247"/>
      <c r="AO11" s="137"/>
      <c r="AP11" s="137"/>
      <c r="AQ11" s="137"/>
      <c r="AR11" s="271"/>
      <c r="AS11" s="247"/>
      <c r="AT11" s="137"/>
      <c r="AU11" s="137"/>
      <c r="AV11" s="271"/>
      <c r="AW11" s="247"/>
      <c r="AX11" s="137"/>
      <c r="AY11" s="137"/>
      <c r="AZ11" s="271"/>
      <c r="BA11" s="247"/>
      <c r="BB11" s="137"/>
      <c r="BC11" s="137"/>
      <c r="BD11" s="137"/>
      <c r="BE11" s="271"/>
    </row>
    <row r="12" spans="1:57" ht="22" customHeight="1" x14ac:dyDescent="0.2">
      <c r="A12" s="11" t="s">
        <v>201</v>
      </c>
      <c r="B12" s="696">
        <v>500</v>
      </c>
      <c r="C12" s="1031"/>
      <c r="D12" s="697">
        <f t="shared" si="3"/>
        <v>0</v>
      </c>
      <c r="E12" s="698"/>
      <c r="F12" s="175"/>
      <c r="G12" s="137"/>
      <c r="H12" s="137"/>
      <c r="I12" s="174">
        <v>500</v>
      </c>
      <c r="J12" s="175"/>
      <c r="K12" s="137"/>
      <c r="L12" s="137"/>
      <c r="M12" s="137"/>
      <c r="N12" s="247"/>
      <c r="O12" s="137"/>
      <c r="P12" s="137"/>
      <c r="Q12" s="137"/>
      <c r="R12" s="271"/>
      <c r="S12" s="247"/>
      <c r="T12" s="137"/>
      <c r="U12" s="137"/>
      <c r="V12" s="271"/>
      <c r="W12" s="247"/>
      <c r="X12" s="137"/>
      <c r="Y12" s="137"/>
      <c r="Z12" s="271"/>
      <c r="AA12" s="247"/>
      <c r="AB12" s="137"/>
      <c r="AC12" s="137"/>
      <c r="AD12" s="137"/>
      <c r="AE12" s="271"/>
      <c r="AF12" s="247"/>
      <c r="AG12" s="137"/>
      <c r="AH12" s="137"/>
      <c r="AI12" s="271"/>
      <c r="AJ12" s="247"/>
      <c r="AK12" s="137"/>
      <c r="AL12" s="137"/>
      <c r="AM12" s="271"/>
      <c r="AN12" s="247"/>
      <c r="AO12" s="137"/>
      <c r="AP12" s="137"/>
      <c r="AQ12" s="137"/>
      <c r="AR12" s="271"/>
      <c r="AS12" s="247"/>
      <c r="AT12" s="137"/>
      <c r="AU12" s="137"/>
      <c r="AV12" s="271"/>
      <c r="AW12" s="247"/>
      <c r="AX12" s="137"/>
      <c r="AY12" s="137"/>
      <c r="AZ12" s="271"/>
      <c r="BA12" s="247"/>
      <c r="BB12" s="137"/>
      <c r="BC12" s="137"/>
      <c r="BD12" s="137"/>
      <c r="BE12" s="271"/>
    </row>
    <row r="13" spans="1:57" ht="21" customHeight="1" x14ac:dyDescent="0.2">
      <c r="A13" s="11" t="s">
        <v>15</v>
      </c>
      <c r="B13" s="696">
        <v>1750</v>
      </c>
      <c r="C13" s="1031"/>
      <c r="D13" s="697">
        <f t="shared" si="3"/>
        <v>0</v>
      </c>
      <c r="E13" s="698"/>
      <c r="F13" s="175"/>
      <c r="G13" s="137"/>
      <c r="H13" s="137"/>
      <c r="I13" s="174">
        <v>1750</v>
      </c>
      <c r="J13" s="175"/>
      <c r="K13" s="137"/>
      <c r="L13" s="137"/>
      <c r="M13" s="137"/>
      <c r="N13" s="247"/>
      <c r="O13" s="137"/>
      <c r="P13" s="137"/>
      <c r="Q13" s="137"/>
      <c r="R13" s="271"/>
      <c r="S13" s="247"/>
      <c r="T13" s="137"/>
      <c r="U13" s="137"/>
      <c r="V13" s="271"/>
      <c r="W13" s="247"/>
      <c r="X13" s="137"/>
      <c r="Y13" s="137"/>
      <c r="Z13" s="271"/>
      <c r="AA13" s="247"/>
      <c r="AB13" s="137"/>
      <c r="AC13" s="137"/>
      <c r="AD13" s="137"/>
      <c r="AE13" s="271"/>
      <c r="AF13" s="247"/>
      <c r="AG13" s="137"/>
      <c r="AH13" s="137"/>
      <c r="AI13" s="271"/>
      <c r="AJ13" s="247"/>
      <c r="AK13" s="137"/>
      <c r="AL13" s="137"/>
      <c r="AM13" s="271"/>
      <c r="AN13" s="247"/>
      <c r="AO13" s="137"/>
      <c r="AP13" s="137"/>
      <c r="AQ13" s="137"/>
      <c r="AR13" s="271"/>
      <c r="AS13" s="247"/>
      <c r="AT13" s="137"/>
      <c r="AU13" s="137"/>
      <c r="AV13" s="271"/>
      <c r="AW13" s="247"/>
      <c r="AX13" s="137"/>
      <c r="AY13" s="137"/>
      <c r="AZ13" s="271"/>
      <c r="BA13" s="247"/>
      <c r="BB13" s="137"/>
      <c r="BC13" s="137"/>
      <c r="BD13" s="137"/>
      <c r="BE13" s="271"/>
    </row>
    <row r="14" spans="1:57" ht="32" customHeight="1" x14ac:dyDescent="0.2">
      <c r="A14" s="11" t="s">
        <v>29</v>
      </c>
      <c r="B14" s="699">
        <v>750</v>
      </c>
      <c r="C14" s="1031"/>
      <c r="D14" s="697">
        <f t="shared" si="3"/>
        <v>0</v>
      </c>
      <c r="E14" s="698"/>
      <c r="F14" s="175"/>
      <c r="G14" s="137"/>
      <c r="H14" s="137"/>
      <c r="I14" s="174">
        <v>750</v>
      </c>
      <c r="J14" s="175"/>
      <c r="K14" s="137"/>
      <c r="L14" s="137"/>
      <c r="M14" s="137"/>
      <c r="N14" s="247"/>
      <c r="O14" s="137"/>
      <c r="P14" s="137"/>
      <c r="Q14" s="137"/>
      <c r="R14" s="271"/>
      <c r="S14" s="247"/>
      <c r="T14" s="137"/>
      <c r="U14" s="137"/>
      <c r="V14" s="271"/>
      <c r="W14" s="247"/>
      <c r="X14" s="137"/>
      <c r="Y14" s="137"/>
      <c r="Z14" s="271"/>
      <c r="AA14" s="247"/>
      <c r="AB14" s="137"/>
      <c r="AC14" s="137"/>
      <c r="AD14" s="137"/>
      <c r="AE14" s="271"/>
      <c r="AF14" s="247"/>
      <c r="AG14" s="137"/>
      <c r="AH14" s="137"/>
      <c r="AI14" s="271"/>
      <c r="AJ14" s="247"/>
      <c r="AK14" s="137"/>
      <c r="AL14" s="137"/>
      <c r="AM14" s="271"/>
      <c r="AN14" s="247"/>
      <c r="AO14" s="137"/>
      <c r="AP14" s="137"/>
      <c r="AQ14" s="137"/>
      <c r="AR14" s="271"/>
      <c r="AS14" s="247"/>
      <c r="AT14" s="137"/>
      <c r="AU14" s="137"/>
      <c r="AV14" s="271"/>
      <c r="AW14" s="247"/>
      <c r="AX14" s="137"/>
      <c r="AY14" s="137"/>
      <c r="AZ14" s="271"/>
      <c r="BA14" s="247"/>
      <c r="BB14" s="137"/>
      <c r="BC14" s="137"/>
      <c r="BD14" s="137"/>
      <c r="BE14" s="271"/>
    </row>
    <row r="15" spans="1:57" ht="53" customHeight="1" x14ac:dyDescent="0.2">
      <c r="A15" s="632" t="s">
        <v>224</v>
      </c>
      <c r="B15" s="700">
        <v>500</v>
      </c>
      <c r="C15" s="1031"/>
      <c r="D15" s="697">
        <f t="shared" si="3"/>
        <v>0</v>
      </c>
      <c r="E15" s="701"/>
      <c r="F15" s="175"/>
      <c r="G15" s="137"/>
      <c r="H15" s="137"/>
      <c r="I15" s="174">
        <v>500</v>
      </c>
      <c r="J15" s="175"/>
      <c r="K15" s="137"/>
      <c r="L15" s="137"/>
      <c r="M15" s="137"/>
      <c r="N15" s="247"/>
      <c r="O15" s="137"/>
      <c r="P15" s="137"/>
      <c r="Q15" s="137"/>
      <c r="R15" s="271"/>
      <c r="S15" s="247"/>
      <c r="T15" s="137"/>
      <c r="U15" s="137"/>
      <c r="V15" s="271"/>
      <c r="W15" s="247"/>
      <c r="X15" s="137"/>
      <c r="Y15" s="137"/>
      <c r="Z15" s="271"/>
      <c r="AA15" s="247"/>
      <c r="AB15" s="137"/>
      <c r="AC15" s="137"/>
      <c r="AD15" s="137"/>
      <c r="AE15" s="271"/>
      <c r="AF15" s="247"/>
      <c r="AG15" s="137"/>
      <c r="AH15" s="137"/>
      <c r="AI15" s="271"/>
      <c r="AJ15" s="247"/>
      <c r="AK15" s="137"/>
      <c r="AL15" s="137"/>
      <c r="AM15" s="271"/>
      <c r="AN15" s="247"/>
      <c r="AO15" s="137"/>
      <c r="AP15" s="137"/>
      <c r="AQ15" s="137"/>
      <c r="AR15" s="271"/>
      <c r="AS15" s="247"/>
      <c r="AT15" s="137"/>
      <c r="AU15" s="137"/>
      <c r="AV15" s="271"/>
      <c r="AW15" s="247"/>
      <c r="AX15" s="137"/>
      <c r="AY15" s="137"/>
      <c r="AZ15" s="271"/>
      <c r="BA15" s="247"/>
      <c r="BB15" s="137"/>
      <c r="BC15" s="137"/>
      <c r="BD15" s="137"/>
      <c r="BE15" s="271"/>
    </row>
    <row r="16" spans="1:57" ht="16" x14ac:dyDescent="0.2">
      <c r="A16" s="632" t="s">
        <v>413</v>
      </c>
      <c r="B16" s="700">
        <v>500</v>
      </c>
      <c r="C16" s="1031"/>
      <c r="D16" s="697">
        <f t="shared" si="3"/>
        <v>0</v>
      </c>
      <c r="E16" s="701"/>
      <c r="F16" s="175"/>
      <c r="G16" s="137"/>
      <c r="H16" s="137"/>
      <c r="I16" s="174">
        <v>500</v>
      </c>
      <c r="J16" s="175"/>
      <c r="K16" s="137"/>
      <c r="L16" s="137"/>
      <c r="M16" s="137"/>
      <c r="N16" s="247"/>
      <c r="O16" s="137"/>
      <c r="P16" s="137"/>
      <c r="Q16" s="137"/>
      <c r="R16" s="271"/>
      <c r="S16" s="247"/>
      <c r="T16" s="137"/>
      <c r="U16" s="137"/>
      <c r="V16" s="271"/>
      <c r="W16" s="247"/>
      <c r="X16" s="137"/>
      <c r="Y16" s="137"/>
      <c r="Z16" s="271"/>
      <c r="AA16" s="247"/>
      <c r="AB16" s="137"/>
      <c r="AC16" s="137"/>
      <c r="AD16" s="137"/>
      <c r="AE16" s="271"/>
      <c r="AF16" s="247"/>
      <c r="AG16" s="137"/>
      <c r="AH16" s="137"/>
      <c r="AI16" s="271"/>
      <c r="AJ16" s="247"/>
      <c r="AK16" s="137"/>
      <c r="AL16" s="137"/>
      <c r="AM16" s="271"/>
      <c r="AN16" s="247"/>
      <c r="AO16" s="137"/>
      <c r="AP16" s="137"/>
      <c r="AQ16" s="137"/>
      <c r="AR16" s="271"/>
      <c r="AS16" s="247"/>
      <c r="AT16" s="137"/>
      <c r="AU16" s="137"/>
      <c r="AV16" s="271"/>
      <c r="AW16" s="247"/>
      <c r="AX16" s="137"/>
      <c r="AY16" s="137"/>
      <c r="AZ16" s="271"/>
      <c r="BA16" s="247"/>
      <c r="BB16" s="137"/>
      <c r="BC16" s="137"/>
      <c r="BD16" s="137"/>
      <c r="BE16" s="271"/>
    </row>
    <row r="17" spans="1:57" ht="19" customHeight="1" thickBot="1" x14ac:dyDescent="0.25">
      <c r="A17" s="246" t="s">
        <v>414</v>
      </c>
      <c r="B17" s="702"/>
      <c r="C17" s="1032"/>
      <c r="D17" s="697">
        <f t="shared" si="3"/>
        <v>0</v>
      </c>
      <c r="E17" s="703"/>
      <c r="F17" s="175"/>
      <c r="G17" s="137"/>
      <c r="H17" s="137"/>
      <c r="I17" s="174"/>
      <c r="J17" s="175"/>
      <c r="K17" s="137"/>
      <c r="L17" s="137"/>
      <c r="M17" s="137"/>
      <c r="N17" s="247"/>
      <c r="O17" s="137"/>
      <c r="P17" s="137"/>
      <c r="Q17" s="137"/>
      <c r="R17" s="271"/>
      <c r="S17" s="247"/>
      <c r="T17" s="137"/>
      <c r="U17" s="137"/>
      <c r="V17" s="271"/>
      <c r="W17" s="247"/>
      <c r="X17" s="137"/>
      <c r="Y17" s="137"/>
      <c r="Z17" s="271"/>
      <c r="AA17" s="247"/>
      <c r="AB17" s="137"/>
      <c r="AC17" s="137"/>
      <c r="AD17" s="137"/>
      <c r="AE17" s="271"/>
      <c r="AF17" s="247"/>
      <c r="AG17" s="137"/>
      <c r="AH17" s="137"/>
      <c r="AI17" s="271"/>
      <c r="AJ17" s="247"/>
      <c r="AK17" s="137"/>
      <c r="AL17" s="137"/>
      <c r="AM17" s="271"/>
      <c r="AN17" s="247"/>
      <c r="AO17" s="137"/>
      <c r="AP17" s="137"/>
      <c r="AQ17" s="137"/>
      <c r="AR17" s="271"/>
      <c r="AS17" s="247"/>
      <c r="AT17" s="137"/>
      <c r="AU17" s="137"/>
      <c r="AV17" s="271"/>
      <c r="AW17" s="247"/>
      <c r="AX17" s="137"/>
      <c r="AY17" s="137"/>
      <c r="AZ17" s="271"/>
      <c r="BA17" s="247"/>
      <c r="BB17" s="137"/>
      <c r="BC17" s="137"/>
      <c r="BD17" s="137"/>
      <c r="BE17" s="271"/>
    </row>
    <row r="18" spans="1:57" ht="19" hidden="1" customHeight="1" x14ac:dyDescent="0.2">
      <c r="A18" s="246"/>
      <c r="B18" s="704"/>
      <c r="C18" s="705"/>
      <c r="D18" s="706"/>
      <c r="E18" s="703"/>
      <c r="F18" s="175"/>
      <c r="G18" s="137"/>
      <c r="H18" s="137"/>
      <c r="I18" s="174"/>
      <c r="J18" s="175"/>
      <c r="K18" s="137"/>
      <c r="L18" s="137"/>
      <c r="M18" s="137"/>
      <c r="N18" s="247"/>
      <c r="O18" s="137"/>
      <c r="P18" s="137"/>
      <c r="Q18" s="137"/>
      <c r="R18" s="271"/>
      <c r="S18" s="247"/>
      <c r="T18" s="137"/>
      <c r="U18" s="137"/>
      <c r="V18" s="271"/>
      <c r="W18" s="247"/>
      <c r="X18" s="137"/>
      <c r="Y18" s="137"/>
      <c r="Z18" s="271"/>
      <c r="AA18" s="247"/>
      <c r="AB18" s="137"/>
      <c r="AC18" s="137"/>
      <c r="AD18" s="137"/>
      <c r="AE18" s="271"/>
      <c r="AF18" s="247"/>
      <c r="AG18" s="137"/>
      <c r="AH18" s="137"/>
      <c r="AI18" s="271"/>
      <c r="AJ18" s="247"/>
      <c r="AK18" s="137"/>
      <c r="AL18" s="137"/>
      <c r="AM18" s="271"/>
      <c r="AN18" s="247"/>
      <c r="AO18" s="137"/>
      <c r="AP18" s="137"/>
      <c r="AQ18" s="137"/>
      <c r="AR18" s="271"/>
      <c r="AS18" s="247"/>
      <c r="AT18" s="137"/>
      <c r="AU18" s="137"/>
      <c r="AV18" s="271"/>
      <c r="AW18" s="247"/>
      <c r="AX18" s="137"/>
      <c r="AY18" s="137"/>
      <c r="AZ18" s="271"/>
      <c r="BA18" s="247"/>
      <c r="BB18" s="137"/>
      <c r="BC18" s="137"/>
      <c r="BD18" s="137"/>
      <c r="BE18" s="271"/>
    </row>
    <row r="19" spans="1:57" ht="19" customHeight="1" x14ac:dyDescent="0.2">
      <c r="A19" s="11" t="s">
        <v>4</v>
      </c>
      <c r="B19" s="696">
        <v>10000</v>
      </c>
      <c r="C19" s="1030" t="s">
        <v>415</v>
      </c>
      <c r="D19" s="697">
        <f>+B19-SUM(F19:BE19)</f>
        <v>0</v>
      </c>
      <c r="E19" s="703"/>
      <c r="F19" s="175"/>
      <c r="G19" s="137"/>
      <c r="H19" s="137"/>
      <c r="I19" s="174"/>
      <c r="J19" s="175">
        <v>4125</v>
      </c>
      <c r="K19" s="137">
        <v>3300</v>
      </c>
      <c r="L19" s="137">
        <v>2575</v>
      </c>
      <c r="M19" s="137"/>
      <c r="N19" s="247"/>
      <c r="O19" s="137"/>
      <c r="P19" s="137"/>
      <c r="Q19" s="137"/>
      <c r="R19" s="271"/>
      <c r="S19" s="247"/>
      <c r="T19" s="137"/>
      <c r="U19" s="137"/>
      <c r="V19" s="271"/>
      <c r="W19" s="247"/>
      <c r="X19" s="137"/>
      <c r="Y19" s="137"/>
      <c r="Z19" s="271"/>
      <c r="AA19" s="247"/>
      <c r="AB19" s="137"/>
      <c r="AC19" s="137"/>
      <c r="AD19" s="137"/>
      <c r="AE19" s="271"/>
      <c r="AF19" s="247"/>
      <c r="AG19" s="137"/>
      <c r="AH19" s="137"/>
      <c r="AI19" s="271"/>
      <c r="AJ19" s="247"/>
      <c r="AK19" s="137"/>
      <c r="AL19" s="137"/>
      <c r="AM19" s="271"/>
      <c r="AN19" s="247"/>
      <c r="AO19" s="137"/>
      <c r="AP19" s="137"/>
      <c r="AQ19" s="137"/>
      <c r="AR19" s="271"/>
      <c r="AS19" s="247"/>
      <c r="AT19" s="137"/>
      <c r="AU19" s="137"/>
      <c r="AV19" s="271"/>
      <c r="AW19" s="247"/>
      <c r="AX19" s="137"/>
      <c r="AY19" s="137"/>
      <c r="AZ19" s="271"/>
      <c r="BA19" s="247"/>
      <c r="BB19" s="137"/>
      <c r="BC19" s="137"/>
      <c r="BD19" s="137"/>
      <c r="BE19" s="271"/>
    </row>
    <row r="20" spans="1:57" ht="19" customHeight="1" x14ac:dyDescent="0.2">
      <c r="A20" s="11" t="s">
        <v>202</v>
      </c>
      <c r="B20" s="696">
        <v>1500</v>
      </c>
      <c r="C20" s="1031"/>
      <c r="D20" s="697">
        <f t="shared" ref="D20:D27" si="4">+B20-SUM(F20:BE20)</f>
        <v>0</v>
      </c>
      <c r="E20" s="703"/>
      <c r="F20" s="175"/>
      <c r="G20" s="137"/>
      <c r="H20" s="137"/>
      <c r="I20" s="174"/>
      <c r="J20" s="175"/>
      <c r="K20" s="137"/>
      <c r="L20" s="137">
        <v>1500</v>
      </c>
      <c r="M20" s="137"/>
      <c r="N20" s="247"/>
      <c r="O20" s="137"/>
      <c r="P20" s="137"/>
      <c r="Q20" s="137"/>
      <c r="R20" s="271"/>
      <c r="S20" s="247"/>
      <c r="T20" s="137"/>
      <c r="U20" s="137"/>
      <c r="V20" s="271"/>
      <c r="W20" s="247"/>
      <c r="X20" s="137"/>
      <c r="Y20" s="137"/>
      <c r="Z20" s="271"/>
      <c r="AA20" s="247"/>
      <c r="AB20" s="137"/>
      <c r="AC20" s="137"/>
      <c r="AD20" s="137"/>
      <c r="AE20" s="271"/>
      <c r="AF20" s="247"/>
      <c r="AG20" s="137"/>
      <c r="AH20" s="137"/>
      <c r="AI20" s="271"/>
      <c r="AJ20" s="247"/>
      <c r="AK20" s="137"/>
      <c r="AL20" s="137"/>
      <c r="AM20" s="271"/>
      <c r="AN20" s="247"/>
      <c r="AO20" s="137"/>
      <c r="AP20" s="137"/>
      <c r="AQ20" s="137"/>
      <c r="AR20" s="271"/>
      <c r="AS20" s="247"/>
      <c r="AT20" s="137"/>
      <c r="AU20" s="137"/>
      <c r="AV20" s="271"/>
      <c r="AW20" s="247"/>
      <c r="AX20" s="137"/>
      <c r="AY20" s="137"/>
      <c r="AZ20" s="271"/>
      <c r="BA20" s="247"/>
      <c r="BB20" s="137"/>
      <c r="BC20" s="137"/>
      <c r="BD20" s="137"/>
      <c r="BE20" s="271"/>
    </row>
    <row r="21" spans="1:57" ht="21" customHeight="1" x14ac:dyDescent="0.2">
      <c r="A21" s="11" t="s">
        <v>8</v>
      </c>
      <c r="B21" s="696">
        <v>1000</v>
      </c>
      <c r="C21" s="1031"/>
      <c r="D21" s="697">
        <f t="shared" si="4"/>
        <v>0</v>
      </c>
      <c r="E21" s="703"/>
      <c r="F21" s="175"/>
      <c r="G21" s="137"/>
      <c r="H21" s="137"/>
      <c r="I21" s="174"/>
      <c r="J21" s="175"/>
      <c r="K21" s="137"/>
      <c r="L21" s="137">
        <v>50</v>
      </c>
      <c r="M21" s="137">
        <v>950</v>
      </c>
      <c r="N21" s="247"/>
      <c r="O21" s="137"/>
      <c r="P21" s="137"/>
      <c r="Q21" s="137"/>
      <c r="R21" s="271"/>
      <c r="S21" s="247"/>
      <c r="T21" s="137"/>
      <c r="U21" s="137"/>
      <c r="V21" s="271"/>
      <c r="W21" s="247"/>
      <c r="X21" s="137"/>
      <c r="Y21" s="137"/>
      <c r="Z21" s="271"/>
      <c r="AA21" s="247"/>
      <c r="AB21" s="137"/>
      <c r="AC21" s="137"/>
      <c r="AD21" s="137"/>
      <c r="AE21" s="271"/>
      <c r="AF21" s="247"/>
      <c r="AG21" s="137"/>
      <c r="AH21" s="137"/>
      <c r="AI21" s="271"/>
      <c r="AJ21" s="247"/>
      <c r="AK21" s="137"/>
      <c r="AL21" s="137"/>
      <c r="AM21" s="271"/>
      <c r="AN21" s="247"/>
      <c r="AO21" s="137"/>
      <c r="AP21" s="137"/>
      <c r="AQ21" s="137"/>
      <c r="AR21" s="271"/>
      <c r="AS21" s="247"/>
      <c r="AT21" s="137"/>
      <c r="AU21" s="137"/>
      <c r="AV21" s="271"/>
      <c r="AW21" s="247"/>
      <c r="AX21" s="137"/>
      <c r="AY21" s="137"/>
      <c r="AZ21" s="271"/>
      <c r="BA21" s="247"/>
      <c r="BB21" s="137"/>
      <c r="BC21" s="137"/>
      <c r="BD21" s="137"/>
      <c r="BE21" s="271"/>
    </row>
    <row r="22" spans="1:57" ht="21" customHeight="1" x14ac:dyDescent="0.2">
      <c r="A22" s="11" t="s">
        <v>201</v>
      </c>
      <c r="B22" s="696">
        <v>500</v>
      </c>
      <c r="C22" s="1031"/>
      <c r="D22" s="697">
        <f t="shared" si="4"/>
        <v>0</v>
      </c>
      <c r="E22" s="703"/>
      <c r="F22" s="175"/>
      <c r="G22" s="137"/>
      <c r="H22" s="137"/>
      <c r="I22" s="174"/>
      <c r="J22" s="175"/>
      <c r="K22" s="137"/>
      <c r="L22" s="137"/>
      <c r="M22" s="137">
        <v>500</v>
      </c>
      <c r="N22" s="247"/>
      <c r="O22" s="137"/>
      <c r="P22" s="137"/>
      <c r="Q22" s="137"/>
      <c r="R22" s="271"/>
      <c r="S22" s="247"/>
      <c r="T22" s="137"/>
      <c r="U22" s="137"/>
      <c r="V22" s="271"/>
      <c r="W22" s="247"/>
      <c r="X22" s="137"/>
      <c r="Y22" s="137"/>
      <c r="Z22" s="271"/>
      <c r="AA22" s="247"/>
      <c r="AB22" s="137"/>
      <c r="AC22" s="137"/>
      <c r="AD22" s="137"/>
      <c r="AE22" s="271"/>
      <c r="AF22" s="247"/>
      <c r="AG22" s="137"/>
      <c r="AH22" s="137"/>
      <c r="AI22" s="271"/>
      <c r="AJ22" s="247"/>
      <c r="AK22" s="137"/>
      <c r="AL22" s="137"/>
      <c r="AM22" s="271"/>
      <c r="AN22" s="247"/>
      <c r="AO22" s="137"/>
      <c r="AP22" s="137"/>
      <c r="AQ22" s="137"/>
      <c r="AR22" s="271"/>
      <c r="AS22" s="247"/>
      <c r="AT22" s="137"/>
      <c r="AU22" s="137"/>
      <c r="AV22" s="271"/>
      <c r="AW22" s="247"/>
      <c r="AX22" s="137"/>
      <c r="AY22" s="137"/>
      <c r="AZ22" s="271"/>
      <c r="BA22" s="247"/>
      <c r="BB22" s="137"/>
      <c r="BC22" s="137"/>
      <c r="BD22" s="137"/>
      <c r="BE22" s="271"/>
    </row>
    <row r="23" spans="1:57" ht="18" customHeight="1" x14ac:dyDescent="0.2">
      <c r="A23" s="11" t="s">
        <v>15</v>
      </c>
      <c r="B23" s="696">
        <v>1750</v>
      </c>
      <c r="C23" s="1031"/>
      <c r="D23" s="697">
        <f t="shared" si="4"/>
        <v>0</v>
      </c>
      <c r="E23" s="703"/>
      <c r="F23" s="175"/>
      <c r="G23" s="137"/>
      <c r="H23" s="137"/>
      <c r="I23" s="174"/>
      <c r="J23" s="175"/>
      <c r="K23" s="137"/>
      <c r="L23" s="137"/>
      <c r="M23" s="137">
        <v>1750</v>
      </c>
      <c r="N23" s="247"/>
      <c r="O23" s="137"/>
      <c r="P23" s="137"/>
      <c r="Q23" s="137"/>
      <c r="R23" s="271"/>
      <c r="S23" s="247"/>
      <c r="T23" s="137"/>
      <c r="U23" s="137"/>
      <c r="V23" s="271"/>
      <c r="W23" s="247"/>
      <c r="X23" s="137"/>
      <c r="Y23" s="137"/>
      <c r="Z23" s="271"/>
      <c r="AA23" s="247"/>
      <c r="AB23" s="137"/>
      <c r="AC23" s="137"/>
      <c r="AD23" s="137"/>
      <c r="AE23" s="271"/>
      <c r="AF23" s="247"/>
      <c r="AG23" s="137"/>
      <c r="AH23" s="137"/>
      <c r="AI23" s="271"/>
      <c r="AJ23" s="247"/>
      <c r="AK23" s="137"/>
      <c r="AL23" s="137"/>
      <c r="AM23" s="271"/>
      <c r="AN23" s="247"/>
      <c r="AO23" s="137"/>
      <c r="AP23" s="137"/>
      <c r="AQ23" s="137"/>
      <c r="AR23" s="271"/>
      <c r="AS23" s="247"/>
      <c r="AT23" s="137"/>
      <c r="AU23" s="137"/>
      <c r="AV23" s="271"/>
      <c r="AW23" s="247"/>
      <c r="AX23" s="137"/>
      <c r="AY23" s="137"/>
      <c r="AZ23" s="271"/>
      <c r="BA23" s="247"/>
      <c r="BB23" s="137"/>
      <c r="BC23" s="137"/>
      <c r="BD23" s="137"/>
      <c r="BE23" s="271"/>
    </row>
    <row r="24" spans="1:57" ht="18" customHeight="1" x14ac:dyDescent="0.2">
      <c r="A24" s="11" t="s">
        <v>29</v>
      </c>
      <c r="B24" s="699">
        <v>750</v>
      </c>
      <c r="C24" s="1031"/>
      <c r="D24" s="697">
        <f t="shared" si="4"/>
        <v>0</v>
      </c>
      <c r="E24" s="707"/>
      <c r="F24" s="175"/>
      <c r="G24" s="137"/>
      <c r="H24" s="137"/>
      <c r="I24" s="174"/>
      <c r="J24" s="175"/>
      <c r="K24" s="137"/>
      <c r="L24" s="137"/>
      <c r="M24" s="137">
        <v>750</v>
      </c>
      <c r="N24" s="247"/>
      <c r="O24" s="137"/>
      <c r="P24" s="137"/>
      <c r="Q24" s="137"/>
      <c r="R24" s="271"/>
      <c r="S24" s="247"/>
      <c r="T24" s="137"/>
      <c r="U24" s="137"/>
      <c r="V24" s="271"/>
      <c r="W24" s="247"/>
      <c r="X24" s="137"/>
      <c r="Y24" s="137"/>
      <c r="Z24" s="271"/>
      <c r="AA24" s="247"/>
      <c r="AB24" s="137"/>
      <c r="AC24" s="137"/>
      <c r="AD24" s="137"/>
      <c r="AE24" s="271"/>
      <c r="AF24" s="247"/>
      <c r="AG24" s="137"/>
      <c r="AH24" s="137"/>
      <c r="AI24" s="271"/>
      <c r="AJ24" s="247"/>
      <c r="AK24" s="137"/>
      <c r="AL24" s="137"/>
      <c r="AM24" s="271"/>
      <c r="AN24" s="247"/>
      <c r="AO24" s="137"/>
      <c r="AP24" s="137"/>
      <c r="AQ24" s="137"/>
      <c r="AR24" s="271"/>
      <c r="AS24" s="247"/>
      <c r="AT24" s="137"/>
      <c r="AU24" s="137"/>
      <c r="AV24" s="271"/>
      <c r="AW24" s="247"/>
      <c r="AX24" s="137"/>
      <c r="AY24" s="137"/>
      <c r="AZ24" s="271"/>
      <c r="BA24" s="247"/>
      <c r="BB24" s="137"/>
      <c r="BC24" s="137"/>
      <c r="BD24" s="137"/>
      <c r="BE24" s="271"/>
    </row>
    <row r="25" spans="1:57" ht="21" customHeight="1" x14ac:dyDescent="0.2">
      <c r="A25" s="632" t="s">
        <v>224</v>
      </c>
      <c r="B25" s="700">
        <v>500</v>
      </c>
      <c r="C25" s="1031"/>
      <c r="D25" s="697">
        <f t="shared" si="4"/>
        <v>0</v>
      </c>
      <c r="E25" s="703"/>
      <c r="F25" s="175"/>
      <c r="G25" s="137"/>
      <c r="H25" s="137"/>
      <c r="I25" s="174"/>
      <c r="J25" s="175"/>
      <c r="K25" s="137"/>
      <c r="L25" s="137"/>
      <c r="M25" s="137">
        <v>175</v>
      </c>
      <c r="N25" s="247">
        <v>325</v>
      </c>
      <c r="O25" s="137"/>
      <c r="P25" s="137"/>
      <c r="Q25" s="137"/>
      <c r="R25" s="271"/>
      <c r="S25" s="247"/>
      <c r="T25" s="137"/>
      <c r="U25" s="137"/>
      <c r="V25" s="271"/>
      <c r="W25" s="247"/>
      <c r="X25" s="137"/>
      <c r="Y25" s="137"/>
      <c r="Z25" s="271"/>
      <c r="AA25" s="247"/>
      <c r="AB25" s="137"/>
      <c r="AC25" s="137"/>
      <c r="AD25" s="137"/>
      <c r="AE25" s="271"/>
      <c r="AF25" s="247"/>
      <c r="AG25" s="137"/>
      <c r="AH25" s="137"/>
      <c r="AI25" s="271"/>
      <c r="AJ25" s="247"/>
      <c r="AK25" s="137"/>
      <c r="AL25" s="137"/>
      <c r="AM25" s="271"/>
      <c r="AN25" s="247"/>
      <c r="AO25" s="137"/>
      <c r="AP25" s="137"/>
      <c r="AQ25" s="137"/>
      <c r="AR25" s="271"/>
      <c r="AS25" s="247"/>
      <c r="AT25" s="137"/>
      <c r="AU25" s="137"/>
      <c r="AV25" s="271"/>
      <c r="AW25" s="247"/>
      <c r="AX25" s="137"/>
      <c r="AY25" s="137"/>
      <c r="AZ25" s="271"/>
      <c r="BA25" s="247"/>
      <c r="BB25" s="137"/>
      <c r="BC25" s="137"/>
      <c r="BD25" s="137"/>
      <c r="BE25" s="271"/>
    </row>
    <row r="26" spans="1:57" ht="21" customHeight="1" x14ac:dyDescent="0.2">
      <c r="A26" s="632" t="s">
        <v>413</v>
      </c>
      <c r="B26" s="700">
        <v>500</v>
      </c>
      <c r="C26" s="1031"/>
      <c r="D26" s="697">
        <f t="shared" si="4"/>
        <v>0</v>
      </c>
      <c r="E26" s="703"/>
      <c r="F26" s="175"/>
      <c r="G26" s="137"/>
      <c r="H26" s="137"/>
      <c r="I26" s="174"/>
      <c r="J26" s="175"/>
      <c r="K26" s="137"/>
      <c r="L26" s="137"/>
      <c r="M26" s="137"/>
      <c r="N26" s="247">
        <v>500</v>
      </c>
      <c r="O26" s="137"/>
      <c r="P26" s="137"/>
      <c r="Q26" s="137"/>
      <c r="R26" s="271"/>
      <c r="S26" s="247"/>
      <c r="T26" s="137"/>
      <c r="U26" s="137"/>
      <c r="V26" s="271"/>
      <c r="W26" s="247"/>
      <c r="X26" s="137"/>
      <c r="Y26" s="137"/>
      <c r="Z26" s="271"/>
      <c r="AA26" s="247"/>
      <c r="AB26" s="137"/>
      <c r="AC26" s="137"/>
      <c r="AD26" s="137"/>
      <c r="AE26" s="271"/>
      <c r="AF26" s="247"/>
      <c r="AG26" s="137"/>
      <c r="AH26" s="137"/>
      <c r="AI26" s="271"/>
      <c r="AJ26" s="247"/>
      <c r="AK26" s="137"/>
      <c r="AL26" s="137"/>
      <c r="AM26" s="271"/>
      <c r="AN26" s="247"/>
      <c r="AO26" s="137"/>
      <c r="AP26" s="137"/>
      <c r="AQ26" s="137"/>
      <c r="AR26" s="271"/>
      <c r="AS26" s="247"/>
      <c r="AT26" s="137"/>
      <c r="AU26" s="137"/>
      <c r="AV26" s="271"/>
      <c r="AW26" s="247"/>
      <c r="AX26" s="137"/>
      <c r="AY26" s="137"/>
      <c r="AZ26" s="271"/>
      <c r="BA26" s="247"/>
      <c r="BB26" s="137"/>
      <c r="BC26" s="137"/>
      <c r="BD26" s="137"/>
      <c r="BE26" s="271"/>
    </row>
    <row r="27" spans="1:57" ht="21" customHeight="1" thickBot="1" x14ac:dyDescent="0.25">
      <c r="A27" s="246" t="s">
        <v>414</v>
      </c>
      <c r="B27" s="702"/>
      <c r="C27" s="1032"/>
      <c r="D27" s="697">
        <f t="shared" si="4"/>
        <v>0</v>
      </c>
      <c r="E27" s="703"/>
      <c r="F27" s="175"/>
      <c r="G27" s="137"/>
      <c r="H27" s="137"/>
      <c r="I27" s="174"/>
      <c r="J27" s="175"/>
      <c r="K27" s="137"/>
      <c r="L27" s="137"/>
      <c r="M27" s="137"/>
      <c r="N27" s="247"/>
      <c r="O27" s="137"/>
      <c r="P27" s="137"/>
      <c r="Q27" s="137"/>
      <c r="R27" s="271"/>
      <c r="S27" s="247"/>
      <c r="T27" s="137"/>
      <c r="U27" s="137"/>
      <c r="V27" s="271"/>
      <c r="W27" s="247"/>
      <c r="X27" s="137"/>
      <c r="Y27" s="137"/>
      <c r="Z27" s="271"/>
      <c r="AA27" s="247"/>
      <c r="AB27" s="137"/>
      <c r="AC27" s="137"/>
      <c r="AD27" s="137"/>
      <c r="AE27" s="271"/>
      <c r="AF27" s="247"/>
      <c r="AG27" s="137"/>
      <c r="AH27" s="137"/>
      <c r="AI27" s="271"/>
      <c r="AJ27" s="247"/>
      <c r="AK27" s="137"/>
      <c r="AL27" s="137"/>
      <c r="AM27" s="271"/>
      <c r="AN27" s="247"/>
      <c r="AO27" s="137"/>
      <c r="AP27" s="137"/>
      <c r="AQ27" s="137"/>
      <c r="AR27" s="271"/>
      <c r="AS27" s="247"/>
      <c r="AT27" s="137"/>
      <c r="AU27" s="137"/>
      <c r="AV27" s="271"/>
      <c r="AW27" s="247"/>
      <c r="AX27" s="137"/>
      <c r="AY27" s="137"/>
      <c r="AZ27" s="271"/>
      <c r="BA27" s="247"/>
      <c r="BB27" s="137"/>
      <c r="BC27" s="137"/>
      <c r="BD27" s="137"/>
      <c r="BE27" s="271"/>
    </row>
    <row r="28" spans="1:57" ht="21" customHeight="1" x14ac:dyDescent="0.2">
      <c r="A28" s="11" t="s">
        <v>4</v>
      </c>
      <c r="B28" s="696">
        <v>10000</v>
      </c>
      <c r="C28" s="1030" t="s">
        <v>416</v>
      </c>
      <c r="D28" s="697">
        <f>+B28-SUM(F28:BE28)</f>
        <v>0</v>
      </c>
      <c r="E28" s="703"/>
      <c r="F28" s="175"/>
      <c r="G28" s="137"/>
      <c r="H28" s="137"/>
      <c r="I28" s="174"/>
      <c r="J28" s="175"/>
      <c r="K28" s="137"/>
      <c r="L28" s="137"/>
      <c r="M28" s="137"/>
      <c r="N28" s="247">
        <v>3300</v>
      </c>
      <c r="O28" s="137">
        <v>4125</v>
      </c>
      <c r="P28" s="137">
        <v>2575</v>
      </c>
      <c r="Q28" s="137"/>
      <c r="R28" s="271"/>
      <c r="S28" s="247"/>
      <c r="T28" s="137"/>
      <c r="U28" s="137"/>
      <c r="V28" s="271"/>
      <c r="W28" s="247"/>
      <c r="X28" s="137"/>
      <c r="Y28" s="137"/>
      <c r="Z28" s="271"/>
      <c r="AA28" s="247"/>
      <c r="AB28" s="137"/>
      <c r="AC28" s="137"/>
      <c r="AD28" s="137"/>
      <c r="AE28" s="271"/>
      <c r="AF28" s="247"/>
      <c r="AG28" s="137"/>
      <c r="AH28" s="137"/>
      <c r="AI28" s="271"/>
      <c r="AJ28" s="247"/>
      <c r="AK28" s="137"/>
      <c r="AL28" s="137"/>
      <c r="AM28" s="271"/>
      <c r="AN28" s="247"/>
      <c r="AO28" s="137"/>
      <c r="AP28" s="137"/>
      <c r="AQ28" s="137"/>
      <c r="AR28" s="271"/>
      <c r="AS28" s="247"/>
      <c r="AT28" s="137"/>
      <c r="AU28" s="137"/>
      <c r="AV28" s="271"/>
      <c r="AW28" s="247"/>
      <c r="AX28" s="137"/>
      <c r="AY28" s="137"/>
      <c r="AZ28" s="271"/>
      <c r="BA28" s="247"/>
      <c r="BB28" s="137"/>
      <c r="BC28" s="137"/>
      <c r="BD28" s="137"/>
      <c r="BE28" s="271"/>
    </row>
    <row r="29" spans="1:57" ht="21" customHeight="1" x14ac:dyDescent="0.2">
      <c r="A29" s="11" t="s">
        <v>202</v>
      </c>
      <c r="B29" s="696">
        <v>1500</v>
      </c>
      <c r="C29" s="1031"/>
      <c r="D29" s="697">
        <f t="shared" ref="D29:D36" si="5">+B29-SUM(F29:BE29)</f>
        <v>0</v>
      </c>
      <c r="E29" s="703"/>
      <c r="F29" s="175"/>
      <c r="G29" s="137"/>
      <c r="H29" s="137"/>
      <c r="I29" s="174"/>
      <c r="J29" s="175"/>
      <c r="K29" s="137"/>
      <c r="L29" s="137"/>
      <c r="M29" s="137"/>
      <c r="N29" s="247"/>
      <c r="O29" s="137"/>
      <c r="P29" s="137">
        <v>1500</v>
      </c>
      <c r="Q29" s="137"/>
      <c r="R29" s="271"/>
      <c r="S29" s="247"/>
      <c r="T29" s="137"/>
      <c r="U29" s="137"/>
      <c r="V29" s="271"/>
      <c r="W29" s="247"/>
      <c r="X29" s="137"/>
      <c r="Y29" s="137"/>
      <c r="Z29" s="271"/>
      <c r="AA29" s="247"/>
      <c r="AB29" s="137"/>
      <c r="AC29" s="137"/>
      <c r="AD29" s="137"/>
      <c r="AE29" s="271"/>
      <c r="AF29" s="247"/>
      <c r="AG29" s="137"/>
      <c r="AH29" s="137"/>
      <c r="AI29" s="271"/>
      <c r="AJ29" s="247"/>
      <c r="AK29" s="137"/>
      <c r="AL29" s="137"/>
      <c r="AM29" s="271"/>
      <c r="AN29" s="247"/>
      <c r="AO29" s="137"/>
      <c r="AP29" s="137"/>
      <c r="AQ29" s="137"/>
      <c r="AR29" s="271"/>
      <c r="AS29" s="247"/>
      <c r="AT29" s="137"/>
      <c r="AU29" s="137"/>
      <c r="AV29" s="271"/>
      <c r="AW29" s="247"/>
      <c r="AX29" s="137"/>
      <c r="AY29" s="137"/>
      <c r="AZ29" s="271"/>
      <c r="BA29" s="247"/>
      <c r="BB29" s="137"/>
      <c r="BC29" s="137"/>
      <c r="BD29" s="137"/>
      <c r="BE29" s="271"/>
    </row>
    <row r="30" spans="1:57" ht="21" customHeight="1" x14ac:dyDescent="0.2">
      <c r="A30" s="11" t="s">
        <v>8</v>
      </c>
      <c r="B30" s="696">
        <v>1000</v>
      </c>
      <c r="C30" s="1031"/>
      <c r="D30" s="697">
        <f t="shared" si="5"/>
        <v>0</v>
      </c>
      <c r="E30" s="703"/>
      <c r="F30" s="175"/>
      <c r="G30" s="137"/>
      <c r="H30" s="137"/>
      <c r="I30" s="174"/>
      <c r="J30" s="175"/>
      <c r="K30" s="137"/>
      <c r="L30" s="137"/>
      <c r="M30" s="137"/>
      <c r="N30" s="247"/>
      <c r="O30" s="137"/>
      <c r="P30" s="137">
        <v>50</v>
      </c>
      <c r="Q30" s="137">
        <v>950</v>
      </c>
      <c r="R30" s="271"/>
      <c r="S30" s="247"/>
      <c r="T30" s="137"/>
      <c r="U30" s="137"/>
      <c r="V30" s="271"/>
      <c r="W30" s="247"/>
      <c r="X30" s="137"/>
      <c r="Y30" s="137"/>
      <c r="Z30" s="271"/>
      <c r="AA30" s="247"/>
      <c r="AB30" s="137"/>
      <c r="AC30" s="137"/>
      <c r="AD30" s="137"/>
      <c r="AE30" s="271"/>
      <c r="AF30" s="247"/>
      <c r="AG30" s="137"/>
      <c r="AH30" s="137"/>
      <c r="AI30" s="271"/>
      <c r="AJ30" s="247"/>
      <c r="AK30" s="137"/>
      <c r="AL30" s="137"/>
      <c r="AM30" s="271"/>
      <c r="AN30" s="247"/>
      <c r="AO30" s="137"/>
      <c r="AP30" s="137"/>
      <c r="AQ30" s="137"/>
      <c r="AR30" s="271"/>
      <c r="AS30" s="247"/>
      <c r="AT30" s="137"/>
      <c r="AU30" s="137"/>
      <c r="AV30" s="271"/>
      <c r="AW30" s="247"/>
      <c r="AX30" s="137"/>
      <c r="AY30" s="137"/>
      <c r="AZ30" s="271"/>
      <c r="BA30" s="247"/>
      <c r="BB30" s="137"/>
      <c r="BC30" s="137"/>
      <c r="BD30" s="137"/>
      <c r="BE30" s="271"/>
    </row>
    <row r="31" spans="1:57" ht="21" customHeight="1" x14ac:dyDescent="0.2">
      <c r="A31" s="11" t="s">
        <v>201</v>
      </c>
      <c r="B31" s="696">
        <v>500</v>
      </c>
      <c r="C31" s="1031"/>
      <c r="D31" s="697">
        <f t="shared" si="5"/>
        <v>0</v>
      </c>
      <c r="E31" s="703"/>
      <c r="F31" s="175"/>
      <c r="G31" s="137"/>
      <c r="H31" s="137"/>
      <c r="I31" s="174"/>
      <c r="J31" s="175"/>
      <c r="K31" s="137"/>
      <c r="L31" s="137"/>
      <c r="M31" s="137"/>
      <c r="N31" s="247"/>
      <c r="O31" s="137"/>
      <c r="P31" s="137"/>
      <c r="Q31" s="137">
        <v>500</v>
      </c>
      <c r="R31" s="271"/>
      <c r="S31" s="247"/>
      <c r="T31" s="137"/>
      <c r="U31" s="137"/>
      <c r="V31" s="271"/>
      <c r="W31" s="247"/>
      <c r="X31" s="137"/>
      <c r="Y31" s="137"/>
      <c r="Z31" s="271"/>
      <c r="AA31" s="247"/>
      <c r="AB31" s="137"/>
      <c r="AC31" s="137"/>
      <c r="AD31" s="137"/>
      <c r="AE31" s="271"/>
      <c r="AF31" s="247"/>
      <c r="AG31" s="137"/>
      <c r="AH31" s="137"/>
      <c r="AI31" s="271"/>
      <c r="AJ31" s="247"/>
      <c r="AK31" s="137"/>
      <c r="AL31" s="137"/>
      <c r="AM31" s="271"/>
      <c r="AN31" s="247"/>
      <c r="AO31" s="137"/>
      <c r="AP31" s="137"/>
      <c r="AQ31" s="137"/>
      <c r="AR31" s="271"/>
      <c r="AS31" s="247"/>
      <c r="AT31" s="137"/>
      <c r="AU31" s="137"/>
      <c r="AV31" s="271"/>
      <c r="AW31" s="247"/>
      <c r="AX31" s="137"/>
      <c r="AY31" s="137"/>
      <c r="AZ31" s="271"/>
      <c r="BA31" s="247"/>
      <c r="BB31" s="137"/>
      <c r="BC31" s="137"/>
      <c r="BD31" s="137"/>
      <c r="BE31" s="271"/>
    </row>
    <row r="32" spans="1:57" ht="21" customHeight="1" x14ac:dyDescent="0.2">
      <c r="A32" s="11" t="s">
        <v>15</v>
      </c>
      <c r="B32" s="696">
        <v>1750</v>
      </c>
      <c r="C32" s="1031"/>
      <c r="D32" s="697">
        <f t="shared" si="5"/>
        <v>0</v>
      </c>
      <c r="E32" s="703"/>
      <c r="F32" s="175"/>
      <c r="G32" s="137"/>
      <c r="H32" s="137"/>
      <c r="I32" s="174"/>
      <c r="J32" s="175"/>
      <c r="K32" s="137"/>
      <c r="L32" s="137"/>
      <c r="M32" s="137"/>
      <c r="N32" s="247"/>
      <c r="O32" s="137"/>
      <c r="P32" s="137"/>
      <c r="Q32" s="137">
        <v>1750</v>
      </c>
      <c r="R32" s="271"/>
      <c r="S32" s="247"/>
      <c r="T32" s="137"/>
      <c r="U32" s="137"/>
      <c r="V32" s="271"/>
      <c r="W32" s="247"/>
      <c r="X32" s="137"/>
      <c r="Y32" s="137"/>
      <c r="Z32" s="271"/>
      <c r="AA32" s="247"/>
      <c r="AB32" s="137"/>
      <c r="AC32" s="137"/>
      <c r="AD32" s="137"/>
      <c r="AE32" s="271"/>
      <c r="AF32" s="247"/>
      <c r="AG32" s="137"/>
      <c r="AH32" s="137"/>
      <c r="AI32" s="271"/>
      <c r="AJ32" s="247"/>
      <c r="AK32" s="137"/>
      <c r="AL32" s="137"/>
      <c r="AM32" s="271"/>
      <c r="AN32" s="247"/>
      <c r="AO32" s="137"/>
      <c r="AP32" s="137"/>
      <c r="AQ32" s="137"/>
      <c r="AR32" s="271"/>
      <c r="AS32" s="247"/>
      <c r="AT32" s="137"/>
      <c r="AU32" s="137"/>
      <c r="AV32" s="271"/>
      <c r="AW32" s="247"/>
      <c r="AX32" s="137"/>
      <c r="AY32" s="137"/>
      <c r="AZ32" s="271"/>
      <c r="BA32" s="247"/>
      <c r="BB32" s="137"/>
      <c r="BC32" s="137"/>
      <c r="BD32" s="137"/>
      <c r="BE32" s="271"/>
    </row>
    <row r="33" spans="1:57" ht="21" customHeight="1" x14ac:dyDescent="0.2">
      <c r="A33" s="11" t="s">
        <v>29</v>
      </c>
      <c r="B33" s="699">
        <v>750</v>
      </c>
      <c r="C33" s="1031"/>
      <c r="D33" s="697">
        <f t="shared" si="5"/>
        <v>0</v>
      </c>
      <c r="E33" s="703"/>
      <c r="F33" s="175"/>
      <c r="G33" s="137"/>
      <c r="H33" s="137"/>
      <c r="I33" s="174"/>
      <c r="J33" s="175"/>
      <c r="K33" s="137"/>
      <c r="L33" s="137"/>
      <c r="M33" s="137"/>
      <c r="N33" s="247"/>
      <c r="O33" s="137"/>
      <c r="P33" s="137"/>
      <c r="Q33" s="137">
        <v>750</v>
      </c>
      <c r="R33" s="271"/>
      <c r="S33" s="247"/>
      <c r="T33" s="137"/>
      <c r="U33" s="137"/>
      <c r="V33" s="271"/>
      <c r="W33" s="247"/>
      <c r="X33" s="137"/>
      <c r="Y33" s="137"/>
      <c r="Z33" s="271"/>
      <c r="AA33" s="247"/>
      <c r="AB33" s="137"/>
      <c r="AC33" s="137"/>
      <c r="AD33" s="137"/>
      <c r="AE33" s="271"/>
      <c r="AF33" s="247"/>
      <c r="AG33" s="137"/>
      <c r="AH33" s="137"/>
      <c r="AI33" s="271"/>
      <c r="AJ33" s="247"/>
      <c r="AK33" s="137"/>
      <c r="AL33" s="137"/>
      <c r="AM33" s="271"/>
      <c r="AN33" s="247"/>
      <c r="AO33" s="137"/>
      <c r="AP33" s="137"/>
      <c r="AQ33" s="137"/>
      <c r="AR33" s="271"/>
      <c r="AS33" s="247"/>
      <c r="AT33" s="137"/>
      <c r="AU33" s="137"/>
      <c r="AV33" s="271"/>
      <c r="AW33" s="247"/>
      <c r="AX33" s="137"/>
      <c r="AY33" s="137"/>
      <c r="AZ33" s="271"/>
      <c r="BA33" s="247"/>
      <c r="BB33" s="137"/>
      <c r="BC33" s="137"/>
      <c r="BD33" s="137"/>
      <c r="BE33" s="271"/>
    </row>
    <row r="34" spans="1:57" ht="21" customHeight="1" x14ac:dyDescent="0.2">
      <c r="A34" s="632" t="s">
        <v>224</v>
      </c>
      <c r="B34" s="700">
        <v>500</v>
      </c>
      <c r="C34" s="1031"/>
      <c r="D34" s="697">
        <f t="shared" si="5"/>
        <v>0</v>
      </c>
      <c r="E34" s="703"/>
      <c r="F34" s="175"/>
      <c r="G34" s="137"/>
      <c r="H34" s="137"/>
      <c r="I34" s="174"/>
      <c r="J34" s="175"/>
      <c r="K34" s="137"/>
      <c r="L34" s="137"/>
      <c r="M34" s="137"/>
      <c r="N34" s="247"/>
      <c r="O34" s="137"/>
      <c r="P34" s="137"/>
      <c r="Q34" s="137">
        <v>175</v>
      </c>
      <c r="R34" s="271">
        <v>325</v>
      </c>
      <c r="S34" s="247"/>
      <c r="T34" s="137"/>
      <c r="U34" s="137"/>
      <c r="V34" s="271"/>
      <c r="W34" s="247"/>
      <c r="X34" s="137"/>
      <c r="Y34" s="137"/>
      <c r="Z34" s="271"/>
      <c r="AA34" s="247"/>
      <c r="AB34" s="137"/>
      <c r="AC34" s="137"/>
      <c r="AD34" s="137"/>
      <c r="AE34" s="271"/>
      <c r="AF34" s="247"/>
      <c r="AG34" s="137"/>
      <c r="AH34" s="137"/>
      <c r="AI34" s="271"/>
      <c r="AJ34" s="247"/>
      <c r="AK34" s="137"/>
      <c r="AL34" s="137"/>
      <c r="AM34" s="271"/>
      <c r="AN34" s="247"/>
      <c r="AO34" s="137"/>
      <c r="AP34" s="137"/>
      <c r="AQ34" s="137"/>
      <c r="AR34" s="271"/>
      <c r="AS34" s="247"/>
      <c r="AT34" s="137"/>
      <c r="AU34" s="137"/>
      <c r="AV34" s="271"/>
      <c r="AW34" s="247"/>
      <c r="AX34" s="137"/>
      <c r="AY34" s="137"/>
      <c r="AZ34" s="271"/>
      <c r="BA34" s="247"/>
      <c r="BB34" s="137"/>
      <c r="BC34" s="137"/>
      <c r="BD34" s="137"/>
      <c r="BE34" s="271"/>
    </row>
    <row r="35" spans="1:57" ht="21" customHeight="1" x14ac:dyDescent="0.2">
      <c r="A35" s="632" t="s">
        <v>413</v>
      </c>
      <c r="B35" s="700">
        <v>500</v>
      </c>
      <c r="C35" s="1031"/>
      <c r="D35" s="697">
        <f t="shared" si="5"/>
        <v>0</v>
      </c>
      <c r="E35" s="703"/>
      <c r="F35" s="175"/>
      <c r="G35" s="137"/>
      <c r="H35" s="137"/>
      <c r="I35" s="174"/>
      <c r="J35" s="175"/>
      <c r="K35" s="137"/>
      <c r="L35" s="137"/>
      <c r="M35" s="137"/>
      <c r="N35" s="247"/>
      <c r="O35" s="137"/>
      <c r="P35" s="137"/>
      <c r="Q35" s="137"/>
      <c r="R35" s="271">
        <v>500</v>
      </c>
      <c r="S35" s="247"/>
      <c r="T35" s="137"/>
      <c r="U35" s="137"/>
      <c r="V35" s="271"/>
      <c r="W35" s="247"/>
      <c r="X35" s="137"/>
      <c r="Y35" s="137"/>
      <c r="Z35" s="271"/>
      <c r="AA35" s="247"/>
      <c r="AB35" s="137"/>
      <c r="AC35" s="137"/>
      <c r="AD35" s="137"/>
      <c r="AE35" s="271"/>
      <c r="AF35" s="247"/>
      <c r="AG35" s="137"/>
      <c r="AH35" s="137"/>
      <c r="AI35" s="271"/>
      <c r="AJ35" s="247"/>
      <c r="AK35" s="137"/>
      <c r="AL35" s="137"/>
      <c r="AM35" s="271"/>
      <c r="AN35" s="247"/>
      <c r="AO35" s="137"/>
      <c r="AP35" s="137"/>
      <c r="AQ35" s="137"/>
      <c r="AR35" s="271"/>
      <c r="AS35" s="247"/>
      <c r="AT35" s="137"/>
      <c r="AU35" s="137"/>
      <c r="AV35" s="271"/>
      <c r="AW35" s="247"/>
      <c r="AX35" s="137"/>
      <c r="AY35" s="137"/>
      <c r="AZ35" s="271"/>
      <c r="BA35" s="247"/>
      <c r="BB35" s="137"/>
      <c r="BC35" s="137"/>
      <c r="BD35" s="137"/>
      <c r="BE35" s="271"/>
    </row>
    <row r="36" spans="1:57" ht="21" customHeight="1" thickBot="1" x14ac:dyDescent="0.25">
      <c r="A36" s="246" t="s">
        <v>414</v>
      </c>
      <c r="B36" s="702"/>
      <c r="C36" s="1032"/>
      <c r="D36" s="697">
        <f t="shared" si="5"/>
        <v>0</v>
      </c>
      <c r="E36" s="703"/>
      <c r="F36" s="175"/>
      <c r="G36" s="137"/>
      <c r="H36" s="137"/>
      <c r="I36" s="174"/>
      <c r="J36" s="175"/>
      <c r="K36" s="137"/>
      <c r="L36" s="137"/>
      <c r="M36" s="137"/>
      <c r="N36" s="247"/>
      <c r="O36" s="137"/>
      <c r="P36" s="137"/>
      <c r="Q36" s="137"/>
      <c r="R36" s="271"/>
      <c r="S36" s="247"/>
      <c r="T36" s="137"/>
      <c r="U36" s="137"/>
      <c r="V36" s="271"/>
      <c r="W36" s="247"/>
      <c r="X36" s="137"/>
      <c r="Y36" s="137"/>
      <c r="Z36" s="271"/>
      <c r="AA36" s="247"/>
      <c r="AB36" s="137"/>
      <c r="AC36" s="137"/>
      <c r="AD36" s="137"/>
      <c r="AE36" s="271"/>
      <c r="AF36" s="247"/>
      <c r="AG36" s="137"/>
      <c r="AH36" s="137"/>
      <c r="AI36" s="271"/>
      <c r="AJ36" s="247"/>
      <c r="AK36" s="137"/>
      <c r="AL36" s="137"/>
      <c r="AM36" s="271"/>
      <c r="AN36" s="247"/>
      <c r="AO36" s="137"/>
      <c r="AP36" s="137"/>
      <c r="AQ36" s="137"/>
      <c r="AR36" s="271"/>
      <c r="AS36" s="247"/>
      <c r="AT36" s="137"/>
      <c r="AU36" s="137"/>
      <c r="AV36" s="271"/>
      <c r="AW36" s="247"/>
      <c r="AX36" s="137"/>
      <c r="AY36" s="137"/>
      <c r="AZ36" s="271"/>
      <c r="BA36" s="247"/>
      <c r="BB36" s="137"/>
      <c r="BC36" s="137"/>
      <c r="BD36" s="137"/>
      <c r="BE36" s="271"/>
    </row>
    <row r="37" spans="1:57" ht="21" customHeight="1" x14ac:dyDescent="0.2">
      <c r="A37" s="11" t="s">
        <v>4</v>
      </c>
      <c r="B37" s="696">
        <v>10000</v>
      </c>
      <c r="C37" s="1030" t="s">
        <v>417</v>
      </c>
      <c r="D37" s="697">
        <f>+B37-SUM(F37:BE37)</f>
        <v>0</v>
      </c>
      <c r="E37" s="703"/>
      <c r="F37" s="175"/>
      <c r="G37" s="137"/>
      <c r="H37" s="137"/>
      <c r="I37" s="174"/>
      <c r="J37" s="175"/>
      <c r="K37" s="137"/>
      <c r="L37" s="137"/>
      <c r="M37" s="137"/>
      <c r="N37" s="247"/>
      <c r="O37" s="137"/>
      <c r="P37" s="137"/>
      <c r="Q37" s="137"/>
      <c r="R37" s="271">
        <v>3300</v>
      </c>
      <c r="S37" s="247">
        <v>4125</v>
      </c>
      <c r="T37" s="137">
        <v>2575</v>
      </c>
      <c r="U37" s="137"/>
      <c r="V37" s="271"/>
      <c r="W37" s="247"/>
      <c r="X37" s="137"/>
      <c r="Y37" s="137"/>
      <c r="Z37" s="271"/>
      <c r="AA37" s="247"/>
      <c r="AB37" s="137"/>
      <c r="AC37" s="137"/>
      <c r="AD37" s="137"/>
      <c r="AE37" s="271"/>
      <c r="AF37" s="247"/>
      <c r="AG37" s="137"/>
      <c r="AH37" s="137"/>
      <c r="AI37" s="271"/>
      <c r="AJ37" s="247"/>
      <c r="AK37" s="137"/>
      <c r="AL37" s="137"/>
      <c r="AM37" s="271"/>
      <c r="AN37" s="247"/>
      <c r="AO37" s="137"/>
      <c r="AP37" s="137"/>
      <c r="AQ37" s="137"/>
      <c r="AR37" s="271"/>
      <c r="AS37" s="247"/>
      <c r="AT37" s="137"/>
      <c r="AU37" s="137"/>
      <c r="AV37" s="271"/>
      <c r="AW37" s="247"/>
      <c r="AX37" s="137"/>
      <c r="AY37" s="137"/>
      <c r="AZ37" s="271"/>
      <c r="BA37" s="247"/>
      <c r="BB37" s="137"/>
      <c r="BC37" s="137"/>
      <c r="BD37" s="137"/>
      <c r="BE37" s="271"/>
    </row>
    <row r="38" spans="1:57" ht="21" customHeight="1" x14ac:dyDescent="0.2">
      <c r="A38" s="11" t="s">
        <v>202</v>
      </c>
      <c r="B38" s="696">
        <v>1500</v>
      </c>
      <c r="C38" s="1031"/>
      <c r="D38" s="697">
        <f t="shared" ref="D38:D45" si="6">+B38-SUM(F38:BE38)</f>
        <v>0</v>
      </c>
      <c r="E38" s="707"/>
      <c r="F38" s="175"/>
      <c r="G38" s="137"/>
      <c r="H38" s="137"/>
      <c r="I38" s="174"/>
      <c r="J38" s="175"/>
      <c r="K38" s="137"/>
      <c r="L38" s="137"/>
      <c r="M38" s="137"/>
      <c r="N38" s="247"/>
      <c r="O38" s="137"/>
      <c r="P38" s="137"/>
      <c r="Q38" s="137"/>
      <c r="R38" s="271"/>
      <c r="S38" s="247"/>
      <c r="T38" s="137">
        <v>1500</v>
      </c>
      <c r="U38" s="137"/>
      <c r="V38" s="271"/>
      <c r="W38" s="247"/>
      <c r="X38" s="137"/>
      <c r="Y38" s="137"/>
      <c r="Z38" s="271"/>
      <c r="AA38" s="247"/>
      <c r="AB38" s="137"/>
      <c r="AC38" s="137"/>
      <c r="AD38" s="137"/>
      <c r="AE38" s="271"/>
      <c r="AF38" s="247"/>
      <c r="AG38" s="137"/>
      <c r="AH38" s="137"/>
      <c r="AI38" s="271"/>
      <c r="AJ38" s="247"/>
      <c r="AK38" s="137"/>
      <c r="AL38" s="137"/>
      <c r="AM38" s="271"/>
      <c r="AN38" s="247"/>
      <c r="AO38" s="137"/>
      <c r="AP38" s="137"/>
      <c r="AQ38" s="137"/>
      <c r="AR38" s="271"/>
      <c r="AS38" s="247"/>
      <c r="AT38" s="137"/>
      <c r="AU38" s="137"/>
      <c r="AV38" s="271"/>
      <c r="AW38" s="247"/>
      <c r="AX38" s="137"/>
      <c r="AY38" s="137"/>
      <c r="AZ38" s="271"/>
      <c r="BA38" s="247"/>
      <c r="BB38" s="137"/>
      <c r="BC38" s="137"/>
      <c r="BD38" s="137"/>
      <c r="BE38" s="271"/>
    </row>
    <row r="39" spans="1:57" ht="21" customHeight="1" x14ac:dyDescent="0.2">
      <c r="A39" s="11" t="s">
        <v>8</v>
      </c>
      <c r="B39" s="696">
        <v>1000</v>
      </c>
      <c r="C39" s="1031"/>
      <c r="D39" s="697">
        <f t="shared" si="6"/>
        <v>0</v>
      </c>
      <c r="E39" s="703"/>
      <c r="F39" s="175"/>
      <c r="G39" s="137"/>
      <c r="H39" s="137"/>
      <c r="I39" s="174"/>
      <c r="J39" s="175"/>
      <c r="K39" s="137"/>
      <c r="L39" s="137"/>
      <c r="M39" s="137"/>
      <c r="N39" s="247"/>
      <c r="O39" s="137"/>
      <c r="P39" s="137"/>
      <c r="Q39" s="137"/>
      <c r="R39" s="271"/>
      <c r="S39" s="247"/>
      <c r="T39" s="137">
        <v>50</v>
      </c>
      <c r="U39" s="137">
        <v>950</v>
      </c>
      <c r="V39" s="271"/>
      <c r="W39" s="247"/>
      <c r="X39" s="137"/>
      <c r="Y39" s="137"/>
      <c r="Z39" s="271"/>
      <c r="AA39" s="247"/>
      <c r="AB39" s="137"/>
      <c r="AC39" s="137"/>
      <c r="AD39" s="137"/>
      <c r="AE39" s="271"/>
      <c r="AF39" s="247"/>
      <c r="AG39" s="137"/>
      <c r="AH39" s="137"/>
      <c r="AI39" s="271"/>
      <c r="AJ39" s="247"/>
      <c r="AK39" s="137"/>
      <c r="AL39" s="137"/>
      <c r="AM39" s="271"/>
      <c r="AN39" s="247"/>
      <c r="AO39" s="137"/>
      <c r="AP39" s="137"/>
      <c r="AQ39" s="137"/>
      <c r="AR39" s="271"/>
      <c r="AS39" s="247"/>
      <c r="AT39" s="137"/>
      <c r="AU39" s="137"/>
      <c r="AV39" s="271"/>
      <c r="AW39" s="247"/>
      <c r="AX39" s="137"/>
      <c r="AY39" s="137"/>
      <c r="AZ39" s="271"/>
      <c r="BA39" s="247"/>
      <c r="BB39" s="137"/>
      <c r="BC39" s="137"/>
      <c r="BD39" s="137"/>
      <c r="BE39" s="271"/>
    </row>
    <row r="40" spans="1:57" ht="21" customHeight="1" x14ac:dyDescent="0.2">
      <c r="A40" s="11" t="s">
        <v>201</v>
      </c>
      <c r="B40" s="696">
        <v>500</v>
      </c>
      <c r="C40" s="1031"/>
      <c r="D40" s="697">
        <f t="shared" si="6"/>
        <v>0</v>
      </c>
      <c r="E40" s="703"/>
      <c r="F40" s="175"/>
      <c r="G40" s="137"/>
      <c r="H40" s="137"/>
      <c r="I40" s="174"/>
      <c r="J40" s="175"/>
      <c r="K40" s="137"/>
      <c r="L40" s="137"/>
      <c r="M40" s="137"/>
      <c r="N40" s="247"/>
      <c r="O40" s="137"/>
      <c r="P40" s="137"/>
      <c r="Q40" s="137"/>
      <c r="R40" s="271"/>
      <c r="S40" s="247"/>
      <c r="T40" s="137"/>
      <c r="U40" s="137">
        <v>500</v>
      </c>
      <c r="V40" s="271"/>
      <c r="W40" s="247"/>
      <c r="X40" s="137"/>
      <c r="Y40" s="137"/>
      <c r="Z40" s="271"/>
      <c r="AA40" s="247"/>
      <c r="AB40" s="137"/>
      <c r="AC40" s="137"/>
      <c r="AD40" s="137"/>
      <c r="AE40" s="271"/>
      <c r="AF40" s="247"/>
      <c r="AG40" s="137"/>
      <c r="AH40" s="137"/>
      <c r="AI40" s="271"/>
      <c r="AJ40" s="247"/>
      <c r="AK40" s="137"/>
      <c r="AL40" s="137"/>
      <c r="AM40" s="271"/>
      <c r="AN40" s="247"/>
      <c r="AO40" s="137"/>
      <c r="AP40" s="137"/>
      <c r="AQ40" s="137"/>
      <c r="AR40" s="271"/>
      <c r="AS40" s="247"/>
      <c r="AT40" s="137"/>
      <c r="AU40" s="137"/>
      <c r="AV40" s="271"/>
      <c r="AW40" s="247"/>
      <c r="AX40" s="137"/>
      <c r="AY40" s="137"/>
      <c r="AZ40" s="271"/>
      <c r="BA40" s="247"/>
      <c r="BB40" s="137"/>
      <c r="BC40" s="137"/>
      <c r="BD40" s="137"/>
      <c r="BE40" s="271"/>
    </row>
    <row r="41" spans="1:57" ht="16" x14ac:dyDescent="0.2">
      <c r="A41" s="11" t="s">
        <v>15</v>
      </c>
      <c r="B41" s="696">
        <v>1750</v>
      </c>
      <c r="C41" s="1031"/>
      <c r="D41" s="697">
        <f t="shared" si="6"/>
        <v>0</v>
      </c>
      <c r="E41" s="703"/>
      <c r="F41" s="175"/>
      <c r="G41" s="137"/>
      <c r="H41" s="137"/>
      <c r="I41" s="174"/>
      <c r="J41" s="175"/>
      <c r="K41" s="137"/>
      <c r="L41" s="137"/>
      <c r="M41" s="137"/>
      <c r="N41" s="247"/>
      <c r="O41" s="137"/>
      <c r="P41" s="137"/>
      <c r="Q41" s="137"/>
      <c r="R41" s="271"/>
      <c r="S41" s="247"/>
      <c r="T41" s="137"/>
      <c r="U41" s="137">
        <v>1750</v>
      </c>
      <c r="V41" s="271"/>
      <c r="W41" s="247"/>
      <c r="X41" s="137"/>
      <c r="Y41" s="137"/>
      <c r="Z41" s="271"/>
      <c r="AA41" s="247"/>
      <c r="AB41" s="137"/>
      <c r="AC41" s="137"/>
      <c r="AD41" s="137"/>
      <c r="AE41" s="271"/>
      <c r="AF41" s="247"/>
      <c r="AG41" s="137"/>
      <c r="AH41" s="137"/>
      <c r="AI41" s="271"/>
      <c r="AJ41" s="247"/>
      <c r="AK41" s="137"/>
      <c r="AL41" s="137"/>
      <c r="AM41" s="271"/>
      <c r="AN41" s="247"/>
      <c r="AO41" s="137"/>
      <c r="AP41" s="137"/>
      <c r="AQ41" s="137"/>
      <c r="AR41" s="271"/>
      <c r="AS41" s="247"/>
      <c r="AT41" s="137"/>
      <c r="AU41" s="137"/>
      <c r="AV41" s="271"/>
      <c r="AW41" s="247"/>
      <c r="AX41" s="137"/>
      <c r="AY41" s="137"/>
      <c r="AZ41" s="271"/>
      <c r="BA41" s="247"/>
      <c r="BB41" s="137"/>
      <c r="BC41" s="137"/>
      <c r="BD41" s="137"/>
      <c r="BE41" s="271"/>
    </row>
    <row r="42" spans="1:57" ht="21" customHeight="1" x14ac:dyDescent="0.2">
      <c r="A42" s="11" t="s">
        <v>29</v>
      </c>
      <c r="B42" s="699">
        <v>750</v>
      </c>
      <c r="C42" s="1031"/>
      <c r="D42" s="697">
        <f t="shared" si="6"/>
        <v>0</v>
      </c>
      <c r="E42" s="703"/>
      <c r="F42" s="175"/>
      <c r="G42" s="137"/>
      <c r="H42" s="137"/>
      <c r="I42" s="174"/>
      <c r="J42" s="175"/>
      <c r="K42" s="137"/>
      <c r="L42" s="137"/>
      <c r="M42" s="137"/>
      <c r="N42" s="247"/>
      <c r="O42" s="137"/>
      <c r="P42" s="137"/>
      <c r="Q42" s="137"/>
      <c r="R42" s="271"/>
      <c r="S42" s="247"/>
      <c r="T42" s="137"/>
      <c r="U42" s="137">
        <v>750</v>
      </c>
      <c r="V42" s="271"/>
      <c r="W42" s="247"/>
      <c r="X42" s="137"/>
      <c r="Y42" s="137"/>
      <c r="Z42" s="271"/>
      <c r="AA42" s="247"/>
      <c r="AB42" s="137"/>
      <c r="AC42" s="137"/>
      <c r="AD42" s="137"/>
      <c r="AE42" s="271"/>
      <c r="AF42" s="247"/>
      <c r="AG42" s="137"/>
      <c r="AH42" s="137"/>
      <c r="AI42" s="271"/>
      <c r="AJ42" s="247"/>
      <c r="AK42" s="137"/>
      <c r="AL42" s="137"/>
      <c r="AM42" s="271"/>
      <c r="AN42" s="247"/>
      <c r="AO42" s="137"/>
      <c r="AP42" s="137"/>
      <c r="AQ42" s="137"/>
      <c r="AR42" s="271"/>
      <c r="AS42" s="247"/>
      <c r="AT42" s="137"/>
      <c r="AU42" s="137"/>
      <c r="AV42" s="271"/>
      <c r="AW42" s="247"/>
      <c r="AX42" s="137"/>
      <c r="AY42" s="137"/>
      <c r="AZ42" s="271"/>
      <c r="BA42" s="247"/>
      <c r="BB42" s="137"/>
      <c r="BC42" s="137"/>
      <c r="BD42" s="137"/>
      <c r="BE42" s="271"/>
    </row>
    <row r="43" spans="1:57" ht="16" x14ac:dyDescent="0.2">
      <c r="A43" s="632" t="s">
        <v>224</v>
      </c>
      <c r="B43" s="700">
        <v>500</v>
      </c>
      <c r="C43" s="1031"/>
      <c r="D43" s="697">
        <f t="shared" si="6"/>
        <v>0</v>
      </c>
      <c r="E43" s="703"/>
      <c r="F43" s="175"/>
      <c r="G43" s="137"/>
      <c r="H43" s="137"/>
      <c r="I43" s="174"/>
      <c r="J43" s="175"/>
      <c r="K43" s="137"/>
      <c r="L43" s="137"/>
      <c r="M43" s="137"/>
      <c r="N43" s="247"/>
      <c r="O43" s="137"/>
      <c r="P43" s="137"/>
      <c r="Q43" s="137"/>
      <c r="R43" s="271"/>
      <c r="S43" s="247"/>
      <c r="T43" s="137"/>
      <c r="U43" s="137">
        <v>175</v>
      </c>
      <c r="V43" s="271">
        <v>325</v>
      </c>
      <c r="W43" s="247"/>
      <c r="X43" s="137"/>
      <c r="Y43" s="137"/>
      <c r="Z43" s="271"/>
      <c r="AA43" s="247"/>
      <c r="AB43" s="137"/>
      <c r="AC43" s="137"/>
      <c r="AD43" s="137"/>
      <c r="AE43" s="271"/>
      <c r="AF43" s="247"/>
      <c r="AG43" s="137"/>
      <c r="AH43" s="137"/>
      <c r="AI43" s="271"/>
      <c r="AJ43" s="247"/>
      <c r="AK43" s="137"/>
      <c r="AL43" s="137"/>
      <c r="AM43" s="271"/>
      <c r="AN43" s="247"/>
      <c r="AO43" s="137"/>
      <c r="AP43" s="137"/>
      <c r="AQ43" s="137"/>
      <c r="AR43" s="271"/>
      <c r="AS43" s="247"/>
      <c r="AT43" s="137"/>
      <c r="AU43" s="137"/>
      <c r="AV43" s="271"/>
      <c r="AW43" s="247"/>
      <c r="AX43" s="137"/>
      <c r="AY43" s="137"/>
      <c r="AZ43" s="271"/>
      <c r="BA43" s="247"/>
      <c r="BB43" s="137"/>
      <c r="BC43" s="137"/>
      <c r="BD43" s="137"/>
      <c r="BE43" s="271"/>
    </row>
    <row r="44" spans="1:57" ht="16" customHeight="1" x14ac:dyDescent="0.2">
      <c r="A44" s="632" t="s">
        <v>413</v>
      </c>
      <c r="B44" s="700">
        <v>500</v>
      </c>
      <c r="C44" s="1031"/>
      <c r="D44" s="697">
        <f t="shared" si="6"/>
        <v>0</v>
      </c>
      <c r="E44" s="703"/>
      <c r="F44" s="175"/>
      <c r="G44" s="137"/>
      <c r="H44" s="137"/>
      <c r="I44" s="174"/>
      <c r="J44" s="175"/>
      <c r="K44" s="137"/>
      <c r="L44" s="137"/>
      <c r="M44" s="137"/>
      <c r="N44" s="247"/>
      <c r="O44" s="137"/>
      <c r="P44" s="137"/>
      <c r="Q44" s="137"/>
      <c r="R44" s="271"/>
      <c r="S44" s="247"/>
      <c r="T44" s="137"/>
      <c r="U44" s="137"/>
      <c r="V44" s="271">
        <v>500</v>
      </c>
      <c r="W44" s="247"/>
      <c r="X44" s="137"/>
      <c r="Y44" s="137"/>
      <c r="Z44" s="271"/>
      <c r="AA44" s="247"/>
      <c r="AB44" s="137"/>
      <c r="AC44" s="137"/>
      <c r="AD44" s="137"/>
      <c r="AE44" s="271"/>
      <c r="AF44" s="247"/>
      <c r="AG44" s="137"/>
      <c r="AH44" s="137"/>
      <c r="AI44" s="271"/>
      <c r="AJ44" s="247"/>
      <c r="AK44" s="137"/>
      <c r="AL44" s="137"/>
      <c r="AM44" s="271"/>
      <c r="AN44" s="247"/>
      <c r="AO44" s="137"/>
      <c r="AP44" s="137"/>
      <c r="AQ44" s="137"/>
      <c r="AR44" s="271"/>
      <c r="AS44" s="247"/>
      <c r="AT44" s="137"/>
      <c r="AU44" s="137"/>
      <c r="AV44" s="271"/>
      <c r="AW44" s="247"/>
      <c r="AX44" s="137"/>
      <c r="AY44" s="137"/>
      <c r="AZ44" s="271"/>
      <c r="BA44" s="247"/>
      <c r="BB44" s="137"/>
      <c r="BC44" s="137"/>
      <c r="BD44" s="137"/>
      <c r="BE44" s="271"/>
    </row>
    <row r="45" spans="1:57" ht="17" thickBot="1" x14ac:dyDescent="0.25">
      <c r="A45" s="246" t="s">
        <v>414</v>
      </c>
      <c r="B45" s="702"/>
      <c r="C45" s="1032"/>
      <c r="D45" s="697">
        <f t="shared" si="6"/>
        <v>0</v>
      </c>
      <c r="E45" s="703"/>
      <c r="F45" s="175"/>
      <c r="G45" s="137"/>
      <c r="H45" s="137"/>
      <c r="I45" s="174"/>
      <c r="J45" s="175"/>
      <c r="K45" s="137"/>
      <c r="L45" s="137"/>
      <c r="M45" s="137"/>
      <c r="N45" s="247"/>
      <c r="O45" s="137"/>
      <c r="P45" s="137"/>
      <c r="Q45" s="137"/>
      <c r="R45" s="271"/>
      <c r="S45" s="247"/>
      <c r="T45" s="137"/>
      <c r="U45" s="137"/>
      <c r="V45" s="271"/>
      <c r="W45" s="247"/>
      <c r="X45" s="137"/>
      <c r="Y45" s="137"/>
      <c r="Z45" s="271"/>
      <c r="AA45" s="247"/>
      <c r="AB45" s="137"/>
      <c r="AC45" s="137"/>
      <c r="AD45" s="137"/>
      <c r="AE45" s="271"/>
      <c r="AF45" s="247"/>
      <c r="AG45" s="137"/>
      <c r="AH45" s="137"/>
      <c r="AI45" s="271"/>
      <c r="AJ45" s="247"/>
      <c r="AK45" s="137"/>
      <c r="AL45" s="137"/>
      <c r="AM45" s="271"/>
      <c r="AN45" s="247"/>
      <c r="AO45" s="137"/>
      <c r="AP45" s="137"/>
      <c r="AQ45" s="137"/>
      <c r="AR45" s="271"/>
      <c r="AS45" s="247"/>
      <c r="AT45" s="137"/>
      <c r="AU45" s="137"/>
      <c r="AV45" s="271"/>
      <c r="AW45" s="247"/>
      <c r="AX45" s="137"/>
      <c r="AY45" s="137"/>
      <c r="AZ45" s="271"/>
      <c r="BA45" s="247"/>
      <c r="BB45" s="137"/>
      <c r="BC45" s="137"/>
      <c r="BD45" s="137"/>
      <c r="BE45" s="271"/>
    </row>
    <row r="46" spans="1:57" ht="21" customHeight="1" x14ac:dyDescent="0.2">
      <c r="A46" s="11" t="s">
        <v>4</v>
      </c>
      <c r="B46" s="696">
        <v>10000</v>
      </c>
      <c r="C46" s="1030" t="s">
        <v>418</v>
      </c>
      <c r="D46" s="697">
        <f>+B46-SUM(F46:BE46)</f>
        <v>0</v>
      </c>
      <c r="E46" s="703"/>
      <c r="F46" s="175"/>
      <c r="G46" s="137"/>
      <c r="H46" s="137"/>
      <c r="I46" s="174"/>
      <c r="J46" s="175"/>
      <c r="K46" s="137"/>
      <c r="L46" s="137"/>
      <c r="M46" s="137"/>
      <c r="N46" s="247"/>
      <c r="O46" s="137"/>
      <c r="P46" s="137"/>
      <c r="Q46" s="137"/>
      <c r="R46" s="271"/>
      <c r="S46" s="247"/>
      <c r="T46" s="137"/>
      <c r="U46" s="137"/>
      <c r="V46" s="271">
        <v>3300</v>
      </c>
      <c r="W46" s="247">
        <v>4125</v>
      </c>
      <c r="X46" s="137">
        <v>2575</v>
      </c>
      <c r="Y46" s="137"/>
      <c r="Z46" s="271"/>
      <c r="AA46" s="247"/>
      <c r="AB46" s="137"/>
      <c r="AC46" s="137"/>
      <c r="AD46" s="137"/>
      <c r="AE46" s="271"/>
      <c r="AF46" s="247"/>
      <c r="AG46" s="137"/>
      <c r="AH46" s="137"/>
      <c r="AI46" s="271"/>
      <c r="AJ46" s="247"/>
      <c r="AK46" s="137"/>
      <c r="AL46" s="137"/>
      <c r="AM46" s="271"/>
      <c r="AN46" s="247"/>
      <c r="AO46" s="137"/>
      <c r="AP46" s="137"/>
      <c r="AQ46" s="137"/>
      <c r="AR46" s="271"/>
      <c r="AS46" s="247"/>
      <c r="AT46" s="137"/>
      <c r="AU46" s="137"/>
      <c r="AV46" s="271"/>
      <c r="AW46" s="247"/>
      <c r="AX46" s="137"/>
      <c r="AY46" s="137"/>
      <c r="AZ46" s="271"/>
      <c r="BA46" s="247"/>
      <c r="BB46" s="137"/>
      <c r="BC46" s="137"/>
      <c r="BD46" s="137"/>
      <c r="BE46" s="271"/>
    </row>
    <row r="47" spans="1:57" ht="21" customHeight="1" x14ac:dyDescent="0.2">
      <c r="A47" s="11" t="s">
        <v>202</v>
      </c>
      <c r="B47" s="696">
        <v>1500</v>
      </c>
      <c r="C47" s="1031"/>
      <c r="D47" s="697">
        <f t="shared" ref="D47:D54" si="7">+B47-SUM(F47:BE47)</f>
        <v>0</v>
      </c>
      <c r="E47" s="703"/>
      <c r="F47" s="175"/>
      <c r="G47" s="137"/>
      <c r="H47" s="137"/>
      <c r="I47" s="174"/>
      <c r="J47" s="175"/>
      <c r="K47" s="137"/>
      <c r="L47" s="137"/>
      <c r="M47" s="137"/>
      <c r="N47" s="247"/>
      <c r="O47" s="137"/>
      <c r="P47" s="137"/>
      <c r="Q47" s="137"/>
      <c r="R47" s="271"/>
      <c r="S47" s="247"/>
      <c r="T47" s="137"/>
      <c r="U47" s="137"/>
      <c r="V47" s="271"/>
      <c r="W47" s="247"/>
      <c r="X47" s="137">
        <v>1500</v>
      </c>
      <c r="Y47" s="137"/>
      <c r="Z47" s="271"/>
      <c r="AA47" s="247"/>
      <c r="AB47" s="137"/>
      <c r="AC47" s="137"/>
      <c r="AD47" s="137"/>
      <c r="AE47" s="271"/>
      <c r="AF47" s="247"/>
      <c r="AG47" s="137"/>
      <c r="AH47" s="137"/>
      <c r="AI47" s="271"/>
      <c r="AJ47" s="247"/>
      <c r="AK47" s="137"/>
      <c r="AL47" s="137"/>
      <c r="AM47" s="271"/>
      <c r="AN47" s="247"/>
      <c r="AO47" s="137"/>
      <c r="AP47" s="137"/>
      <c r="AQ47" s="137"/>
      <c r="AR47" s="271"/>
      <c r="AS47" s="247"/>
      <c r="AT47" s="137"/>
      <c r="AU47" s="137"/>
      <c r="AV47" s="271"/>
      <c r="AW47" s="247"/>
      <c r="AX47" s="137"/>
      <c r="AY47" s="137"/>
      <c r="AZ47" s="271"/>
      <c r="BA47" s="247"/>
      <c r="BB47" s="137"/>
      <c r="BC47" s="137"/>
      <c r="BD47" s="137"/>
      <c r="BE47" s="271"/>
    </row>
    <row r="48" spans="1:57" ht="21" customHeight="1" x14ac:dyDescent="0.2">
      <c r="A48" s="11" t="s">
        <v>8</v>
      </c>
      <c r="B48" s="696">
        <v>1000</v>
      </c>
      <c r="C48" s="1031"/>
      <c r="D48" s="697">
        <f t="shared" si="7"/>
        <v>0</v>
      </c>
      <c r="E48" s="703"/>
      <c r="F48" s="175"/>
      <c r="G48" s="137"/>
      <c r="H48" s="137"/>
      <c r="I48" s="174"/>
      <c r="J48" s="175"/>
      <c r="K48" s="137"/>
      <c r="L48" s="137"/>
      <c r="M48" s="137"/>
      <c r="N48" s="247"/>
      <c r="O48" s="137"/>
      <c r="P48" s="137"/>
      <c r="Q48" s="137"/>
      <c r="R48" s="271"/>
      <c r="S48" s="247"/>
      <c r="T48" s="137"/>
      <c r="U48" s="137"/>
      <c r="V48" s="271"/>
      <c r="W48" s="247"/>
      <c r="X48" s="137">
        <v>50</v>
      </c>
      <c r="Y48" s="137">
        <v>950</v>
      </c>
      <c r="Z48" s="271"/>
      <c r="AA48" s="247"/>
      <c r="AB48" s="137"/>
      <c r="AC48" s="137"/>
      <c r="AD48" s="137"/>
      <c r="AE48" s="271"/>
      <c r="AF48" s="247"/>
      <c r="AG48" s="137"/>
      <c r="AH48" s="137"/>
      <c r="AI48" s="271"/>
      <c r="AJ48" s="247"/>
      <c r="AK48" s="137"/>
      <c r="AL48" s="137"/>
      <c r="AM48" s="271"/>
      <c r="AN48" s="247"/>
      <c r="AO48" s="137"/>
      <c r="AP48" s="137"/>
      <c r="AQ48" s="137"/>
      <c r="AR48" s="271"/>
      <c r="AS48" s="247"/>
      <c r="AT48" s="137"/>
      <c r="AU48" s="137"/>
      <c r="AV48" s="271"/>
      <c r="AW48" s="247"/>
      <c r="AX48" s="137"/>
      <c r="AY48" s="137"/>
      <c r="AZ48" s="271"/>
      <c r="BA48" s="247"/>
      <c r="BB48" s="137"/>
      <c r="BC48" s="137"/>
      <c r="BD48" s="137"/>
      <c r="BE48" s="271"/>
    </row>
    <row r="49" spans="1:57" ht="21" customHeight="1" x14ac:dyDescent="0.2">
      <c r="A49" s="11" t="s">
        <v>201</v>
      </c>
      <c r="B49" s="696">
        <v>500</v>
      </c>
      <c r="C49" s="1031"/>
      <c r="D49" s="697">
        <f t="shared" si="7"/>
        <v>0</v>
      </c>
      <c r="E49" s="703"/>
      <c r="F49" s="175"/>
      <c r="G49" s="137"/>
      <c r="H49" s="137"/>
      <c r="I49" s="174"/>
      <c r="J49" s="175"/>
      <c r="K49" s="137"/>
      <c r="L49" s="137"/>
      <c r="M49" s="137"/>
      <c r="N49" s="247"/>
      <c r="O49" s="137"/>
      <c r="P49" s="137"/>
      <c r="Q49" s="137"/>
      <c r="R49" s="271"/>
      <c r="S49" s="247"/>
      <c r="T49" s="137"/>
      <c r="U49" s="137"/>
      <c r="V49" s="271"/>
      <c r="W49" s="247"/>
      <c r="X49" s="137"/>
      <c r="Y49" s="137">
        <v>500</v>
      </c>
      <c r="Z49" s="271"/>
      <c r="AA49" s="247"/>
      <c r="AB49" s="137"/>
      <c r="AC49" s="137"/>
      <c r="AD49" s="137"/>
      <c r="AE49" s="271"/>
      <c r="AF49" s="247"/>
      <c r="AG49" s="137"/>
      <c r="AH49" s="137"/>
      <c r="AI49" s="271"/>
      <c r="AJ49" s="247"/>
      <c r="AK49" s="137"/>
      <c r="AL49" s="137"/>
      <c r="AM49" s="271"/>
      <c r="AN49" s="247"/>
      <c r="AO49" s="137"/>
      <c r="AP49" s="137"/>
      <c r="AQ49" s="137"/>
      <c r="AR49" s="271"/>
      <c r="AS49" s="247"/>
      <c r="AT49" s="137"/>
      <c r="AU49" s="137"/>
      <c r="AV49" s="271"/>
      <c r="AW49" s="247"/>
      <c r="AX49" s="137"/>
      <c r="AY49" s="137"/>
      <c r="AZ49" s="271"/>
      <c r="BA49" s="247"/>
      <c r="BB49" s="137"/>
      <c r="BC49" s="137"/>
      <c r="BD49" s="137"/>
      <c r="BE49" s="271"/>
    </row>
    <row r="50" spans="1:57" ht="21" customHeight="1" x14ac:dyDescent="0.2">
      <c r="A50" s="11" t="s">
        <v>15</v>
      </c>
      <c r="B50" s="696">
        <v>1750</v>
      </c>
      <c r="C50" s="1031"/>
      <c r="D50" s="697">
        <f t="shared" si="7"/>
        <v>0</v>
      </c>
      <c r="E50" s="703"/>
      <c r="F50" s="175"/>
      <c r="G50" s="137"/>
      <c r="H50" s="137"/>
      <c r="I50" s="174"/>
      <c r="J50" s="175"/>
      <c r="K50" s="137"/>
      <c r="L50" s="137"/>
      <c r="M50" s="137"/>
      <c r="N50" s="247"/>
      <c r="O50" s="137"/>
      <c r="P50" s="137"/>
      <c r="Q50" s="137"/>
      <c r="R50" s="271"/>
      <c r="S50" s="247"/>
      <c r="T50" s="137"/>
      <c r="U50" s="137"/>
      <c r="V50" s="271"/>
      <c r="W50" s="247"/>
      <c r="X50" s="137"/>
      <c r="Y50" s="137">
        <v>1750</v>
      </c>
      <c r="Z50" s="271"/>
      <c r="AA50" s="247"/>
      <c r="AB50" s="137"/>
      <c r="AC50" s="137"/>
      <c r="AD50" s="137"/>
      <c r="AE50" s="271"/>
      <c r="AF50" s="247"/>
      <c r="AG50" s="137"/>
      <c r="AH50" s="137"/>
      <c r="AI50" s="271"/>
      <c r="AJ50" s="247"/>
      <c r="AK50" s="137"/>
      <c r="AL50" s="137"/>
      <c r="AM50" s="271"/>
      <c r="AN50" s="247"/>
      <c r="AO50" s="137"/>
      <c r="AP50" s="137"/>
      <c r="AQ50" s="137"/>
      <c r="AR50" s="271"/>
      <c r="AS50" s="247"/>
      <c r="AT50" s="137"/>
      <c r="AU50" s="137"/>
      <c r="AV50" s="271"/>
      <c r="AW50" s="247"/>
      <c r="AX50" s="137"/>
      <c r="AY50" s="137"/>
      <c r="AZ50" s="271"/>
      <c r="BA50" s="247"/>
      <c r="BB50" s="137"/>
      <c r="BC50" s="137"/>
      <c r="BD50" s="137"/>
      <c r="BE50" s="271"/>
    </row>
    <row r="51" spans="1:57" ht="21" customHeight="1" x14ac:dyDescent="0.2">
      <c r="A51" s="11" t="s">
        <v>29</v>
      </c>
      <c r="B51" s="699">
        <v>750</v>
      </c>
      <c r="C51" s="1031"/>
      <c r="D51" s="697">
        <f t="shared" si="7"/>
        <v>0</v>
      </c>
      <c r="E51" s="703"/>
      <c r="F51" s="175"/>
      <c r="G51" s="137"/>
      <c r="H51" s="137"/>
      <c r="I51" s="174"/>
      <c r="J51" s="175"/>
      <c r="K51" s="137"/>
      <c r="L51" s="137"/>
      <c r="M51" s="137"/>
      <c r="N51" s="247"/>
      <c r="O51" s="137"/>
      <c r="P51" s="137"/>
      <c r="Q51" s="137"/>
      <c r="R51" s="271"/>
      <c r="S51" s="247"/>
      <c r="T51" s="137"/>
      <c r="U51" s="137"/>
      <c r="V51" s="271"/>
      <c r="W51" s="247"/>
      <c r="X51" s="137"/>
      <c r="Y51" s="137">
        <v>750</v>
      </c>
      <c r="Z51" s="271"/>
      <c r="AA51" s="247"/>
      <c r="AB51" s="137"/>
      <c r="AC51" s="137"/>
      <c r="AD51" s="137"/>
      <c r="AE51" s="271"/>
      <c r="AF51" s="247"/>
      <c r="AG51" s="137"/>
      <c r="AH51" s="137"/>
      <c r="AI51" s="271"/>
      <c r="AJ51" s="247"/>
      <c r="AK51" s="137"/>
      <c r="AL51" s="137"/>
      <c r="AM51" s="271"/>
      <c r="AN51" s="247"/>
      <c r="AO51" s="137"/>
      <c r="AP51" s="137"/>
      <c r="AQ51" s="137"/>
      <c r="AR51" s="271"/>
      <c r="AS51" s="247"/>
      <c r="AT51" s="137"/>
      <c r="AU51" s="137"/>
      <c r="AV51" s="271"/>
      <c r="AW51" s="247"/>
      <c r="AX51" s="137"/>
      <c r="AY51" s="137"/>
      <c r="AZ51" s="271"/>
      <c r="BA51" s="247"/>
      <c r="BB51" s="137"/>
      <c r="BC51" s="137"/>
      <c r="BD51" s="137"/>
      <c r="BE51" s="271"/>
    </row>
    <row r="52" spans="1:57" ht="21" customHeight="1" x14ac:dyDescent="0.2">
      <c r="A52" s="632" t="s">
        <v>224</v>
      </c>
      <c r="B52" s="700">
        <v>500</v>
      </c>
      <c r="C52" s="1031"/>
      <c r="D52" s="697">
        <f t="shared" si="7"/>
        <v>0</v>
      </c>
      <c r="E52" s="703"/>
      <c r="F52" s="175"/>
      <c r="G52" s="137"/>
      <c r="H52" s="137"/>
      <c r="I52" s="174"/>
      <c r="J52" s="175"/>
      <c r="K52" s="137"/>
      <c r="L52" s="137"/>
      <c r="M52" s="137"/>
      <c r="N52" s="247"/>
      <c r="O52" s="137"/>
      <c r="P52" s="137"/>
      <c r="Q52" s="137"/>
      <c r="R52" s="271"/>
      <c r="S52" s="247"/>
      <c r="T52" s="137"/>
      <c r="U52" s="137"/>
      <c r="V52" s="271"/>
      <c r="W52" s="247"/>
      <c r="X52" s="137"/>
      <c r="Y52" s="137">
        <v>175</v>
      </c>
      <c r="Z52" s="271">
        <v>325</v>
      </c>
      <c r="AA52" s="247"/>
      <c r="AB52" s="137"/>
      <c r="AC52" s="137"/>
      <c r="AD52" s="137"/>
      <c r="AE52" s="271"/>
      <c r="AF52" s="247"/>
      <c r="AG52" s="137"/>
      <c r="AH52" s="137"/>
      <c r="AI52" s="271"/>
      <c r="AJ52" s="247"/>
      <c r="AK52" s="137"/>
      <c r="AL52" s="137"/>
      <c r="AM52" s="271"/>
      <c r="AN52" s="247"/>
      <c r="AO52" s="137"/>
      <c r="AP52" s="137"/>
      <c r="AQ52" s="137"/>
      <c r="AR52" s="271"/>
      <c r="AS52" s="247"/>
      <c r="AT52" s="137"/>
      <c r="AU52" s="137"/>
      <c r="AV52" s="271"/>
      <c r="AW52" s="247"/>
      <c r="AX52" s="137"/>
      <c r="AY52" s="137"/>
      <c r="AZ52" s="271"/>
      <c r="BA52" s="247"/>
      <c r="BB52" s="137"/>
      <c r="BC52" s="137"/>
      <c r="BD52" s="137"/>
      <c r="BE52" s="271"/>
    </row>
    <row r="53" spans="1:57" ht="21" customHeight="1" x14ac:dyDescent="0.2">
      <c r="A53" s="632" t="s">
        <v>413</v>
      </c>
      <c r="B53" s="700">
        <v>500</v>
      </c>
      <c r="C53" s="1031"/>
      <c r="D53" s="697">
        <f t="shared" si="7"/>
        <v>0</v>
      </c>
      <c r="E53" s="703"/>
      <c r="F53" s="175"/>
      <c r="G53" s="137"/>
      <c r="H53" s="137"/>
      <c r="I53" s="174"/>
      <c r="J53" s="175"/>
      <c r="K53" s="137"/>
      <c r="L53" s="137"/>
      <c r="M53" s="137"/>
      <c r="N53" s="247"/>
      <c r="O53" s="137"/>
      <c r="P53" s="137"/>
      <c r="Q53" s="137"/>
      <c r="R53" s="271"/>
      <c r="S53" s="247"/>
      <c r="T53" s="137"/>
      <c r="U53" s="137"/>
      <c r="V53" s="271"/>
      <c r="W53" s="247"/>
      <c r="X53" s="137"/>
      <c r="Y53" s="137"/>
      <c r="Z53" s="271">
        <v>500</v>
      </c>
      <c r="AA53" s="247"/>
      <c r="AB53" s="137"/>
      <c r="AC53" s="137"/>
      <c r="AD53" s="137"/>
      <c r="AE53" s="271"/>
      <c r="AF53" s="247"/>
      <c r="AG53" s="137"/>
      <c r="AH53" s="137"/>
      <c r="AI53" s="271"/>
      <c r="AJ53" s="247"/>
      <c r="AK53" s="137"/>
      <c r="AL53" s="137"/>
      <c r="AM53" s="271"/>
      <c r="AN53" s="247"/>
      <c r="AO53" s="137"/>
      <c r="AP53" s="137"/>
      <c r="AQ53" s="137"/>
      <c r="AR53" s="271"/>
      <c r="AS53" s="247"/>
      <c r="AT53" s="137"/>
      <c r="AU53" s="137"/>
      <c r="AV53" s="271"/>
      <c r="AW53" s="247"/>
      <c r="AX53" s="137"/>
      <c r="AY53" s="137"/>
      <c r="AZ53" s="271"/>
      <c r="BA53" s="247"/>
      <c r="BB53" s="137"/>
      <c r="BC53" s="137"/>
      <c r="BD53" s="137"/>
      <c r="BE53" s="271"/>
    </row>
    <row r="54" spans="1:57" ht="21" customHeight="1" thickBot="1" x14ac:dyDescent="0.25">
      <c r="A54" s="246" t="s">
        <v>414</v>
      </c>
      <c r="B54" s="702"/>
      <c r="C54" s="1032"/>
      <c r="D54" s="697">
        <f t="shared" si="7"/>
        <v>0</v>
      </c>
      <c r="E54" s="703"/>
      <c r="F54" s="175"/>
      <c r="G54" s="137"/>
      <c r="H54" s="137"/>
      <c r="I54" s="174"/>
      <c r="J54" s="175"/>
      <c r="K54" s="137"/>
      <c r="L54" s="137"/>
      <c r="M54" s="137"/>
      <c r="N54" s="247"/>
      <c r="O54" s="137"/>
      <c r="P54" s="137"/>
      <c r="Q54" s="137"/>
      <c r="R54" s="271"/>
      <c r="S54" s="247"/>
      <c r="T54" s="137"/>
      <c r="U54" s="137"/>
      <c r="V54" s="271"/>
      <c r="W54" s="247"/>
      <c r="X54" s="137"/>
      <c r="Y54" s="137"/>
      <c r="Z54" s="271"/>
      <c r="AA54" s="247"/>
      <c r="AB54" s="137"/>
      <c r="AC54" s="137"/>
      <c r="AD54" s="137"/>
      <c r="AE54" s="271"/>
      <c r="AF54" s="247"/>
      <c r="AG54" s="137"/>
      <c r="AH54" s="137"/>
      <c r="AI54" s="271"/>
      <c r="AJ54" s="247"/>
      <c r="AK54" s="137"/>
      <c r="AL54" s="137"/>
      <c r="AM54" s="271"/>
      <c r="AN54" s="247"/>
      <c r="AO54" s="137"/>
      <c r="AP54" s="137"/>
      <c r="AQ54" s="137"/>
      <c r="AR54" s="271"/>
      <c r="AS54" s="247"/>
      <c r="AT54" s="137"/>
      <c r="AU54" s="137"/>
      <c r="AV54" s="271"/>
      <c r="AW54" s="247"/>
      <c r="AX54" s="137"/>
      <c r="AY54" s="137"/>
      <c r="AZ54" s="271"/>
      <c r="BA54" s="247"/>
      <c r="BB54" s="137"/>
      <c r="BC54" s="137"/>
      <c r="BD54" s="137"/>
      <c r="BE54" s="271"/>
    </row>
    <row r="55" spans="1:57" ht="21" customHeight="1" x14ac:dyDescent="0.2">
      <c r="A55" s="11" t="s">
        <v>4</v>
      </c>
      <c r="B55" s="696">
        <v>10000</v>
      </c>
      <c r="C55" s="1030" t="s">
        <v>419</v>
      </c>
      <c r="D55" s="697">
        <f>+B55-SUM(F55:BE55)</f>
        <v>0</v>
      </c>
      <c r="E55" s="703"/>
      <c r="F55" s="175"/>
      <c r="G55" s="137"/>
      <c r="H55" s="137"/>
      <c r="I55" s="174"/>
      <c r="J55" s="175"/>
      <c r="K55" s="137"/>
      <c r="L55" s="137"/>
      <c r="M55" s="137"/>
      <c r="N55" s="247"/>
      <c r="O55" s="137"/>
      <c r="P55" s="137"/>
      <c r="Q55" s="137"/>
      <c r="R55" s="271"/>
      <c r="S55" s="247"/>
      <c r="T55" s="137"/>
      <c r="U55" s="137"/>
      <c r="V55" s="271"/>
      <c r="W55" s="247"/>
      <c r="X55" s="137"/>
      <c r="Y55" s="137"/>
      <c r="Z55" s="271">
        <v>1650</v>
      </c>
      <c r="AA55" s="247">
        <v>3300</v>
      </c>
      <c r="AB55" s="137">
        <v>4125</v>
      </c>
      <c r="AC55" s="137">
        <v>925</v>
      </c>
      <c r="AD55" s="137"/>
      <c r="AE55" s="271"/>
      <c r="AF55" s="247"/>
      <c r="AG55" s="137"/>
      <c r="AH55" s="137"/>
      <c r="AI55" s="271"/>
      <c r="AJ55" s="247"/>
      <c r="AK55" s="137"/>
      <c r="AL55" s="137"/>
      <c r="AM55" s="271"/>
      <c r="AN55" s="247"/>
      <c r="AO55" s="137"/>
      <c r="AP55" s="137"/>
      <c r="AQ55" s="137"/>
      <c r="AR55" s="271"/>
      <c r="AS55" s="247"/>
      <c r="AT55" s="137"/>
      <c r="AU55" s="137"/>
      <c r="AV55" s="271"/>
      <c r="AW55" s="247"/>
      <c r="AX55" s="137"/>
      <c r="AY55" s="137"/>
      <c r="AZ55" s="271"/>
      <c r="BA55" s="247"/>
      <c r="BB55" s="137"/>
      <c r="BC55" s="137"/>
      <c r="BD55" s="137"/>
      <c r="BE55" s="271"/>
    </row>
    <row r="56" spans="1:57" ht="21" customHeight="1" x14ac:dyDescent="0.2">
      <c r="A56" s="11" t="s">
        <v>202</v>
      </c>
      <c r="B56" s="696">
        <v>1500</v>
      </c>
      <c r="C56" s="1031"/>
      <c r="D56" s="697">
        <f t="shared" ref="D56:D63" si="8">+B56-SUM(F56:BE56)</f>
        <v>0</v>
      </c>
      <c r="E56" s="703"/>
      <c r="F56" s="175"/>
      <c r="G56" s="137"/>
      <c r="H56" s="137"/>
      <c r="I56" s="174"/>
      <c r="J56" s="175"/>
      <c r="K56" s="137"/>
      <c r="L56" s="137"/>
      <c r="M56" s="137"/>
      <c r="N56" s="247"/>
      <c r="O56" s="137"/>
      <c r="P56" s="137"/>
      <c r="Q56" s="137"/>
      <c r="R56" s="271"/>
      <c r="S56" s="247"/>
      <c r="T56" s="137"/>
      <c r="U56" s="137"/>
      <c r="V56" s="271"/>
      <c r="W56" s="247"/>
      <c r="X56" s="137"/>
      <c r="Y56" s="137"/>
      <c r="Z56" s="271"/>
      <c r="AA56" s="247"/>
      <c r="AB56" s="137"/>
      <c r="AC56" s="137">
        <v>1500</v>
      </c>
      <c r="AD56" s="137"/>
      <c r="AE56" s="271"/>
      <c r="AF56" s="247"/>
      <c r="AG56" s="137"/>
      <c r="AH56" s="137"/>
      <c r="AI56" s="271"/>
      <c r="AJ56" s="247"/>
      <c r="AK56" s="137"/>
      <c r="AL56" s="137"/>
      <c r="AM56" s="271"/>
      <c r="AN56" s="247"/>
      <c r="AO56" s="137"/>
      <c r="AP56" s="137"/>
      <c r="AQ56" s="137"/>
      <c r="AR56" s="271"/>
      <c r="AS56" s="247"/>
      <c r="AT56" s="137"/>
      <c r="AU56" s="137"/>
      <c r="AV56" s="271"/>
      <c r="AW56" s="247"/>
      <c r="AX56" s="137"/>
      <c r="AY56" s="137"/>
      <c r="AZ56" s="271"/>
      <c r="BA56" s="247"/>
      <c r="BB56" s="137"/>
      <c r="BC56" s="137"/>
      <c r="BD56" s="137"/>
      <c r="BE56" s="271"/>
    </row>
    <row r="57" spans="1:57" ht="21" customHeight="1" x14ac:dyDescent="0.2">
      <c r="A57" s="11" t="s">
        <v>8</v>
      </c>
      <c r="B57" s="696">
        <v>1000</v>
      </c>
      <c r="C57" s="1031"/>
      <c r="D57" s="697">
        <f t="shared" si="8"/>
        <v>0</v>
      </c>
      <c r="E57" s="703"/>
      <c r="F57" s="175"/>
      <c r="G57" s="137"/>
      <c r="H57" s="137"/>
      <c r="I57" s="174"/>
      <c r="J57" s="175"/>
      <c r="K57" s="137"/>
      <c r="L57" s="137"/>
      <c r="M57" s="137"/>
      <c r="N57" s="247"/>
      <c r="O57" s="137"/>
      <c r="P57" s="137"/>
      <c r="Q57" s="137"/>
      <c r="R57" s="271"/>
      <c r="S57" s="247"/>
      <c r="T57" s="137"/>
      <c r="U57" s="137"/>
      <c r="V57" s="271"/>
      <c r="W57" s="247"/>
      <c r="X57" s="137"/>
      <c r="Y57" s="137"/>
      <c r="Z57" s="271"/>
      <c r="AA57" s="247"/>
      <c r="AB57" s="137"/>
      <c r="AC57" s="137">
        <v>1000</v>
      </c>
      <c r="AD57" s="137"/>
      <c r="AE57" s="271"/>
      <c r="AF57" s="247"/>
      <c r="AG57" s="137"/>
      <c r="AH57" s="137"/>
      <c r="AI57" s="271"/>
      <c r="AJ57" s="247"/>
      <c r="AK57" s="137"/>
      <c r="AL57" s="137"/>
      <c r="AM57" s="271"/>
      <c r="AN57" s="247"/>
      <c r="AO57" s="137"/>
      <c r="AP57" s="137"/>
      <c r="AQ57" s="137"/>
      <c r="AR57" s="271"/>
      <c r="AS57" s="247"/>
      <c r="AT57" s="137"/>
      <c r="AU57" s="137"/>
      <c r="AV57" s="271"/>
      <c r="AW57" s="247"/>
      <c r="AX57" s="137"/>
      <c r="AY57" s="137"/>
      <c r="AZ57" s="271"/>
      <c r="BA57" s="247"/>
      <c r="BB57" s="137"/>
      <c r="BC57" s="137"/>
      <c r="BD57" s="137"/>
      <c r="BE57" s="271"/>
    </row>
    <row r="58" spans="1:57" ht="21" customHeight="1" x14ac:dyDescent="0.2">
      <c r="A58" s="11" t="s">
        <v>201</v>
      </c>
      <c r="B58" s="696">
        <v>500</v>
      </c>
      <c r="C58" s="1031"/>
      <c r="D58" s="697">
        <f t="shared" si="8"/>
        <v>0</v>
      </c>
      <c r="E58" s="703"/>
      <c r="F58" s="175"/>
      <c r="G58" s="137"/>
      <c r="H58" s="137"/>
      <c r="I58" s="174"/>
      <c r="J58" s="175"/>
      <c r="K58" s="137"/>
      <c r="L58" s="137"/>
      <c r="M58" s="137"/>
      <c r="N58" s="247"/>
      <c r="O58" s="137"/>
      <c r="P58" s="137"/>
      <c r="Q58" s="137"/>
      <c r="R58" s="271"/>
      <c r="S58" s="247"/>
      <c r="T58" s="137"/>
      <c r="U58" s="137"/>
      <c r="V58" s="271"/>
      <c r="W58" s="247"/>
      <c r="X58" s="137"/>
      <c r="Y58" s="137"/>
      <c r="Z58" s="271"/>
      <c r="AA58" s="247"/>
      <c r="AB58" s="137"/>
      <c r="AC58" s="137">
        <v>500</v>
      </c>
      <c r="AD58" s="137"/>
      <c r="AE58" s="271"/>
      <c r="AF58" s="247"/>
      <c r="AG58" s="137"/>
      <c r="AH58" s="137"/>
      <c r="AI58" s="271"/>
      <c r="AJ58" s="247"/>
      <c r="AK58" s="137"/>
      <c r="AL58" s="137"/>
      <c r="AM58" s="271"/>
      <c r="AN58" s="247"/>
      <c r="AO58" s="137"/>
      <c r="AP58" s="137"/>
      <c r="AQ58" s="137"/>
      <c r="AR58" s="271"/>
      <c r="AS58" s="247"/>
      <c r="AT58" s="137"/>
      <c r="AU58" s="137"/>
      <c r="AV58" s="271"/>
      <c r="AW58" s="247"/>
      <c r="AX58" s="137"/>
      <c r="AY58" s="137"/>
      <c r="AZ58" s="271"/>
      <c r="BA58" s="247"/>
      <c r="BB58" s="137"/>
      <c r="BC58" s="137"/>
      <c r="BD58" s="137"/>
      <c r="BE58" s="271"/>
    </row>
    <row r="59" spans="1:57" ht="21" customHeight="1" x14ac:dyDescent="0.2">
      <c r="A59" s="11" t="s">
        <v>15</v>
      </c>
      <c r="B59" s="696">
        <v>1750</v>
      </c>
      <c r="C59" s="1031"/>
      <c r="D59" s="697">
        <f t="shared" si="8"/>
        <v>0</v>
      </c>
      <c r="E59" s="703"/>
      <c r="F59" s="175"/>
      <c r="G59" s="137"/>
      <c r="H59" s="137"/>
      <c r="I59" s="174"/>
      <c r="J59" s="175"/>
      <c r="K59" s="137"/>
      <c r="L59" s="137"/>
      <c r="M59" s="137"/>
      <c r="N59" s="247"/>
      <c r="O59" s="137"/>
      <c r="P59" s="137"/>
      <c r="Q59" s="137"/>
      <c r="R59" s="271"/>
      <c r="S59" s="247"/>
      <c r="T59" s="137"/>
      <c r="U59" s="137"/>
      <c r="V59" s="271"/>
      <c r="W59" s="247"/>
      <c r="X59" s="137"/>
      <c r="Y59" s="137"/>
      <c r="Z59" s="271"/>
      <c r="AA59" s="247"/>
      <c r="AB59" s="137"/>
      <c r="AC59" s="137">
        <v>200</v>
      </c>
      <c r="AD59" s="137">
        <v>1550</v>
      </c>
      <c r="AE59" s="271"/>
      <c r="AF59" s="247"/>
      <c r="AG59" s="137"/>
      <c r="AH59" s="137"/>
      <c r="AI59" s="271"/>
      <c r="AJ59" s="247"/>
      <c r="AK59" s="137"/>
      <c r="AL59" s="137"/>
      <c r="AM59" s="271"/>
      <c r="AN59" s="247"/>
      <c r="AO59" s="137"/>
      <c r="AP59" s="137"/>
      <c r="AQ59" s="137"/>
      <c r="AR59" s="271"/>
      <c r="AS59" s="247"/>
      <c r="AT59" s="137"/>
      <c r="AU59" s="137"/>
      <c r="AV59" s="271"/>
      <c r="AW59" s="247"/>
      <c r="AX59" s="137"/>
      <c r="AY59" s="137"/>
      <c r="AZ59" s="271"/>
      <c r="BA59" s="247"/>
      <c r="BB59" s="137"/>
      <c r="BC59" s="137"/>
      <c r="BD59" s="137"/>
      <c r="BE59" s="271"/>
    </row>
    <row r="60" spans="1:57" ht="21" customHeight="1" x14ac:dyDescent="0.2">
      <c r="A60" s="11" t="s">
        <v>29</v>
      </c>
      <c r="B60" s="699">
        <v>750</v>
      </c>
      <c r="C60" s="1031"/>
      <c r="D60" s="697">
        <f t="shared" si="8"/>
        <v>0</v>
      </c>
      <c r="E60" s="703"/>
      <c r="F60" s="175"/>
      <c r="G60" s="137"/>
      <c r="H60" s="137"/>
      <c r="I60" s="174"/>
      <c r="J60" s="175"/>
      <c r="K60" s="137"/>
      <c r="L60" s="137"/>
      <c r="M60" s="137"/>
      <c r="N60" s="247"/>
      <c r="O60" s="137"/>
      <c r="P60" s="137"/>
      <c r="Q60" s="137"/>
      <c r="R60" s="271"/>
      <c r="S60" s="247"/>
      <c r="T60" s="137"/>
      <c r="U60" s="137"/>
      <c r="V60" s="271"/>
      <c r="W60" s="247"/>
      <c r="X60" s="137"/>
      <c r="Y60" s="137"/>
      <c r="Z60" s="271"/>
      <c r="AA60" s="247"/>
      <c r="AB60" s="137"/>
      <c r="AC60" s="137"/>
      <c r="AD60" s="137">
        <v>750</v>
      </c>
      <c r="AE60" s="271"/>
      <c r="AF60" s="247"/>
      <c r="AG60" s="137"/>
      <c r="AH60" s="137"/>
      <c r="AI60" s="271"/>
      <c r="AJ60" s="247"/>
      <c r="AK60" s="137"/>
      <c r="AL60" s="137"/>
      <c r="AM60" s="271"/>
      <c r="AN60" s="247"/>
      <c r="AO60" s="137"/>
      <c r="AP60" s="137"/>
      <c r="AQ60" s="137"/>
      <c r="AR60" s="271"/>
      <c r="AS60" s="247"/>
      <c r="AT60" s="137"/>
      <c r="AU60" s="137"/>
      <c r="AV60" s="271"/>
      <c r="AW60" s="247"/>
      <c r="AX60" s="137"/>
      <c r="AY60" s="137"/>
      <c r="AZ60" s="271"/>
      <c r="BA60" s="247"/>
      <c r="BB60" s="137"/>
      <c r="BC60" s="137"/>
      <c r="BD60" s="137"/>
      <c r="BE60" s="271"/>
    </row>
    <row r="61" spans="1:57" ht="21" customHeight="1" x14ac:dyDescent="0.2">
      <c r="A61" s="632" t="s">
        <v>224</v>
      </c>
      <c r="B61" s="700">
        <v>500</v>
      </c>
      <c r="C61" s="1031"/>
      <c r="D61" s="697">
        <f t="shared" si="8"/>
        <v>0</v>
      </c>
      <c r="E61" s="703"/>
      <c r="F61" s="175"/>
      <c r="G61" s="137"/>
      <c r="H61" s="137"/>
      <c r="I61" s="174"/>
      <c r="J61" s="175"/>
      <c r="K61" s="137"/>
      <c r="L61" s="137"/>
      <c r="M61" s="137"/>
      <c r="N61" s="247"/>
      <c r="O61" s="137"/>
      <c r="P61" s="137"/>
      <c r="Q61" s="137"/>
      <c r="R61" s="271"/>
      <c r="S61" s="247"/>
      <c r="T61" s="137"/>
      <c r="U61" s="137"/>
      <c r="V61" s="271"/>
      <c r="W61" s="247"/>
      <c r="X61" s="137"/>
      <c r="Y61" s="137"/>
      <c r="Z61" s="271"/>
      <c r="AA61" s="247"/>
      <c r="AB61" s="137"/>
      <c r="AC61" s="137"/>
      <c r="AD61" s="137">
        <v>500</v>
      </c>
      <c r="AE61" s="271"/>
      <c r="AF61" s="247"/>
      <c r="AG61" s="137"/>
      <c r="AH61" s="137"/>
      <c r="AI61" s="271"/>
      <c r="AJ61" s="247"/>
      <c r="AK61" s="137"/>
      <c r="AL61" s="137"/>
      <c r="AM61" s="271"/>
      <c r="AN61" s="247"/>
      <c r="AO61" s="137"/>
      <c r="AP61" s="137"/>
      <c r="AQ61" s="137"/>
      <c r="AR61" s="271"/>
      <c r="AS61" s="247"/>
      <c r="AT61" s="137"/>
      <c r="AU61" s="137"/>
      <c r="AV61" s="271"/>
      <c r="AW61" s="247"/>
      <c r="AX61" s="137"/>
      <c r="AY61" s="137"/>
      <c r="AZ61" s="271"/>
      <c r="BA61" s="247"/>
      <c r="BB61" s="137"/>
      <c r="BC61" s="137"/>
      <c r="BD61" s="137"/>
      <c r="BE61" s="271"/>
    </row>
    <row r="62" spans="1:57" ht="21" customHeight="1" x14ac:dyDescent="0.2">
      <c r="A62" s="632" t="s">
        <v>413</v>
      </c>
      <c r="B62" s="700">
        <v>500</v>
      </c>
      <c r="C62" s="1031"/>
      <c r="D62" s="697">
        <f t="shared" si="8"/>
        <v>0</v>
      </c>
      <c r="E62" s="703"/>
      <c r="F62" s="175"/>
      <c r="G62" s="137"/>
      <c r="H62" s="137"/>
      <c r="I62" s="174"/>
      <c r="J62" s="175"/>
      <c r="K62" s="137"/>
      <c r="L62" s="137"/>
      <c r="M62" s="137"/>
      <c r="N62" s="247"/>
      <c r="O62" s="137"/>
      <c r="P62" s="137"/>
      <c r="Q62" s="137"/>
      <c r="R62" s="271"/>
      <c r="S62" s="247"/>
      <c r="T62" s="137"/>
      <c r="U62" s="137"/>
      <c r="V62" s="271"/>
      <c r="W62" s="247"/>
      <c r="X62" s="137"/>
      <c r="Y62" s="137"/>
      <c r="Z62" s="271"/>
      <c r="AA62" s="247"/>
      <c r="AB62" s="137"/>
      <c r="AC62" s="137"/>
      <c r="AD62" s="137">
        <v>500</v>
      </c>
      <c r="AE62" s="271"/>
      <c r="AF62" s="247"/>
      <c r="AG62" s="137"/>
      <c r="AH62" s="137"/>
      <c r="AI62" s="271"/>
      <c r="AJ62" s="247"/>
      <c r="AK62" s="137"/>
      <c r="AL62" s="137"/>
      <c r="AM62" s="271"/>
      <c r="AN62" s="247"/>
      <c r="AO62" s="137"/>
      <c r="AP62" s="137"/>
      <c r="AQ62" s="137"/>
      <c r="AR62" s="271"/>
      <c r="AS62" s="247"/>
      <c r="AT62" s="137"/>
      <c r="AU62" s="137"/>
      <c r="AV62" s="271"/>
      <c r="AW62" s="247"/>
      <c r="AX62" s="137"/>
      <c r="AY62" s="137"/>
      <c r="AZ62" s="271"/>
      <c r="BA62" s="247"/>
      <c r="BB62" s="137"/>
      <c r="BC62" s="137"/>
      <c r="BD62" s="137"/>
      <c r="BE62" s="271"/>
    </row>
    <row r="63" spans="1:57" ht="21" customHeight="1" thickBot="1" x14ac:dyDescent="0.25">
      <c r="A63" s="246" t="s">
        <v>414</v>
      </c>
      <c r="B63" s="702">
        <v>500</v>
      </c>
      <c r="C63" s="1032"/>
      <c r="D63" s="697">
        <f t="shared" si="8"/>
        <v>0</v>
      </c>
      <c r="E63" s="703"/>
      <c r="F63" s="175"/>
      <c r="G63" s="137"/>
      <c r="H63" s="137"/>
      <c r="I63" s="174"/>
      <c r="J63" s="175"/>
      <c r="K63" s="137"/>
      <c r="L63" s="137"/>
      <c r="M63" s="137"/>
      <c r="N63" s="247"/>
      <c r="O63" s="137"/>
      <c r="P63" s="137"/>
      <c r="Q63" s="137"/>
      <c r="R63" s="271"/>
      <c r="S63" s="247"/>
      <c r="T63" s="137"/>
      <c r="U63" s="137"/>
      <c r="V63" s="271"/>
      <c r="W63" s="247"/>
      <c r="X63" s="137"/>
      <c r="Y63" s="137"/>
      <c r="Z63" s="271"/>
      <c r="AA63" s="247"/>
      <c r="AB63" s="137"/>
      <c r="AC63" s="137"/>
      <c r="AD63" s="137">
        <v>500</v>
      </c>
      <c r="AE63" s="271"/>
      <c r="AF63" s="247"/>
      <c r="AG63" s="137"/>
      <c r="AH63" s="137"/>
      <c r="AI63" s="271"/>
      <c r="AJ63" s="247"/>
      <c r="AK63" s="137"/>
      <c r="AL63" s="137"/>
      <c r="AM63" s="271"/>
      <c r="AN63" s="247"/>
      <c r="AO63" s="137"/>
      <c r="AP63" s="137"/>
      <c r="AQ63" s="137"/>
      <c r="AR63" s="271"/>
      <c r="AS63" s="247"/>
      <c r="AT63" s="137"/>
      <c r="AU63" s="137"/>
      <c r="AV63" s="271"/>
      <c r="AW63" s="247"/>
      <c r="AX63" s="137"/>
      <c r="AY63" s="137"/>
      <c r="AZ63" s="271"/>
      <c r="BA63" s="247"/>
      <c r="BB63" s="137"/>
      <c r="BC63" s="137"/>
      <c r="BD63" s="137"/>
      <c r="BE63" s="271"/>
    </row>
    <row r="64" spans="1:57" ht="21" customHeight="1" x14ac:dyDescent="0.2">
      <c r="A64" s="11" t="s">
        <v>4</v>
      </c>
      <c r="B64" s="696">
        <v>10000</v>
      </c>
      <c r="C64" s="1030" t="s">
        <v>420</v>
      </c>
      <c r="D64" s="697">
        <f>+B64-SUM(F64:BE64)</f>
        <v>0</v>
      </c>
      <c r="E64" s="703"/>
      <c r="F64" s="175"/>
      <c r="G64" s="137"/>
      <c r="H64" s="137"/>
      <c r="I64" s="174"/>
      <c r="J64" s="175"/>
      <c r="K64" s="137"/>
      <c r="L64" s="137"/>
      <c r="M64" s="137"/>
      <c r="N64" s="247"/>
      <c r="O64" s="137"/>
      <c r="P64" s="137"/>
      <c r="Q64" s="137"/>
      <c r="R64" s="271"/>
      <c r="S64" s="247"/>
      <c r="T64" s="137"/>
      <c r="U64" s="137"/>
      <c r="V64" s="271"/>
      <c r="W64" s="247"/>
      <c r="X64" s="137"/>
      <c r="Y64" s="137"/>
      <c r="Z64" s="271"/>
      <c r="AA64" s="247"/>
      <c r="AB64" s="137"/>
      <c r="AC64" s="137"/>
      <c r="AD64" s="137">
        <v>325</v>
      </c>
      <c r="AE64" s="271">
        <v>4125</v>
      </c>
      <c r="AF64" s="247">
        <v>3300</v>
      </c>
      <c r="AG64" s="137">
        <v>2250</v>
      </c>
      <c r="AH64" s="137"/>
      <c r="AI64" s="271"/>
      <c r="AJ64" s="247"/>
      <c r="AK64" s="137"/>
      <c r="AL64" s="137"/>
      <c r="AM64" s="271"/>
      <c r="AN64" s="247"/>
      <c r="AO64" s="137"/>
      <c r="AP64" s="137"/>
      <c r="AQ64" s="137"/>
      <c r="AR64" s="271"/>
      <c r="AS64" s="247"/>
      <c r="AT64" s="137"/>
      <c r="AU64" s="137"/>
      <c r="AV64" s="271"/>
      <c r="AW64" s="247"/>
      <c r="AX64" s="137"/>
      <c r="AY64" s="137"/>
      <c r="AZ64" s="271"/>
      <c r="BA64" s="247"/>
      <c r="BB64" s="137"/>
      <c r="BC64" s="137"/>
      <c r="BD64" s="137"/>
      <c r="BE64" s="271"/>
    </row>
    <row r="65" spans="1:57" ht="21" customHeight="1" x14ac:dyDescent="0.2">
      <c r="A65" s="11" t="s">
        <v>202</v>
      </c>
      <c r="B65" s="696">
        <v>1500</v>
      </c>
      <c r="C65" s="1031"/>
      <c r="D65" s="697">
        <f t="shared" ref="D65:D72" si="9">+B65-SUM(F65:BE65)</f>
        <v>0</v>
      </c>
      <c r="E65" s="703"/>
      <c r="F65" s="175"/>
      <c r="G65" s="137"/>
      <c r="H65" s="137"/>
      <c r="I65" s="174"/>
      <c r="J65" s="175"/>
      <c r="K65" s="137"/>
      <c r="L65" s="137"/>
      <c r="M65" s="137"/>
      <c r="N65" s="247"/>
      <c r="O65" s="137"/>
      <c r="P65" s="137"/>
      <c r="Q65" s="137"/>
      <c r="R65" s="271"/>
      <c r="S65" s="247"/>
      <c r="T65" s="137"/>
      <c r="U65" s="137"/>
      <c r="V65" s="271"/>
      <c r="W65" s="247"/>
      <c r="X65" s="137"/>
      <c r="Y65" s="137"/>
      <c r="Z65" s="271"/>
      <c r="AA65" s="247"/>
      <c r="AB65" s="137"/>
      <c r="AC65" s="137"/>
      <c r="AD65" s="137"/>
      <c r="AE65" s="271"/>
      <c r="AF65" s="247"/>
      <c r="AG65" s="137">
        <v>1500</v>
      </c>
      <c r="AH65" s="137"/>
      <c r="AI65" s="271"/>
      <c r="AJ65" s="247"/>
      <c r="AK65" s="137"/>
      <c r="AL65" s="137"/>
      <c r="AM65" s="271"/>
      <c r="AN65" s="247"/>
      <c r="AO65" s="137"/>
      <c r="AP65" s="137"/>
      <c r="AQ65" s="137"/>
      <c r="AR65" s="271"/>
      <c r="AS65" s="247"/>
      <c r="AT65" s="137"/>
      <c r="AU65" s="137"/>
      <c r="AV65" s="271"/>
      <c r="AW65" s="247"/>
      <c r="AX65" s="137"/>
      <c r="AY65" s="137"/>
      <c r="AZ65" s="271"/>
      <c r="BA65" s="247"/>
      <c r="BB65" s="137"/>
      <c r="BC65" s="137"/>
      <c r="BD65" s="137"/>
      <c r="BE65" s="271"/>
    </row>
    <row r="66" spans="1:57" ht="21" customHeight="1" x14ac:dyDescent="0.2">
      <c r="A66" s="11" t="s">
        <v>8</v>
      </c>
      <c r="B66" s="696">
        <v>1000</v>
      </c>
      <c r="C66" s="1031"/>
      <c r="D66" s="697">
        <f t="shared" si="9"/>
        <v>0</v>
      </c>
      <c r="E66" s="703"/>
      <c r="F66" s="175"/>
      <c r="G66" s="137"/>
      <c r="H66" s="137"/>
      <c r="I66" s="174"/>
      <c r="J66" s="175"/>
      <c r="K66" s="137"/>
      <c r="L66" s="137"/>
      <c r="M66" s="137"/>
      <c r="N66" s="247"/>
      <c r="O66" s="137"/>
      <c r="P66" s="137"/>
      <c r="Q66" s="137"/>
      <c r="R66" s="271"/>
      <c r="S66" s="247"/>
      <c r="T66" s="137"/>
      <c r="U66" s="137"/>
      <c r="V66" s="271"/>
      <c r="W66" s="247"/>
      <c r="X66" s="137"/>
      <c r="Y66" s="137"/>
      <c r="Z66" s="271"/>
      <c r="AA66" s="247"/>
      <c r="AB66" s="137"/>
      <c r="AC66" s="137"/>
      <c r="AD66" s="137"/>
      <c r="AE66" s="271"/>
      <c r="AF66" s="247"/>
      <c r="AG66" s="137">
        <v>375</v>
      </c>
      <c r="AH66" s="137">
        <v>625</v>
      </c>
      <c r="AI66" s="271"/>
      <c r="AJ66" s="247"/>
      <c r="AK66" s="137"/>
      <c r="AL66" s="137"/>
      <c r="AM66" s="271"/>
      <c r="AN66" s="247"/>
      <c r="AO66" s="137"/>
      <c r="AP66" s="137"/>
      <c r="AQ66" s="137"/>
      <c r="AR66" s="271"/>
      <c r="AS66" s="247"/>
      <c r="AT66" s="137"/>
      <c r="AU66" s="137"/>
      <c r="AV66" s="271"/>
      <c r="AW66" s="247"/>
      <c r="AX66" s="137"/>
      <c r="AY66" s="137"/>
      <c r="AZ66" s="271"/>
      <c r="BA66" s="247"/>
      <c r="BB66" s="137"/>
      <c r="BC66" s="137"/>
      <c r="BD66" s="137"/>
      <c r="BE66" s="271"/>
    </row>
    <row r="67" spans="1:57" ht="21" customHeight="1" x14ac:dyDescent="0.2">
      <c r="A67" s="11" t="s">
        <v>201</v>
      </c>
      <c r="B67" s="696">
        <v>500</v>
      </c>
      <c r="C67" s="1031"/>
      <c r="D67" s="697">
        <f t="shared" si="9"/>
        <v>0</v>
      </c>
      <c r="E67" s="703"/>
      <c r="F67" s="175"/>
      <c r="G67" s="137"/>
      <c r="H67" s="137"/>
      <c r="I67" s="174"/>
      <c r="J67" s="175"/>
      <c r="K67" s="137"/>
      <c r="L67" s="137"/>
      <c r="M67" s="137"/>
      <c r="N67" s="247"/>
      <c r="O67" s="137"/>
      <c r="P67" s="137"/>
      <c r="Q67" s="137"/>
      <c r="R67" s="271"/>
      <c r="S67" s="247"/>
      <c r="T67" s="137"/>
      <c r="U67" s="137"/>
      <c r="V67" s="271"/>
      <c r="W67" s="247"/>
      <c r="X67" s="137"/>
      <c r="Y67" s="137"/>
      <c r="Z67" s="271"/>
      <c r="AA67" s="247"/>
      <c r="AB67" s="137"/>
      <c r="AC67" s="137"/>
      <c r="AD67" s="137"/>
      <c r="AE67" s="271"/>
      <c r="AF67" s="247"/>
      <c r="AG67" s="137"/>
      <c r="AH67" s="137">
        <v>500</v>
      </c>
      <c r="AI67" s="271"/>
      <c r="AJ67" s="247"/>
      <c r="AK67" s="137"/>
      <c r="AL67" s="137"/>
      <c r="AM67" s="271"/>
      <c r="AN67" s="247"/>
      <c r="AO67" s="137"/>
      <c r="AP67" s="137"/>
      <c r="AQ67" s="137"/>
      <c r="AR67" s="271"/>
      <c r="AS67" s="247"/>
      <c r="AT67" s="137"/>
      <c r="AU67" s="137"/>
      <c r="AV67" s="271"/>
      <c r="AW67" s="247"/>
      <c r="AX67" s="137"/>
      <c r="AY67" s="137"/>
      <c r="AZ67" s="271"/>
      <c r="BA67" s="247"/>
      <c r="BB67" s="137"/>
      <c r="BC67" s="137"/>
      <c r="BD67" s="137"/>
      <c r="BE67" s="271"/>
    </row>
    <row r="68" spans="1:57" ht="21" customHeight="1" x14ac:dyDescent="0.2">
      <c r="A68" s="11" t="s">
        <v>15</v>
      </c>
      <c r="B68" s="696">
        <v>1750</v>
      </c>
      <c r="C68" s="1031"/>
      <c r="D68" s="697">
        <f t="shared" si="9"/>
        <v>0</v>
      </c>
      <c r="E68" s="703"/>
      <c r="F68" s="175"/>
      <c r="G68" s="137"/>
      <c r="H68" s="137"/>
      <c r="I68" s="174"/>
      <c r="J68" s="175"/>
      <c r="K68" s="137"/>
      <c r="L68" s="137"/>
      <c r="M68" s="137"/>
      <c r="N68" s="247"/>
      <c r="O68" s="137"/>
      <c r="P68" s="137"/>
      <c r="Q68" s="137"/>
      <c r="R68" s="271"/>
      <c r="S68" s="247"/>
      <c r="T68" s="137"/>
      <c r="U68" s="137"/>
      <c r="V68" s="271"/>
      <c r="W68" s="247"/>
      <c r="X68" s="137"/>
      <c r="Y68" s="137"/>
      <c r="Z68" s="271"/>
      <c r="AA68" s="247"/>
      <c r="AB68" s="137"/>
      <c r="AC68" s="137"/>
      <c r="AD68" s="137"/>
      <c r="AE68" s="271"/>
      <c r="AF68" s="247"/>
      <c r="AG68" s="137"/>
      <c r="AH68" s="137">
        <v>1750</v>
      </c>
      <c r="AI68" s="271"/>
      <c r="AJ68" s="247"/>
      <c r="AK68" s="137"/>
      <c r="AL68" s="137"/>
      <c r="AM68" s="271"/>
      <c r="AN68" s="247"/>
      <c r="AO68" s="137"/>
      <c r="AP68" s="137"/>
      <c r="AQ68" s="137"/>
      <c r="AR68" s="271"/>
      <c r="AS68" s="247"/>
      <c r="AT68" s="137"/>
      <c r="AU68" s="137"/>
      <c r="AV68" s="271"/>
      <c r="AW68" s="247"/>
      <c r="AX68" s="137"/>
      <c r="AY68" s="137"/>
      <c r="AZ68" s="271"/>
      <c r="BA68" s="247"/>
      <c r="BB68" s="137"/>
      <c r="BC68" s="137"/>
      <c r="BD68" s="137"/>
      <c r="BE68" s="271"/>
    </row>
    <row r="69" spans="1:57" ht="21" customHeight="1" x14ac:dyDescent="0.2">
      <c r="A69" s="11" t="s">
        <v>29</v>
      </c>
      <c r="B69" s="699">
        <v>750</v>
      </c>
      <c r="C69" s="1031"/>
      <c r="D69" s="697">
        <f t="shared" si="9"/>
        <v>0</v>
      </c>
      <c r="E69" s="703"/>
      <c r="F69" s="175"/>
      <c r="G69" s="137"/>
      <c r="H69" s="137"/>
      <c r="I69" s="174"/>
      <c r="J69" s="175"/>
      <c r="K69" s="137"/>
      <c r="L69" s="137"/>
      <c r="M69" s="137"/>
      <c r="N69" s="247"/>
      <c r="O69" s="137"/>
      <c r="P69" s="137"/>
      <c r="Q69" s="137"/>
      <c r="R69" s="271"/>
      <c r="S69" s="247"/>
      <c r="T69" s="137"/>
      <c r="U69" s="137"/>
      <c r="V69" s="271"/>
      <c r="W69" s="247"/>
      <c r="X69" s="137"/>
      <c r="Y69" s="137"/>
      <c r="Z69" s="271"/>
      <c r="AA69" s="247"/>
      <c r="AB69" s="137"/>
      <c r="AC69" s="137"/>
      <c r="AD69" s="137"/>
      <c r="AE69" s="271"/>
      <c r="AF69" s="247"/>
      <c r="AG69" s="137"/>
      <c r="AH69" s="137">
        <v>750</v>
      </c>
      <c r="AI69" s="271"/>
      <c r="AJ69" s="247"/>
      <c r="AK69" s="137"/>
      <c r="AL69" s="137"/>
      <c r="AM69" s="271"/>
      <c r="AN69" s="247"/>
      <c r="AO69" s="137"/>
      <c r="AP69" s="137"/>
      <c r="AQ69" s="137"/>
      <c r="AR69" s="271"/>
      <c r="AS69" s="247"/>
      <c r="AT69" s="137"/>
      <c r="AU69" s="137"/>
      <c r="AV69" s="271"/>
      <c r="AW69" s="247"/>
      <c r="AX69" s="137"/>
      <c r="AY69" s="137"/>
      <c r="AZ69" s="271"/>
      <c r="BA69" s="247"/>
      <c r="BB69" s="137"/>
      <c r="BC69" s="137"/>
      <c r="BD69" s="137"/>
      <c r="BE69" s="271"/>
    </row>
    <row r="70" spans="1:57" ht="21" customHeight="1" x14ac:dyDescent="0.2">
      <c r="A70" s="632" t="s">
        <v>224</v>
      </c>
      <c r="B70" s="700">
        <v>500</v>
      </c>
      <c r="C70" s="1031"/>
      <c r="D70" s="697">
        <f t="shared" si="9"/>
        <v>0</v>
      </c>
      <c r="E70" s="703"/>
      <c r="F70" s="175"/>
      <c r="G70" s="137"/>
      <c r="H70" s="137"/>
      <c r="I70" s="174"/>
      <c r="J70" s="175"/>
      <c r="K70" s="137"/>
      <c r="L70" s="137"/>
      <c r="M70" s="137"/>
      <c r="N70" s="247"/>
      <c r="O70" s="137"/>
      <c r="P70" s="137"/>
      <c r="Q70" s="137"/>
      <c r="R70" s="271"/>
      <c r="S70" s="247"/>
      <c r="T70" s="137"/>
      <c r="U70" s="137"/>
      <c r="V70" s="271"/>
      <c r="W70" s="247"/>
      <c r="X70" s="137"/>
      <c r="Y70" s="137"/>
      <c r="Z70" s="271"/>
      <c r="AA70" s="247"/>
      <c r="AB70" s="137"/>
      <c r="AC70" s="137"/>
      <c r="AD70" s="137"/>
      <c r="AE70" s="271"/>
      <c r="AF70" s="247"/>
      <c r="AG70" s="137"/>
      <c r="AH70" s="137">
        <v>500</v>
      </c>
      <c r="AI70" s="271"/>
      <c r="AJ70" s="247"/>
      <c r="AK70" s="137"/>
      <c r="AL70" s="137"/>
      <c r="AM70" s="271"/>
      <c r="AN70" s="247"/>
      <c r="AO70" s="137"/>
      <c r="AP70" s="137"/>
      <c r="AQ70" s="137"/>
      <c r="AR70" s="271"/>
      <c r="AS70" s="247"/>
      <c r="AT70" s="137"/>
      <c r="AU70" s="137"/>
      <c r="AV70" s="271"/>
      <c r="AW70" s="247"/>
      <c r="AX70" s="137"/>
      <c r="AY70" s="137"/>
      <c r="AZ70" s="271"/>
      <c r="BA70" s="247"/>
      <c r="BB70" s="137"/>
      <c r="BC70" s="137"/>
      <c r="BD70" s="137"/>
      <c r="BE70" s="271"/>
    </row>
    <row r="71" spans="1:57" ht="21" customHeight="1" x14ac:dyDescent="0.2">
      <c r="A71" s="632" t="s">
        <v>413</v>
      </c>
      <c r="B71" s="700">
        <v>500</v>
      </c>
      <c r="C71" s="1031"/>
      <c r="D71" s="697">
        <f t="shared" si="9"/>
        <v>0</v>
      </c>
      <c r="E71" s="703"/>
      <c r="F71" s="708"/>
      <c r="G71" s="181"/>
      <c r="H71" s="137"/>
      <c r="I71" s="174"/>
      <c r="J71" s="175"/>
      <c r="K71" s="137"/>
      <c r="L71" s="137"/>
      <c r="M71" s="137"/>
      <c r="N71" s="247"/>
      <c r="O71" s="137"/>
      <c r="P71" s="137"/>
      <c r="Q71" s="137"/>
      <c r="R71" s="271"/>
      <c r="S71" s="247"/>
      <c r="T71" s="137"/>
      <c r="U71" s="137"/>
      <c r="V71" s="271"/>
      <c r="W71" s="247"/>
      <c r="X71" s="137"/>
      <c r="Y71" s="137"/>
      <c r="Z71" s="271"/>
      <c r="AA71" s="247"/>
      <c r="AB71" s="137"/>
      <c r="AC71" s="137"/>
      <c r="AD71" s="137"/>
      <c r="AE71" s="271"/>
      <c r="AF71" s="247"/>
      <c r="AG71" s="137"/>
      <c r="AH71" s="137"/>
      <c r="AI71" s="271">
        <v>500</v>
      </c>
      <c r="AJ71" s="247"/>
      <c r="AK71" s="137"/>
      <c r="AL71" s="137"/>
      <c r="AM71" s="271"/>
      <c r="AN71" s="247"/>
      <c r="AO71" s="137"/>
      <c r="AP71" s="137"/>
      <c r="AQ71" s="137"/>
      <c r="AR71" s="271"/>
      <c r="AS71" s="247"/>
      <c r="AT71" s="137"/>
      <c r="AU71" s="137"/>
      <c r="AV71" s="271"/>
      <c r="AW71" s="247"/>
      <c r="AX71" s="137"/>
      <c r="AY71" s="137"/>
      <c r="AZ71" s="271"/>
      <c r="BA71" s="247"/>
      <c r="BB71" s="137"/>
      <c r="BC71" s="137"/>
      <c r="BD71" s="137"/>
      <c r="BE71" s="271"/>
    </row>
    <row r="72" spans="1:57" ht="21" customHeight="1" thickBot="1" x14ac:dyDescent="0.25">
      <c r="A72" s="246" t="s">
        <v>414</v>
      </c>
      <c r="B72" s="702">
        <v>500</v>
      </c>
      <c r="C72" s="1032"/>
      <c r="D72" s="697">
        <f t="shared" si="9"/>
        <v>0</v>
      </c>
      <c r="E72" s="703"/>
      <c r="F72" s="708"/>
      <c r="G72" s="181"/>
      <c r="H72" s="137"/>
      <c r="I72" s="174"/>
      <c r="J72" s="175"/>
      <c r="K72" s="137"/>
      <c r="L72" s="137"/>
      <c r="M72" s="137"/>
      <c r="N72" s="247"/>
      <c r="O72" s="137"/>
      <c r="P72" s="137"/>
      <c r="Q72" s="137"/>
      <c r="R72" s="271"/>
      <c r="S72" s="247"/>
      <c r="T72" s="137"/>
      <c r="U72" s="137"/>
      <c r="V72" s="271"/>
      <c r="W72" s="247"/>
      <c r="X72" s="137"/>
      <c r="Y72" s="137"/>
      <c r="Z72" s="271"/>
      <c r="AA72" s="247"/>
      <c r="AB72" s="137"/>
      <c r="AC72" s="137"/>
      <c r="AD72" s="137"/>
      <c r="AE72" s="271"/>
      <c r="AF72" s="247"/>
      <c r="AG72" s="137"/>
      <c r="AH72" s="137"/>
      <c r="AI72" s="271">
        <v>500</v>
      </c>
      <c r="AJ72" s="247"/>
      <c r="AK72" s="137"/>
      <c r="AL72" s="137"/>
      <c r="AM72" s="271"/>
      <c r="AN72" s="247"/>
      <c r="AO72" s="137"/>
      <c r="AP72" s="137"/>
      <c r="AQ72" s="137"/>
      <c r="AR72" s="271"/>
      <c r="AS72" s="247"/>
      <c r="AT72" s="137"/>
      <c r="AU72" s="137"/>
      <c r="AV72" s="271"/>
      <c r="AW72" s="247"/>
      <c r="AX72" s="137"/>
      <c r="AY72" s="137"/>
      <c r="AZ72" s="271"/>
      <c r="BA72" s="247"/>
      <c r="BB72" s="137"/>
      <c r="BC72" s="137"/>
      <c r="BD72" s="137"/>
      <c r="BE72" s="271"/>
    </row>
    <row r="73" spans="1:57" ht="21" customHeight="1" x14ac:dyDescent="0.2">
      <c r="A73" s="11" t="s">
        <v>4</v>
      </c>
      <c r="B73" s="696">
        <v>10000</v>
      </c>
      <c r="C73" s="1030" t="s">
        <v>421</v>
      </c>
      <c r="D73" s="697">
        <f>+B73-SUM(F73:BE73)</f>
        <v>0</v>
      </c>
      <c r="E73" s="703"/>
      <c r="F73" s="708"/>
      <c r="G73" s="181"/>
      <c r="H73" s="137"/>
      <c r="I73" s="174"/>
      <c r="J73" s="175"/>
      <c r="K73" s="137"/>
      <c r="L73" s="137"/>
      <c r="M73" s="137"/>
      <c r="N73" s="247"/>
      <c r="O73" s="137"/>
      <c r="P73" s="137"/>
      <c r="Q73" s="137"/>
      <c r="R73" s="271"/>
      <c r="S73" s="247"/>
      <c r="T73" s="137"/>
      <c r="U73" s="137"/>
      <c r="V73" s="271"/>
      <c r="W73" s="247"/>
      <c r="X73" s="137"/>
      <c r="Y73" s="137"/>
      <c r="Z73" s="271"/>
      <c r="AA73" s="247"/>
      <c r="AB73" s="137"/>
      <c r="AC73" s="137"/>
      <c r="AD73" s="137"/>
      <c r="AE73" s="271"/>
      <c r="AF73" s="247"/>
      <c r="AG73" s="137"/>
      <c r="AH73" s="137"/>
      <c r="AI73" s="271">
        <v>3125</v>
      </c>
      <c r="AJ73" s="247">
        <v>4125</v>
      </c>
      <c r="AK73" s="137">
        <v>2750</v>
      </c>
      <c r="AL73" s="137"/>
      <c r="AM73" s="271"/>
      <c r="AN73" s="247"/>
      <c r="AO73" s="137"/>
      <c r="AP73" s="137"/>
      <c r="AQ73" s="137"/>
      <c r="AR73" s="271"/>
      <c r="AS73" s="247"/>
      <c r="AT73" s="137"/>
      <c r="AU73" s="137"/>
      <c r="AV73" s="271"/>
      <c r="AW73" s="247"/>
      <c r="AX73" s="137"/>
      <c r="AY73" s="137"/>
      <c r="AZ73" s="271"/>
      <c r="BA73" s="247"/>
      <c r="BB73" s="137"/>
      <c r="BC73" s="137"/>
      <c r="BD73" s="137"/>
      <c r="BE73" s="271"/>
    </row>
    <row r="74" spans="1:57" ht="21" customHeight="1" x14ac:dyDescent="0.2">
      <c r="A74" s="11" t="s">
        <v>202</v>
      </c>
      <c r="B74" s="696">
        <v>1500</v>
      </c>
      <c r="C74" s="1031"/>
      <c r="D74" s="697">
        <f t="shared" ref="D74:D81" si="10">+B74-SUM(F74:BE74)</f>
        <v>0</v>
      </c>
      <c r="E74" s="703"/>
      <c r="F74" s="708"/>
      <c r="G74" s="181"/>
      <c r="H74" s="137"/>
      <c r="I74" s="174"/>
      <c r="J74" s="175"/>
      <c r="K74" s="137"/>
      <c r="L74" s="137"/>
      <c r="M74" s="137"/>
      <c r="N74" s="247"/>
      <c r="O74" s="137"/>
      <c r="P74" s="137"/>
      <c r="Q74" s="137"/>
      <c r="R74" s="271"/>
      <c r="S74" s="247"/>
      <c r="T74" s="137"/>
      <c r="U74" s="137"/>
      <c r="V74" s="271"/>
      <c r="W74" s="247"/>
      <c r="X74" s="137"/>
      <c r="Y74" s="137"/>
      <c r="Z74" s="271"/>
      <c r="AA74" s="247"/>
      <c r="AB74" s="137"/>
      <c r="AC74" s="137"/>
      <c r="AD74" s="137"/>
      <c r="AE74" s="271"/>
      <c r="AF74" s="247"/>
      <c r="AG74" s="137"/>
      <c r="AH74" s="137"/>
      <c r="AI74" s="271"/>
      <c r="AJ74" s="247"/>
      <c r="AK74" s="137">
        <v>1375</v>
      </c>
      <c r="AL74" s="137">
        <v>125</v>
      </c>
      <c r="AM74" s="271"/>
      <c r="AN74" s="247"/>
      <c r="AO74" s="137"/>
      <c r="AP74" s="137"/>
      <c r="AQ74" s="137"/>
      <c r="AR74" s="271"/>
      <c r="AS74" s="247"/>
      <c r="AT74" s="137"/>
      <c r="AU74" s="137"/>
      <c r="AV74" s="271"/>
      <c r="AW74" s="247"/>
      <c r="AX74" s="137"/>
      <c r="AY74" s="137"/>
      <c r="AZ74" s="271"/>
      <c r="BA74" s="247"/>
      <c r="BB74" s="137"/>
      <c r="BC74" s="137"/>
      <c r="BD74" s="137"/>
      <c r="BE74" s="271"/>
    </row>
    <row r="75" spans="1:57" ht="21" customHeight="1" x14ac:dyDescent="0.2">
      <c r="A75" s="11" t="s">
        <v>8</v>
      </c>
      <c r="B75" s="696">
        <v>1000</v>
      </c>
      <c r="C75" s="1031"/>
      <c r="D75" s="697">
        <f t="shared" si="10"/>
        <v>0</v>
      </c>
      <c r="E75" s="703"/>
      <c r="F75" s="708"/>
      <c r="G75" s="181"/>
      <c r="H75" s="137"/>
      <c r="I75" s="174"/>
      <c r="J75" s="175"/>
      <c r="K75" s="137"/>
      <c r="L75" s="137"/>
      <c r="M75" s="137"/>
      <c r="N75" s="247"/>
      <c r="O75" s="137"/>
      <c r="P75" s="137"/>
      <c r="Q75" s="137"/>
      <c r="R75" s="271"/>
      <c r="S75" s="247"/>
      <c r="T75" s="137"/>
      <c r="U75" s="137"/>
      <c r="V75" s="271"/>
      <c r="W75" s="247"/>
      <c r="X75" s="137"/>
      <c r="Y75" s="137"/>
      <c r="Z75" s="271"/>
      <c r="AA75" s="247"/>
      <c r="AB75" s="137"/>
      <c r="AC75" s="137"/>
      <c r="AD75" s="137"/>
      <c r="AE75" s="271"/>
      <c r="AF75" s="247"/>
      <c r="AG75" s="137"/>
      <c r="AH75" s="137"/>
      <c r="AI75" s="271"/>
      <c r="AJ75" s="247"/>
      <c r="AK75" s="137"/>
      <c r="AL75" s="137">
        <v>1000</v>
      </c>
      <c r="AM75" s="271"/>
      <c r="AN75" s="247"/>
      <c r="AO75" s="137"/>
      <c r="AP75" s="137"/>
      <c r="AQ75" s="137"/>
      <c r="AR75" s="271"/>
      <c r="AS75" s="247"/>
      <c r="AT75" s="137"/>
      <c r="AU75" s="137"/>
      <c r="AV75" s="271"/>
      <c r="AW75" s="247"/>
      <c r="AX75" s="137"/>
      <c r="AY75" s="137"/>
      <c r="AZ75" s="271"/>
      <c r="BA75" s="247"/>
      <c r="BB75" s="137"/>
      <c r="BC75" s="137"/>
      <c r="BD75" s="137"/>
      <c r="BE75" s="271"/>
    </row>
    <row r="76" spans="1:57" ht="21" customHeight="1" x14ac:dyDescent="0.2">
      <c r="A76" s="11" t="s">
        <v>201</v>
      </c>
      <c r="B76" s="696">
        <v>500</v>
      </c>
      <c r="C76" s="1031"/>
      <c r="D76" s="697">
        <f t="shared" si="10"/>
        <v>0</v>
      </c>
      <c r="E76" s="703"/>
      <c r="F76" s="708"/>
      <c r="G76" s="181"/>
      <c r="H76" s="137"/>
      <c r="I76" s="174"/>
      <c r="J76" s="175"/>
      <c r="K76" s="137"/>
      <c r="L76" s="137"/>
      <c r="M76" s="137"/>
      <c r="N76" s="247"/>
      <c r="O76" s="137"/>
      <c r="P76" s="137"/>
      <c r="Q76" s="137"/>
      <c r="R76" s="271"/>
      <c r="S76" s="247"/>
      <c r="T76" s="137"/>
      <c r="U76" s="137"/>
      <c r="V76" s="271"/>
      <c r="W76" s="247"/>
      <c r="X76" s="137"/>
      <c r="Y76" s="137"/>
      <c r="Z76" s="271"/>
      <c r="AA76" s="247"/>
      <c r="AB76" s="137"/>
      <c r="AC76" s="137"/>
      <c r="AD76" s="137"/>
      <c r="AE76" s="271"/>
      <c r="AF76" s="247"/>
      <c r="AG76" s="137"/>
      <c r="AH76" s="137"/>
      <c r="AI76" s="271"/>
      <c r="AJ76" s="247"/>
      <c r="AK76" s="137"/>
      <c r="AL76" s="137">
        <v>500</v>
      </c>
      <c r="AM76" s="271"/>
      <c r="AN76" s="247"/>
      <c r="AO76" s="137"/>
      <c r="AP76" s="137"/>
      <c r="AQ76" s="137"/>
      <c r="AR76" s="271"/>
      <c r="AS76" s="247"/>
      <c r="AT76" s="137"/>
      <c r="AU76" s="137"/>
      <c r="AV76" s="271"/>
      <c r="AW76" s="247"/>
      <c r="AX76" s="137"/>
      <c r="AY76" s="137"/>
      <c r="AZ76" s="271"/>
      <c r="BA76" s="247"/>
      <c r="BB76" s="137"/>
      <c r="BC76" s="137"/>
      <c r="BD76" s="137"/>
      <c r="BE76" s="271"/>
    </row>
    <row r="77" spans="1:57" ht="21" customHeight="1" x14ac:dyDescent="0.2">
      <c r="A77" s="11" t="s">
        <v>15</v>
      </c>
      <c r="B77" s="696">
        <v>1750</v>
      </c>
      <c r="C77" s="1031"/>
      <c r="D77" s="697">
        <f t="shared" si="10"/>
        <v>0</v>
      </c>
      <c r="E77" s="703"/>
      <c r="F77" s="708"/>
      <c r="G77" s="181"/>
      <c r="H77" s="137"/>
      <c r="I77" s="174"/>
      <c r="J77" s="175"/>
      <c r="K77" s="137"/>
      <c r="L77" s="137"/>
      <c r="M77" s="137"/>
      <c r="N77" s="247"/>
      <c r="O77" s="137"/>
      <c r="P77" s="137"/>
      <c r="Q77" s="137"/>
      <c r="R77" s="271"/>
      <c r="S77" s="247"/>
      <c r="T77" s="137"/>
      <c r="U77" s="137"/>
      <c r="V77" s="271"/>
      <c r="W77" s="247"/>
      <c r="X77" s="137"/>
      <c r="Y77" s="137"/>
      <c r="Z77" s="271"/>
      <c r="AA77" s="247"/>
      <c r="AB77" s="137"/>
      <c r="AC77" s="137"/>
      <c r="AD77" s="137"/>
      <c r="AE77" s="271"/>
      <c r="AF77" s="247"/>
      <c r="AG77" s="137"/>
      <c r="AH77" s="137"/>
      <c r="AI77" s="271"/>
      <c r="AJ77" s="247"/>
      <c r="AK77" s="137"/>
      <c r="AL77" s="137">
        <v>1750</v>
      </c>
      <c r="AM77" s="271"/>
      <c r="AN77" s="247"/>
      <c r="AO77" s="137"/>
      <c r="AP77" s="137"/>
      <c r="AQ77" s="137"/>
      <c r="AR77" s="271"/>
      <c r="AS77" s="247"/>
      <c r="AT77" s="137"/>
      <c r="AU77" s="137"/>
      <c r="AV77" s="271"/>
      <c r="AW77" s="247"/>
      <c r="AX77" s="137"/>
      <c r="AY77" s="137"/>
      <c r="AZ77" s="271"/>
      <c r="BA77" s="247"/>
      <c r="BB77" s="137"/>
      <c r="BC77" s="137"/>
      <c r="BD77" s="137"/>
      <c r="BE77" s="271"/>
    </row>
    <row r="78" spans="1:57" ht="21" customHeight="1" x14ac:dyDescent="0.2">
      <c r="A78" s="11" t="s">
        <v>29</v>
      </c>
      <c r="B78" s="699">
        <v>750</v>
      </c>
      <c r="C78" s="1031"/>
      <c r="D78" s="697">
        <f t="shared" si="10"/>
        <v>0</v>
      </c>
      <c r="E78" s="703"/>
      <c r="F78" s="708"/>
      <c r="G78" s="181"/>
      <c r="H78" s="137"/>
      <c r="I78" s="174"/>
      <c r="J78" s="175"/>
      <c r="K78" s="137"/>
      <c r="L78" s="137"/>
      <c r="M78" s="137"/>
      <c r="N78" s="247"/>
      <c r="O78" s="137"/>
      <c r="P78" s="137"/>
      <c r="Q78" s="137"/>
      <c r="R78" s="271"/>
      <c r="S78" s="247"/>
      <c r="T78" s="137"/>
      <c r="U78" s="137"/>
      <c r="V78" s="271"/>
      <c r="W78" s="247"/>
      <c r="X78" s="137"/>
      <c r="Y78" s="137"/>
      <c r="Z78" s="271"/>
      <c r="AA78" s="247"/>
      <c r="AB78" s="137"/>
      <c r="AC78" s="137"/>
      <c r="AD78" s="137"/>
      <c r="AE78" s="271"/>
      <c r="AF78" s="247"/>
      <c r="AG78" s="137"/>
      <c r="AH78" s="137"/>
      <c r="AI78" s="271"/>
      <c r="AJ78" s="247"/>
      <c r="AK78" s="137"/>
      <c r="AL78" s="137">
        <v>750</v>
      </c>
      <c r="AM78" s="271"/>
      <c r="AN78" s="247"/>
      <c r="AO78" s="137"/>
      <c r="AP78" s="137"/>
      <c r="AQ78" s="137"/>
      <c r="AR78" s="271"/>
      <c r="AS78" s="247"/>
      <c r="AT78" s="137"/>
      <c r="AU78" s="137"/>
      <c r="AV78" s="271"/>
      <c r="AW78" s="247"/>
      <c r="AX78" s="137"/>
      <c r="AY78" s="137"/>
      <c r="AZ78" s="271"/>
      <c r="BA78" s="247"/>
      <c r="BB78" s="137"/>
      <c r="BC78" s="137"/>
      <c r="BD78" s="137"/>
      <c r="BE78" s="271"/>
    </row>
    <row r="79" spans="1:57" ht="21" customHeight="1" x14ac:dyDescent="0.2">
      <c r="A79" s="632" t="s">
        <v>224</v>
      </c>
      <c r="B79" s="700">
        <v>500</v>
      </c>
      <c r="C79" s="1031"/>
      <c r="D79" s="697">
        <f t="shared" si="10"/>
        <v>0</v>
      </c>
      <c r="E79" s="703"/>
      <c r="F79" s="708"/>
      <c r="G79" s="181"/>
      <c r="H79" s="137"/>
      <c r="I79" s="174"/>
      <c r="J79" s="175"/>
      <c r="K79" s="137"/>
      <c r="L79" s="137"/>
      <c r="M79" s="137"/>
      <c r="N79" s="247"/>
      <c r="O79" s="137"/>
      <c r="P79" s="137"/>
      <c r="Q79" s="137"/>
      <c r="R79" s="271"/>
      <c r="S79" s="247"/>
      <c r="T79" s="137"/>
      <c r="U79" s="137"/>
      <c r="V79" s="271"/>
      <c r="W79" s="247"/>
      <c r="X79" s="137"/>
      <c r="Y79" s="137"/>
      <c r="Z79" s="271"/>
      <c r="AA79" s="247"/>
      <c r="AB79" s="137"/>
      <c r="AC79" s="137"/>
      <c r="AD79" s="137"/>
      <c r="AE79" s="271"/>
      <c r="AF79" s="247"/>
      <c r="AG79" s="137"/>
      <c r="AH79" s="137"/>
      <c r="AI79" s="271"/>
      <c r="AJ79" s="247"/>
      <c r="AK79" s="137"/>
      <c r="AL79" s="137"/>
      <c r="AM79" s="271">
        <v>500</v>
      </c>
      <c r="AN79" s="247"/>
      <c r="AO79" s="137"/>
      <c r="AP79" s="137"/>
      <c r="AQ79" s="137"/>
      <c r="AR79" s="271"/>
      <c r="AS79" s="247"/>
      <c r="AT79" s="137"/>
      <c r="AU79" s="137"/>
      <c r="AV79" s="271"/>
      <c r="AW79" s="247"/>
      <c r="AX79" s="137"/>
      <c r="AY79" s="137"/>
      <c r="AZ79" s="271"/>
      <c r="BA79" s="247"/>
      <c r="BB79" s="137"/>
      <c r="BC79" s="137"/>
      <c r="BD79" s="137"/>
      <c r="BE79" s="271"/>
    </row>
    <row r="80" spans="1:57" ht="21" customHeight="1" x14ac:dyDescent="0.2">
      <c r="A80" s="632" t="s">
        <v>413</v>
      </c>
      <c r="B80" s="700">
        <v>500</v>
      </c>
      <c r="C80" s="1031"/>
      <c r="D80" s="697">
        <f t="shared" si="10"/>
        <v>0</v>
      </c>
      <c r="E80" s="703"/>
      <c r="F80" s="708"/>
      <c r="G80" s="181"/>
      <c r="H80" s="137"/>
      <c r="I80" s="174"/>
      <c r="J80" s="175"/>
      <c r="K80" s="137"/>
      <c r="L80" s="137"/>
      <c r="M80" s="137"/>
      <c r="N80" s="247"/>
      <c r="O80" s="137"/>
      <c r="P80" s="137"/>
      <c r="Q80" s="137"/>
      <c r="R80" s="271"/>
      <c r="S80" s="247"/>
      <c r="T80" s="137"/>
      <c r="U80" s="137"/>
      <c r="V80" s="271"/>
      <c r="W80" s="247"/>
      <c r="X80" s="137"/>
      <c r="Y80" s="137"/>
      <c r="Z80" s="271"/>
      <c r="AA80" s="247"/>
      <c r="AB80" s="137"/>
      <c r="AC80" s="137"/>
      <c r="AD80" s="137"/>
      <c r="AE80" s="271"/>
      <c r="AF80" s="247"/>
      <c r="AG80" s="137"/>
      <c r="AH80" s="137"/>
      <c r="AI80" s="271"/>
      <c r="AJ80" s="247"/>
      <c r="AK80" s="137"/>
      <c r="AL80" s="137"/>
      <c r="AM80" s="271">
        <v>500</v>
      </c>
      <c r="AN80" s="247"/>
      <c r="AO80" s="137"/>
      <c r="AP80" s="137"/>
      <c r="AQ80" s="137"/>
      <c r="AR80" s="271"/>
      <c r="AS80" s="247"/>
      <c r="AT80" s="137"/>
      <c r="AU80" s="137"/>
      <c r="AV80" s="271"/>
      <c r="AW80" s="247"/>
      <c r="AX80" s="137"/>
      <c r="AY80" s="137"/>
      <c r="AZ80" s="271"/>
      <c r="BA80" s="247"/>
      <c r="BB80" s="137"/>
      <c r="BC80" s="137"/>
      <c r="BD80" s="137"/>
      <c r="BE80" s="271"/>
    </row>
    <row r="81" spans="1:57" ht="21" customHeight="1" thickBot="1" x14ac:dyDescent="0.25">
      <c r="A81" s="246" t="s">
        <v>414</v>
      </c>
      <c r="B81" s="702">
        <v>500</v>
      </c>
      <c r="C81" s="1032"/>
      <c r="D81" s="697">
        <f t="shared" si="10"/>
        <v>0</v>
      </c>
      <c r="E81" s="703"/>
      <c r="F81" s="708"/>
      <c r="G81" s="181"/>
      <c r="H81" s="137"/>
      <c r="I81" s="174"/>
      <c r="J81" s="175"/>
      <c r="K81" s="137"/>
      <c r="L81" s="137"/>
      <c r="M81" s="137"/>
      <c r="N81" s="247"/>
      <c r="O81" s="137"/>
      <c r="P81" s="137"/>
      <c r="Q81" s="137"/>
      <c r="R81" s="271"/>
      <c r="S81" s="247"/>
      <c r="T81" s="137"/>
      <c r="U81" s="137"/>
      <c r="V81" s="271"/>
      <c r="W81" s="247"/>
      <c r="X81" s="137"/>
      <c r="Y81" s="137"/>
      <c r="Z81" s="271"/>
      <c r="AA81" s="247"/>
      <c r="AB81" s="137"/>
      <c r="AC81" s="137"/>
      <c r="AD81" s="137"/>
      <c r="AE81" s="271"/>
      <c r="AF81" s="247"/>
      <c r="AG81" s="137"/>
      <c r="AH81" s="137"/>
      <c r="AI81" s="271"/>
      <c r="AJ81" s="247"/>
      <c r="AK81" s="137"/>
      <c r="AL81" s="137"/>
      <c r="AM81" s="271">
        <v>500</v>
      </c>
      <c r="AN81" s="247"/>
      <c r="AO81" s="137"/>
      <c r="AP81" s="137"/>
      <c r="AQ81" s="137"/>
      <c r="AR81" s="271"/>
      <c r="AS81" s="247"/>
      <c r="AT81" s="137"/>
      <c r="AU81" s="137"/>
      <c r="AV81" s="271"/>
      <c r="AW81" s="247"/>
      <c r="AX81" s="137"/>
      <c r="AY81" s="137"/>
      <c r="AZ81" s="271"/>
      <c r="BA81" s="247"/>
      <c r="BB81" s="137"/>
      <c r="BC81" s="137"/>
      <c r="BD81" s="137"/>
      <c r="BE81" s="271"/>
    </row>
    <row r="82" spans="1:57" ht="21" customHeight="1" x14ac:dyDescent="0.2">
      <c r="A82" s="11" t="s">
        <v>4</v>
      </c>
      <c r="B82" s="696">
        <v>10000</v>
      </c>
      <c r="C82" s="1030" t="s">
        <v>422</v>
      </c>
      <c r="D82" s="697">
        <f>+B82-SUM(F82:BE82)</f>
        <v>0</v>
      </c>
      <c r="E82" s="703"/>
      <c r="F82" s="708"/>
      <c r="G82" s="181"/>
      <c r="H82" s="137"/>
      <c r="I82" s="174"/>
      <c r="J82" s="175"/>
      <c r="K82" s="137"/>
      <c r="L82" s="137"/>
      <c r="M82" s="137"/>
      <c r="N82" s="247"/>
      <c r="O82" s="137"/>
      <c r="P82" s="137"/>
      <c r="Q82" s="137"/>
      <c r="R82" s="271"/>
      <c r="S82" s="247"/>
      <c r="T82" s="137"/>
      <c r="U82" s="137"/>
      <c r="V82" s="271"/>
      <c r="W82" s="247"/>
      <c r="X82" s="137"/>
      <c r="Y82" s="137"/>
      <c r="Z82" s="271"/>
      <c r="AA82" s="247"/>
      <c r="AB82" s="137"/>
      <c r="AC82" s="137"/>
      <c r="AD82" s="137"/>
      <c r="AE82" s="271"/>
      <c r="AF82" s="247"/>
      <c r="AG82" s="137"/>
      <c r="AH82" s="137"/>
      <c r="AI82" s="271"/>
      <c r="AJ82" s="247"/>
      <c r="AK82" s="137"/>
      <c r="AL82" s="137"/>
      <c r="AM82" s="271">
        <v>2625</v>
      </c>
      <c r="AN82" s="247">
        <v>4125</v>
      </c>
      <c r="AO82" s="137">
        <v>3250</v>
      </c>
      <c r="AP82" s="137"/>
      <c r="AQ82" s="137"/>
      <c r="AR82" s="271"/>
      <c r="AS82" s="247"/>
      <c r="AT82" s="137"/>
      <c r="AU82" s="137"/>
      <c r="AV82" s="271"/>
      <c r="AW82" s="247"/>
      <c r="AX82" s="137"/>
      <c r="AY82" s="137"/>
      <c r="AZ82" s="271"/>
      <c r="BA82" s="247"/>
      <c r="BB82" s="137"/>
      <c r="BC82" s="137"/>
      <c r="BD82" s="137"/>
      <c r="BE82" s="271"/>
    </row>
    <row r="83" spans="1:57" ht="21" customHeight="1" x14ac:dyDescent="0.2">
      <c r="A83" s="11" t="s">
        <v>202</v>
      </c>
      <c r="B83" s="696">
        <v>1500</v>
      </c>
      <c r="C83" s="1031"/>
      <c r="D83" s="697">
        <f t="shared" ref="D83:D90" si="11">+B83-SUM(F83:BE83)</f>
        <v>0</v>
      </c>
      <c r="E83" s="703"/>
      <c r="F83" s="708"/>
      <c r="G83" s="181"/>
      <c r="H83" s="137"/>
      <c r="I83" s="174"/>
      <c r="J83" s="175"/>
      <c r="K83" s="137"/>
      <c r="L83" s="137"/>
      <c r="M83" s="137"/>
      <c r="N83" s="247"/>
      <c r="O83" s="137"/>
      <c r="P83" s="137"/>
      <c r="Q83" s="137"/>
      <c r="R83" s="271"/>
      <c r="S83" s="247"/>
      <c r="T83" s="137"/>
      <c r="U83" s="137"/>
      <c r="V83" s="271"/>
      <c r="W83" s="247"/>
      <c r="X83" s="137"/>
      <c r="Y83" s="137"/>
      <c r="Z83" s="271"/>
      <c r="AA83" s="247"/>
      <c r="AB83" s="137"/>
      <c r="AC83" s="137"/>
      <c r="AD83" s="137"/>
      <c r="AE83" s="271"/>
      <c r="AF83" s="247"/>
      <c r="AG83" s="137"/>
      <c r="AH83" s="137"/>
      <c r="AI83" s="271"/>
      <c r="AJ83" s="247"/>
      <c r="AK83" s="137"/>
      <c r="AL83" s="137"/>
      <c r="AM83" s="271"/>
      <c r="AN83" s="247"/>
      <c r="AO83" s="137">
        <v>875</v>
      </c>
      <c r="AP83" s="137">
        <v>625</v>
      </c>
      <c r="AQ83" s="137"/>
      <c r="AR83" s="271"/>
      <c r="AS83" s="247"/>
      <c r="AT83" s="137"/>
      <c r="AU83" s="137"/>
      <c r="AV83" s="271"/>
      <c r="AW83" s="247"/>
      <c r="AX83" s="137"/>
      <c r="AY83" s="137"/>
      <c r="AZ83" s="271"/>
      <c r="BA83" s="247"/>
      <c r="BB83" s="137"/>
      <c r="BC83" s="137"/>
      <c r="BD83" s="137"/>
      <c r="BE83" s="271"/>
    </row>
    <row r="84" spans="1:57" ht="21" customHeight="1" x14ac:dyDescent="0.2">
      <c r="A84" s="11" t="s">
        <v>8</v>
      </c>
      <c r="B84" s="696">
        <v>1000</v>
      </c>
      <c r="C84" s="1031"/>
      <c r="D84" s="697">
        <f t="shared" si="11"/>
        <v>0</v>
      </c>
      <c r="E84" s="703"/>
      <c r="F84" s="708"/>
      <c r="G84" s="181"/>
      <c r="H84" s="137"/>
      <c r="I84" s="174"/>
      <c r="J84" s="175"/>
      <c r="K84" s="137"/>
      <c r="L84" s="137"/>
      <c r="M84" s="137"/>
      <c r="N84" s="247"/>
      <c r="O84" s="137"/>
      <c r="P84" s="137"/>
      <c r="Q84" s="137"/>
      <c r="R84" s="271"/>
      <c r="S84" s="247"/>
      <c r="T84" s="137"/>
      <c r="U84" s="137"/>
      <c r="V84" s="271"/>
      <c r="W84" s="247"/>
      <c r="X84" s="137"/>
      <c r="Y84" s="137"/>
      <c r="Z84" s="271"/>
      <c r="AA84" s="247"/>
      <c r="AB84" s="137"/>
      <c r="AC84" s="137"/>
      <c r="AD84" s="137"/>
      <c r="AE84" s="271"/>
      <c r="AF84" s="247"/>
      <c r="AG84" s="137"/>
      <c r="AH84" s="137"/>
      <c r="AI84" s="271"/>
      <c r="AJ84" s="247"/>
      <c r="AK84" s="137"/>
      <c r="AL84" s="137"/>
      <c r="AM84" s="271"/>
      <c r="AN84" s="247"/>
      <c r="AO84" s="137"/>
      <c r="AP84" s="137">
        <v>1000</v>
      </c>
      <c r="AQ84" s="137"/>
      <c r="AR84" s="271"/>
      <c r="AS84" s="247"/>
      <c r="AT84" s="137"/>
      <c r="AU84" s="137"/>
      <c r="AV84" s="271"/>
      <c r="AW84" s="247"/>
      <c r="AX84" s="137"/>
      <c r="AY84" s="137"/>
      <c r="AZ84" s="271"/>
      <c r="BA84" s="247"/>
      <c r="BB84" s="137"/>
      <c r="BC84" s="137"/>
      <c r="BD84" s="137"/>
      <c r="BE84" s="271"/>
    </row>
    <row r="85" spans="1:57" ht="21" customHeight="1" x14ac:dyDescent="0.2">
      <c r="A85" s="11" t="s">
        <v>201</v>
      </c>
      <c r="B85" s="696">
        <v>500</v>
      </c>
      <c r="C85" s="1031"/>
      <c r="D85" s="697">
        <f t="shared" si="11"/>
        <v>0</v>
      </c>
      <c r="E85" s="703"/>
      <c r="F85" s="708"/>
      <c r="G85" s="181"/>
      <c r="H85" s="137"/>
      <c r="I85" s="174"/>
      <c r="J85" s="175"/>
      <c r="K85" s="137"/>
      <c r="L85" s="137"/>
      <c r="M85" s="137"/>
      <c r="N85" s="247"/>
      <c r="O85" s="137"/>
      <c r="P85" s="137"/>
      <c r="Q85" s="137"/>
      <c r="R85" s="271"/>
      <c r="S85" s="247"/>
      <c r="T85" s="137"/>
      <c r="U85" s="137"/>
      <c r="V85" s="271"/>
      <c r="W85" s="247"/>
      <c r="X85" s="137"/>
      <c r="Y85" s="137"/>
      <c r="Z85" s="271"/>
      <c r="AA85" s="247"/>
      <c r="AB85" s="137"/>
      <c r="AC85" s="137"/>
      <c r="AD85" s="137"/>
      <c r="AE85" s="271"/>
      <c r="AF85" s="247"/>
      <c r="AG85" s="137"/>
      <c r="AH85" s="137"/>
      <c r="AI85" s="271"/>
      <c r="AJ85" s="247"/>
      <c r="AK85" s="137"/>
      <c r="AL85" s="137"/>
      <c r="AM85" s="271"/>
      <c r="AN85" s="247"/>
      <c r="AO85" s="137"/>
      <c r="AP85" s="137">
        <v>500</v>
      </c>
      <c r="AQ85" s="137"/>
      <c r="AR85" s="271"/>
      <c r="AS85" s="247"/>
      <c r="AT85" s="137"/>
      <c r="AU85" s="137"/>
      <c r="AV85" s="271"/>
      <c r="AW85" s="247"/>
      <c r="AX85" s="137"/>
      <c r="AY85" s="137"/>
      <c r="AZ85" s="271"/>
      <c r="BA85" s="247"/>
      <c r="BB85" s="137"/>
      <c r="BC85" s="137"/>
      <c r="BD85" s="137"/>
      <c r="BE85" s="271"/>
    </row>
    <row r="86" spans="1:57" ht="21" customHeight="1" x14ac:dyDescent="0.2">
      <c r="A86" s="11" t="s">
        <v>15</v>
      </c>
      <c r="B86" s="696">
        <v>1750</v>
      </c>
      <c r="C86" s="1031"/>
      <c r="D86" s="697">
        <f t="shared" si="11"/>
        <v>0</v>
      </c>
      <c r="E86" s="703"/>
      <c r="F86" s="708"/>
      <c r="G86" s="181"/>
      <c r="H86" s="137"/>
      <c r="I86" s="174"/>
      <c r="J86" s="175"/>
      <c r="K86" s="137"/>
      <c r="L86" s="137"/>
      <c r="M86" s="137"/>
      <c r="N86" s="247"/>
      <c r="O86" s="137"/>
      <c r="P86" s="137"/>
      <c r="Q86" s="137"/>
      <c r="R86" s="271"/>
      <c r="S86" s="247"/>
      <c r="T86" s="137"/>
      <c r="U86" s="137"/>
      <c r="V86" s="271"/>
      <c r="W86" s="247"/>
      <c r="X86" s="137"/>
      <c r="Y86" s="137"/>
      <c r="Z86" s="271"/>
      <c r="AA86" s="247"/>
      <c r="AB86" s="137"/>
      <c r="AC86" s="137"/>
      <c r="AD86" s="137"/>
      <c r="AE86" s="271"/>
      <c r="AF86" s="247"/>
      <c r="AG86" s="137"/>
      <c r="AH86" s="137"/>
      <c r="AI86" s="271"/>
      <c r="AJ86" s="247"/>
      <c r="AK86" s="137"/>
      <c r="AL86" s="137"/>
      <c r="AM86" s="271"/>
      <c r="AN86" s="247"/>
      <c r="AO86" s="137"/>
      <c r="AP86" s="137">
        <v>1750</v>
      </c>
      <c r="AQ86" s="137"/>
      <c r="AR86" s="271"/>
      <c r="AS86" s="247"/>
      <c r="AT86" s="137"/>
      <c r="AU86" s="137"/>
      <c r="AV86" s="271"/>
      <c r="AW86" s="247"/>
      <c r="AX86" s="137"/>
      <c r="AY86" s="137"/>
      <c r="AZ86" s="271"/>
      <c r="BA86" s="247"/>
      <c r="BB86" s="137"/>
      <c r="BC86" s="137"/>
      <c r="BD86" s="137"/>
      <c r="BE86" s="271"/>
    </row>
    <row r="87" spans="1:57" ht="21" customHeight="1" x14ac:dyDescent="0.2">
      <c r="A87" s="11" t="s">
        <v>29</v>
      </c>
      <c r="B87" s="699">
        <v>750</v>
      </c>
      <c r="C87" s="1031"/>
      <c r="D87" s="697">
        <f t="shared" si="11"/>
        <v>0</v>
      </c>
      <c r="E87" s="703"/>
      <c r="F87" s="708"/>
      <c r="G87" s="181"/>
      <c r="H87" s="137"/>
      <c r="I87" s="174"/>
      <c r="J87" s="175"/>
      <c r="K87" s="137"/>
      <c r="L87" s="137"/>
      <c r="M87" s="137"/>
      <c r="N87" s="247"/>
      <c r="O87" s="137"/>
      <c r="P87" s="137"/>
      <c r="Q87" s="137"/>
      <c r="R87" s="271"/>
      <c r="S87" s="247"/>
      <c r="T87" s="137"/>
      <c r="U87" s="137"/>
      <c r="V87" s="271"/>
      <c r="W87" s="247"/>
      <c r="X87" s="137"/>
      <c r="Y87" s="137"/>
      <c r="Z87" s="271"/>
      <c r="AA87" s="247"/>
      <c r="AB87" s="137"/>
      <c r="AC87" s="137"/>
      <c r="AD87" s="137"/>
      <c r="AE87" s="271"/>
      <c r="AF87" s="247"/>
      <c r="AG87" s="137"/>
      <c r="AH87" s="137"/>
      <c r="AI87" s="271"/>
      <c r="AJ87" s="247"/>
      <c r="AK87" s="137"/>
      <c r="AL87" s="137"/>
      <c r="AM87" s="271"/>
      <c r="AN87" s="247"/>
      <c r="AO87" s="137"/>
      <c r="AP87" s="137">
        <v>250</v>
      </c>
      <c r="AQ87" s="137">
        <v>500</v>
      </c>
      <c r="AR87" s="271"/>
      <c r="AS87" s="247"/>
      <c r="AT87" s="137"/>
      <c r="AU87" s="137"/>
      <c r="AV87" s="271"/>
      <c r="AW87" s="247"/>
      <c r="AX87" s="137"/>
      <c r="AY87" s="137"/>
      <c r="AZ87" s="271"/>
      <c r="BA87" s="247"/>
      <c r="BB87" s="137"/>
      <c r="BC87" s="137"/>
      <c r="BD87" s="137"/>
      <c r="BE87" s="271"/>
    </row>
    <row r="88" spans="1:57" ht="21" customHeight="1" x14ac:dyDescent="0.2">
      <c r="A88" s="632" t="s">
        <v>224</v>
      </c>
      <c r="B88" s="700">
        <v>500</v>
      </c>
      <c r="C88" s="1031"/>
      <c r="D88" s="697">
        <f t="shared" si="11"/>
        <v>0</v>
      </c>
      <c r="E88" s="703"/>
      <c r="F88" s="708"/>
      <c r="G88" s="181"/>
      <c r="H88" s="137"/>
      <c r="I88" s="174"/>
      <c r="J88" s="175"/>
      <c r="K88" s="137"/>
      <c r="L88" s="137"/>
      <c r="M88" s="137"/>
      <c r="N88" s="247"/>
      <c r="O88" s="137"/>
      <c r="P88" s="137"/>
      <c r="Q88" s="137"/>
      <c r="R88" s="271"/>
      <c r="S88" s="247"/>
      <c r="T88" s="137"/>
      <c r="U88" s="137"/>
      <c r="V88" s="271"/>
      <c r="W88" s="247"/>
      <c r="X88" s="137"/>
      <c r="Y88" s="137"/>
      <c r="Z88" s="271"/>
      <c r="AA88" s="247"/>
      <c r="AB88" s="137"/>
      <c r="AC88" s="137"/>
      <c r="AD88" s="137"/>
      <c r="AE88" s="271"/>
      <c r="AF88" s="247"/>
      <c r="AG88" s="137"/>
      <c r="AH88" s="137"/>
      <c r="AI88" s="271"/>
      <c r="AJ88" s="247"/>
      <c r="AK88" s="137"/>
      <c r="AL88" s="137"/>
      <c r="AM88" s="271"/>
      <c r="AN88" s="247"/>
      <c r="AO88" s="137"/>
      <c r="AP88" s="137"/>
      <c r="AQ88" s="137">
        <v>500</v>
      </c>
      <c r="AR88" s="271"/>
      <c r="AS88" s="247"/>
      <c r="AT88" s="137"/>
      <c r="AU88" s="137"/>
      <c r="AV88" s="271"/>
      <c r="AW88" s="247"/>
      <c r="AX88" s="137"/>
      <c r="AY88" s="137"/>
      <c r="AZ88" s="271"/>
      <c r="BA88" s="247"/>
      <c r="BB88" s="137"/>
      <c r="BC88" s="137"/>
      <c r="BD88" s="137"/>
      <c r="BE88" s="271"/>
    </row>
    <row r="89" spans="1:57" ht="21" customHeight="1" x14ac:dyDescent="0.2">
      <c r="A89" s="632" t="s">
        <v>413</v>
      </c>
      <c r="B89" s="700">
        <v>500</v>
      </c>
      <c r="C89" s="1031"/>
      <c r="D89" s="697">
        <f t="shared" si="11"/>
        <v>0</v>
      </c>
      <c r="E89" s="703"/>
      <c r="F89" s="708"/>
      <c r="G89" s="181"/>
      <c r="H89" s="137"/>
      <c r="I89" s="174"/>
      <c r="J89" s="175"/>
      <c r="K89" s="137"/>
      <c r="L89" s="137"/>
      <c r="M89" s="137"/>
      <c r="N89" s="247"/>
      <c r="O89" s="137"/>
      <c r="P89" s="137"/>
      <c r="Q89" s="137"/>
      <c r="R89" s="271"/>
      <c r="S89" s="247"/>
      <c r="T89" s="137"/>
      <c r="U89" s="137"/>
      <c r="V89" s="271"/>
      <c r="W89" s="247"/>
      <c r="X89" s="137"/>
      <c r="Y89" s="137"/>
      <c r="Z89" s="271"/>
      <c r="AA89" s="247"/>
      <c r="AB89" s="137"/>
      <c r="AC89" s="137"/>
      <c r="AD89" s="137"/>
      <c r="AE89" s="271"/>
      <c r="AF89" s="247"/>
      <c r="AG89" s="137"/>
      <c r="AH89" s="137"/>
      <c r="AI89" s="271"/>
      <c r="AJ89" s="247"/>
      <c r="AK89" s="137"/>
      <c r="AL89" s="137"/>
      <c r="AM89" s="271"/>
      <c r="AN89" s="247"/>
      <c r="AO89" s="137"/>
      <c r="AP89" s="137"/>
      <c r="AQ89" s="137">
        <v>500</v>
      </c>
      <c r="AR89" s="271"/>
      <c r="AS89" s="247"/>
      <c r="AT89" s="137"/>
      <c r="AU89" s="137"/>
      <c r="AV89" s="271"/>
      <c r="AW89" s="247"/>
      <c r="AX89" s="137"/>
      <c r="AY89" s="137"/>
      <c r="AZ89" s="271"/>
      <c r="BA89" s="247"/>
      <c r="BB89" s="137"/>
      <c r="BC89" s="137"/>
      <c r="BD89" s="137"/>
      <c r="BE89" s="271"/>
    </row>
    <row r="90" spans="1:57" ht="21" customHeight="1" thickBot="1" x14ac:dyDescent="0.25">
      <c r="A90" s="246" t="s">
        <v>414</v>
      </c>
      <c r="B90" s="702">
        <v>500</v>
      </c>
      <c r="C90" s="1032"/>
      <c r="D90" s="697">
        <f t="shared" si="11"/>
        <v>0</v>
      </c>
      <c r="E90" s="703"/>
      <c r="F90" s="708"/>
      <c r="G90" s="181"/>
      <c r="H90" s="137"/>
      <c r="I90" s="174"/>
      <c r="J90" s="175"/>
      <c r="K90" s="137"/>
      <c r="L90" s="137"/>
      <c r="M90" s="137"/>
      <c r="N90" s="247"/>
      <c r="O90" s="137"/>
      <c r="P90" s="137"/>
      <c r="Q90" s="137"/>
      <c r="R90" s="271"/>
      <c r="S90" s="247"/>
      <c r="T90" s="137"/>
      <c r="U90" s="137"/>
      <c r="V90" s="271"/>
      <c r="W90" s="247"/>
      <c r="X90" s="137"/>
      <c r="Y90" s="137"/>
      <c r="Z90" s="271"/>
      <c r="AA90" s="247"/>
      <c r="AB90" s="137"/>
      <c r="AC90" s="137"/>
      <c r="AD90" s="137"/>
      <c r="AE90" s="271"/>
      <c r="AF90" s="247"/>
      <c r="AG90" s="137"/>
      <c r="AH90" s="137"/>
      <c r="AI90" s="271"/>
      <c r="AJ90" s="247"/>
      <c r="AK90" s="137"/>
      <c r="AL90" s="137"/>
      <c r="AM90" s="271"/>
      <c r="AN90" s="247"/>
      <c r="AO90" s="137"/>
      <c r="AP90" s="137"/>
      <c r="AQ90" s="137">
        <v>500</v>
      </c>
      <c r="AR90" s="271"/>
      <c r="AS90" s="247"/>
      <c r="AT90" s="137"/>
      <c r="AU90" s="137"/>
      <c r="AV90" s="271"/>
      <c r="AW90" s="247"/>
      <c r="AX90" s="137"/>
      <c r="AY90" s="137"/>
      <c r="AZ90" s="271"/>
      <c r="BA90" s="247"/>
      <c r="BB90" s="137"/>
      <c r="BC90" s="137"/>
      <c r="BD90" s="137"/>
      <c r="BE90" s="271"/>
    </row>
    <row r="91" spans="1:57" ht="21" customHeight="1" x14ac:dyDescent="0.2">
      <c r="A91" s="11" t="s">
        <v>4</v>
      </c>
      <c r="B91" s="696">
        <v>10000</v>
      </c>
      <c r="C91" s="1030" t="s">
        <v>423</v>
      </c>
      <c r="D91" s="697">
        <f>+B91-SUM(F91:BE91)</f>
        <v>0</v>
      </c>
      <c r="E91" s="703"/>
      <c r="F91" s="708"/>
      <c r="G91" s="181"/>
      <c r="H91" s="137"/>
      <c r="I91" s="174"/>
      <c r="J91" s="175"/>
      <c r="K91" s="137"/>
      <c r="L91" s="137"/>
      <c r="M91" s="137"/>
      <c r="N91" s="247"/>
      <c r="O91" s="137"/>
      <c r="P91" s="137"/>
      <c r="Q91" s="137"/>
      <c r="R91" s="271"/>
      <c r="S91" s="247"/>
      <c r="T91" s="137"/>
      <c r="U91" s="137"/>
      <c r="V91" s="271"/>
      <c r="W91" s="247"/>
      <c r="X91" s="137"/>
      <c r="Y91" s="137"/>
      <c r="Z91" s="271"/>
      <c r="AA91" s="247"/>
      <c r="AB91" s="137"/>
      <c r="AC91" s="137"/>
      <c r="AD91" s="137"/>
      <c r="AE91" s="271"/>
      <c r="AF91" s="247"/>
      <c r="AG91" s="137"/>
      <c r="AH91" s="137"/>
      <c r="AI91" s="271"/>
      <c r="AJ91" s="247"/>
      <c r="AK91" s="137"/>
      <c r="AL91" s="137"/>
      <c r="AM91" s="271"/>
      <c r="AN91" s="247"/>
      <c r="AO91" s="137"/>
      <c r="AP91" s="137"/>
      <c r="AQ91" s="137">
        <v>2125</v>
      </c>
      <c r="AR91" s="271">
        <v>4125</v>
      </c>
      <c r="AS91" s="247">
        <v>3750</v>
      </c>
      <c r="AT91" s="137"/>
      <c r="AU91" s="137"/>
      <c r="AV91" s="271"/>
      <c r="AW91" s="247"/>
      <c r="AX91" s="137"/>
      <c r="AY91" s="137"/>
      <c r="AZ91" s="271"/>
      <c r="BA91" s="247"/>
      <c r="BB91" s="137"/>
      <c r="BC91" s="137"/>
      <c r="BD91" s="137"/>
      <c r="BE91" s="271"/>
    </row>
    <row r="92" spans="1:57" ht="21" customHeight="1" x14ac:dyDescent="0.2">
      <c r="A92" s="11" t="s">
        <v>202</v>
      </c>
      <c r="B92" s="696">
        <v>1500</v>
      </c>
      <c r="C92" s="1031"/>
      <c r="D92" s="697">
        <f t="shared" ref="D92:D99" si="12">+B92-SUM(F92:BE92)</f>
        <v>0</v>
      </c>
      <c r="E92" s="703"/>
      <c r="F92" s="708"/>
      <c r="G92" s="181"/>
      <c r="H92" s="137"/>
      <c r="I92" s="174"/>
      <c r="J92" s="175"/>
      <c r="K92" s="137"/>
      <c r="L92" s="137"/>
      <c r="M92" s="137"/>
      <c r="N92" s="247"/>
      <c r="O92" s="137"/>
      <c r="P92" s="137"/>
      <c r="Q92" s="137"/>
      <c r="R92" s="271"/>
      <c r="S92" s="247"/>
      <c r="T92" s="137"/>
      <c r="U92" s="137"/>
      <c r="V92" s="271"/>
      <c r="W92" s="247"/>
      <c r="X92" s="137"/>
      <c r="Y92" s="137"/>
      <c r="Z92" s="271"/>
      <c r="AA92" s="247"/>
      <c r="AB92" s="137"/>
      <c r="AC92" s="137"/>
      <c r="AD92" s="137"/>
      <c r="AE92" s="271"/>
      <c r="AF92" s="247"/>
      <c r="AG92" s="137"/>
      <c r="AH92" s="137"/>
      <c r="AI92" s="271"/>
      <c r="AJ92" s="247"/>
      <c r="AK92" s="137"/>
      <c r="AL92" s="137"/>
      <c r="AM92" s="271"/>
      <c r="AN92" s="247"/>
      <c r="AO92" s="137"/>
      <c r="AP92" s="137"/>
      <c r="AQ92" s="137"/>
      <c r="AR92" s="271"/>
      <c r="AS92" s="247">
        <v>375</v>
      </c>
      <c r="AT92" s="137">
        <v>1125</v>
      </c>
      <c r="AU92" s="137"/>
      <c r="AV92" s="271"/>
      <c r="AW92" s="247"/>
      <c r="AX92" s="137"/>
      <c r="AY92" s="137"/>
      <c r="AZ92" s="271"/>
      <c r="BA92" s="247"/>
      <c r="BB92" s="137"/>
      <c r="BC92" s="137"/>
      <c r="BD92" s="137"/>
      <c r="BE92" s="271"/>
    </row>
    <row r="93" spans="1:57" ht="21" customHeight="1" x14ac:dyDescent="0.2">
      <c r="A93" s="11" t="s">
        <v>8</v>
      </c>
      <c r="B93" s="696">
        <v>1000</v>
      </c>
      <c r="C93" s="1031"/>
      <c r="D93" s="697">
        <f t="shared" si="12"/>
        <v>0</v>
      </c>
      <c r="E93" s="703"/>
      <c r="F93" s="708"/>
      <c r="G93" s="181"/>
      <c r="H93" s="137"/>
      <c r="I93" s="174"/>
      <c r="J93" s="175"/>
      <c r="K93" s="137"/>
      <c r="L93" s="137"/>
      <c r="M93" s="137"/>
      <c r="N93" s="247"/>
      <c r="O93" s="137"/>
      <c r="P93" s="137"/>
      <c r="Q93" s="137"/>
      <c r="R93" s="271"/>
      <c r="S93" s="247"/>
      <c r="T93" s="137"/>
      <c r="U93" s="137"/>
      <c r="V93" s="271"/>
      <c r="W93" s="247"/>
      <c r="X93" s="137"/>
      <c r="Y93" s="137"/>
      <c r="Z93" s="271"/>
      <c r="AA93" s="247"/>
      <c r="AB93" s="137"/>
      <c r="AC93" s="137"/>
      <c r="AD93" s="137"/>
      <c r="AE93" s="271"/>
      <c r="AF93" s="247"/>
      <c r="AG93" s="137"/>
      <c r="AH93" s="137"/>
      <c r="AI93" s="271"/>
      <c r="AJ93" s="247"/>
      <c r="AK93" s="137"/>
      <c r="AL93" s="137"/>
      <c r="AM93" s="271"/>
      <c r="AN93" s="247"/>
      <c r="AO93" s="137"/>
      <c r="AP93" s="137"/>
      <c r="AQ93" s="137"/>
      <c r="AR93" s="271"/>
      <c r="AS93" s="247"/>
      <c r="AT93" s="137">
        <v>1000</v>
      </c>
      <c r="AU93" s="137"/>
      <c r="AV93" s="271"/>
      <c r="AW93" s="247"/>
      <c r="AX93" s="137"/>
      <c r="AY93" s="137"/>
      <c r="AZ93" s="271"/>
      <c r="BA93" s="247"/>
      <c r="BB93" s="137"/>
      <c r="BC93" s="137"/>
      <c r="BD93" s="137"/>
      <c r="BE93" s="271"/>
    </row>
    <row r="94" spans="1:57" ht="21" customHeight="1" x14ac:dyDescent="0.2">
      <c r="A94" s="11" t="s">
        <v>201</v>
      </c>
      <c r="B94" s="696">
        <v>500</v>
      </c>
      <c r="C94" s="1031"/>
      <c r="D94" s="697">
        <f t="shared" si="12"/>
        <v>0</v>
      </c>
      <c r="E94" s="703"/>
      <c r="F94" s="708"/>
      <c r="G94" s="181"/>
      <c r="H94" s="137"/>
      <c r="I94" s="174"/>
      <c r="J94" s="175"/>
      <c r="K94" s="137"/>
      <c r="L94" s="137"/>
      <c r="M94" s="137"/>
      <c r="N94" s="247"/>
      <c r="O94" s="137"/>
      <c r="P94" s="137"/>
      <c r="Q94" s="137"/>
      <c r="R94" s="271"/>
      <c r="S94" s="247"/>
      <c r="T94" s="137"/>
      <c r="U94" s="137"/>
      <c r="V94" s="271"/>
      <c r="W94" s="247"/>
      <c r="X94" s="137"/>
      <c r="Y94" s="137"/>
      <c r="Z94" s="271"/>
      <c r="AA94" s="247"/>
      <c r="AB94" s="137"/>
      <c r="AC94" s="137"/>
      <c r="AD94" s="137"/>
      <c r="AE94" s="271"/>
      <c r="AF94" s="247"/>
      <c r="AG94" s="137"/>
      <c r="AH94" s="137"/>
      <c r="AI94" s="271"/>
      <c r="AJ94" s="247"/>
      <c r="AK94" s="137"/>
      <c r="AL94" s="137"/>
      <c r="AM94" s="271"/>
      <c r="AN94" s="247"/>
      <c r="AO94" s="137"/>
      <c r="AP94" s="137"/>
      <c r="AQ94" s="137"/>
      <c r="AR94" s="271"/>
      <c r="AS94" s="247"/>
      <c r="AT94" s="137">
        <v>500</v>
      </c>
      <c r="AU94" s="137"/>
      <c r="AV94" s="271"/>
      <c r="AW94" s="247"/>
      <c r="AX94" s="137"/>
      <c r="AY94" s="137"/>
      <c r="AZ94" s="271"/>
      <c r="BA94" s="247"/>
      <c r="BB94" s="137"/>
      <c r="BC94" s="137"/>
      <c r="BD94" s="137"/>
      <c r="BE94" s="271"/>
    </row>
    <row r="95" spans="1:57" ht="21" customHeight="1" x14ac:dyDescent="0.2">
      <c r="A95" s="11" t="s">
        <v>15</v>
      </c>
      <c r="B95" s="696">
        <v>1750</v>
      </c>
      <c r="C95" s="1031"/>
      <c r="D95" s="697">
        <f t="shared" si="12"/>
        <v>0</v>
      </c>
      <c r="E95" s="703"/>
      <c r="F95" s="708"/>
      <c r="G95" s="181"/>
      <c r="H95" s="137"/>
      <c r="I95" s="174"/>
      <c r="J95" s="175"/>
      <c r="K95" s="137"/>
      <c r="L95" s="137"/>
      <c r="M95" s="137"/>
      <c r="N95" s="247"/>
      <c r="O95" s="137"/>
      <c r="P95" s="137"/>
      <c r="Q95" s="137"/>
      <c r="R95" s="271"/>
      <c r="S95" s="247"/>
      <c r="T95" s="137"/>
      <c r="U95" s="137"/>
      <c r="V95" s="271"/>
      <c r="W95" s="247"/>
      <c r="X95" s="137"/>
      <c r="Y95" s="137"/>
      <c r="Z95" s="271"/>
      <c r="AA95" s="247"/>
      <c r="AB95" s="137"/>
      <c r="AC95" s="137"/>
      <c r="AD95" s="137"/>
      <c r="AE95" s="271"/>
      <c r="AF95" s="247"/>
      <c r="AG95" s="137"/>
      <c r="AH95" s="137"/>
      <c r="AI95" s="271"/>
      <c r="AJ95" s="247"/>
      <c r="AK95" s="137"/>
      <c r="AL95" s="137"/>
      <c r="AM95" s="271"/>
      <c r="AN95" s="247"/>
      <c r="AO95" s="137"/>
      <c r="AP95" s="137"/>
      <c r="AQ95" s="137"/>
      <c r="AR95" s="271"/>
      <c r="AS95" s="247"/>
      <c r="AT95" s="137">
        <v>1500</v>
      </c>
      <c r="AU95" s="137">
        <v>250</v>
      </c>
      <c r="AV95" s="271"/>
      <c r="AW95" s="247"/>
      <c r="AX95" s="137"/>
      <c r="AY95" s="137"/>
      <c r="AZ95" s="271"/>
      <c r="BA95" s="247"/>
      <c r="BB95" s="137"/>
      <c r="BC95" s="137"/>
      <c r="BD95" s="137"/>
      <c r="BE95" s="271"/>
    </row>
    <row r="96" spans="1:57" ht="21" customHeight="1" x14ac:dyDescent="0.2">
      <c r="A96" s="11" t="s">
        <v>29</v>
      </c>
      <c r="B96" s="699">
        <v>750</v>
      </c>
      <c r="C96" s="1031"/>
      <c r="D96" s="697">
        <f t="shared" si="12"/>
        <v>0</v>
      </c>
      <c r="E96" s="703"/>
      <c r="F96" s="708"/>
      <c r="G96" s="181"/>
      <c r="H96" s="137"/>
      <c r="I96" s="174"/>
      <c r="J96" s="175"/>
      <c r="K96" s="137"/>
      <c r="L96" s="137"/>
      <c r="M96" s="137"/>
      <c r="N96" s="247"/>
      <c r="O96" s="137"/>
      <c r="P96" s="137"/>
      <c r="Q96" s="137"/>
      <c r="R96" s="271"/>
      <c r="S96" s="247"/>
      <c r="T96" s="137"/>
      <c r="U96" s="137"/>
      <c r="V96" s="271"/>
      <c r="W96" s="247"/>
      <c r="X96" s="137"/>
      <c r="Y96" s="137"/>
      <c r="Z96" s="271"/>
      <c r="AA96" s="247"/>
      <c r="AB96" s="137"/>
      <c r="AC96" s="137"/>
      <c r="AD96" s="137"/>
      <c r="AE96" s="271"/>
      <c r="AF96" s="247"/>
      <c r="AG96" s="137"/>
      <c r="AH96" s="137"/>
      <c r="AI96" s="271"/>
      <c r="AJ96" s="247"/>
      <c r="AK96" s="137"/>
      <c r="AL96" s="137"/>
      <c r="AM96" s="271"/>
      <c r="AN96" s="247"/>
      <c r="AO96" s="137"/>
      <c r="AP96" s="137"/>
      <c r="AQ96" s="137"/>
      <c r="AR96" s="271"/>
      <c r="AS96" s="247"/>
      <c r="AT96" s="137"/>
      <c r="AU96" s="137">
        <v>750</v>
      </c>
      <c r="AV96" s="271"/>
      <c r="AW96" s="247"/>
      <c r="AX96" s="137"/>
      <c r="AY96" s="137"/>
      <c r="AZ96" s="271"/>
      <c r="BA96" s="247"/>
      <c r="BB96" s="137"/>
      <c r="BC96" s="137"/>
      <c r="BD96" s="137"/>
      <c r="BE96" s="271"/>
    </row>
    <row r="97" spans="1:57" ht="21" customHeight="1" x14ac:dyDescent="0.2">
      <c r="A97" s="632" t="s">
        <v>224</v>
      </c>
      <c r="B97" s="700">
        <v>500</v>
      </c>
      <c r="C97" s="1031"/>
      <c r="D97" s="697">
        <f t="shared" si="12"/>
        <v>0</v>
      </c>
      <c r="E97" s="703"/>
      <c r="F97" s="708"/>
      <c r="G97" s="181"/>
      <c r="H97" s="137"/>
      <c r="I97" s="174"/>
      <c r="J97" s="175"/>
      <c r="K97" s="137"/>
      <c r="L97" s="137"/>
      <c r="M97" s="137"/>
      <c r="N97" s="247"/>
      <c r="O97" s="137"/>
      <c r="P97" s="137"/>
      <c r="Q97" s="137"/>
      <c r="R97" s="271"/>
      <c r="S97" s="247"/>
      <c r="T97" s="137"/>
      <c r="U97" s="137"/>
      <c r="V97" s="271"/>
      <c r="W97" s="247"/>
      <c r="X97" s="137"/>
      <c r="Y97" s="137"/>
      <c r="Z97" s="271"/>
      <c r="AA97" s="247"/>
      <c r="AB97" s="137"/>
      <c r="AC97" s="137"/>
      <c r="AD97" s="137"/>
      <c r="AE97" s="271"/>
      <c r="AF97" s="247"/>
      <c r="AG97" s="137"/>
      <c r="AH97" s="137"/>
      <c r="AI97" s="271"/>
      <c r="AJ97" s="247"/>
      <c r="AK97" s="137"/>
      <c r="AL97" s="137"/>
      <c r="AM97" s="271"/>
      <c r="AN97" s="247"/>
      <c r="AO97" s="137"/>
      <c r="AP97" s="137"/>
      <c r="AQ97" s="137"/>
      <c r="AR97" s="271"/>
      <c r="AS97" s="247"/>
      <c r="AT97" s="137"/>
      <c r="AU97" s="137">
        <v>500</v>
      </c>
      <c r="AV97" s="271"/>
      <c r="AW97" s="247"/>
      <c r="AX97" s="137"/>
      <c r="AY97" s="137"/>
      <c r="AZ97" s="271"/>
      <c r="BA97" s="247"/>
      <c r="BB97" s="137"/>
      <c r="BC97" s="137"/>
      <c r="BD97" s="137"/>
      <c r="BE97" s="271"/>
    </row>
    <row r="98" spans="1:57" ht="21" customHeight="1" x14ac:dyDescent="0.2">
      <c r="A98" s="632" t="s">
        <v>413</v>
      </c>
      <c r="B98" s="700">
        <v>500</v>
      </c>
      <c r="C98" s="1031"/>
      <c r="D98" s="697">
        <f t="shared" si="12"/>
        <v>0</v>
      </c>
      <c r="E98" s="703"/>
      <c r="F98" s="708"/>
      <c r="G98" s="181"/>
      <c r="H98" s="137"/>
      <c r="I98" s="174"/>
      <c r="J98" s="175"/>
      <c r="K98" s="137"/>
      <c r="L98" s="137"/>
      <c r="M98" s="137"/>
      <c r="N98" s="247"/>
      <c r="O98" s="137"/>
      <c r="P98" s="137"/>
      <c r="Q98" s="137"/>
      <c r="R98" s="271"/>
      <c r="S98" s="247"/>
      <c r="T98" s="137"/>
      <c r="U98" s="137"/>
      <c r="V98" s="271"/>
      <c r="W98" s="247"/>
      <c r="X98" s="137"/>
      <c r="Y98" s="137"/>
      <c r="Z98" s="271"/>
      <c r="AA98" s="247"/>
      <c r="AB98" s="137"/>
      <c r="AC98" s="137"/>
      <c r="AD98" s="137"/>
      <c r="AE98" s="271"/>
      <c r="AF98" s="247"/>
      <c r="AG98" s="137"/>
      <c r="AH98" s="137"/>
      <c r="AI98" s="271"/>
      <c r="AJ98" s="247"/>
      <c r="AK98" s="137"/>
      <c r="AL98" s="137"/>
      <c r="AM98" s="271"/>
      <c r="AN98" s="247"/>
      <c r="AO98" s="137"/>
      <c r="AP98" s="137"/>
      <c r="AQ98" s="137"/>
      <c r="AR98" s="271"/>
      <c r="AS98" s="247"/>
      <c r="AT98" s="137"/>
      <c r="AU98" s="137">
        <v>500</v>
      </c>
      <c r="AV98" s="271"/>
      <c r="AW98" s="247"/>
      <c r="AX98" s="137"/>
      <c r="AY98" s="137"/>
      <c r="AZ98" s="271"/>
      <c r="BA98" s="247"/>
      <c r="BB98" s="137"/>
      <c r="BC98" s="137"/>
      <c r="BD98" s="137"/>
      <c r="BE98" s="271"/>
    </row>
    <row r="99" spans="1:57" ht="21" customHeight="1" thickBot="1" x14ac:dyDescent="0.25">
      <c r="A99" s="246" t="s">
        <v>414</v>
      </c>
      <c r="B99" s="702">
        <v>500</v>
      </c>
      <c r="C99" s="1032"/>
      <c r="D99" s="697">
        <f t="shared" si="12"/>
        <v>0</v>
      </c>
      <c r="E99" s="703"/>
      <c r="F99" s="708"/>
      <c r="G99" s="181"/>
      <c r="H99" s="137"/>
      <c r="I99" s="174"/>
      <c r="J99" s="175"/>
      <c r="K99" s="137"/>
      <c r="L99" s="137"/>
      <c r="M99" s="137"/>
      <c r="N99" s="247"/>
      <c r="O99" s="137"/>
      <c r="P99" s="137"/>
      <c r="Q99" s="137"/>
      <c r="R99" s="271"/>
      <c r="S99" s="247"/>
      <c r="T99" s="137"/>
      <c r="U99" s="137"/>
      <c r="V99" s="271"/>
      <c r="W99" s="247"/>
      <c r="X99" s="137"/>
      <c r="Y99" s="137"/>
      <c r="Z99" s="271"/>
      <c r="AA99" s="247"/>
      <c r="AB99" s="137"/>
      <c r="AC99" s="137"/>
      <c r="AD99" s="137"/>
      <c r="AE99" s="271"/>
      <c r="AF99" s="247"/>
      <c r="AG99" s="137"/>
      <c r="AH99" s="137"/>
      <c r="AI99" s="271"/>
      <c r="AJ99" s="247"/>
      <c r="AK99" s="137"/>
      <c r="AL99" s="137"/>
      <c r="AM99" s="271"/>
      <c r="AN99" s="247"/>
      <c r="AO99" s="137"/>
      <c r="AP99" s="137"/>
      <c r="AQ99" s="137"/>
      <c r="AR99" s="271"/>
      <c r="AS99" s="247"/>
      <c r="AT99" s="137"/>
      <c r="AU99" s="137">
        <v>500</v>
      </c>
      <c r="AV99" s="271"/>
      <c r="AW99" s="247"/>
      <c r="AX99" s="137"/>
      <c r="AY99" s="137"/>
      <c r="AZ99" s="271"/>
      <c r="BA99" s="247"/>
      <c r="BB99" s="137"/>
      <c r="BC99" s="137"/>
      <c r="BD99" s="137"/>
      <c r="BE99" s="271"/>
    </row>
    <row r="100" spans="1:57" ht="21" customHeight="1" x14ac:dyDescent="0.2">
      <c r="A100" s="11" t="s">
        <v>4</v>
      </c>
      <c r="B100" s="696">
        <v>10000</v>
      </c>
      <c r="C100" s="1030" t="s">
        <v>424</v>
      </c>
      <c r="D100" s="697">
        <f>+B100-SUM(F100:BE100)</f>
        <v>0</v>
      </c>
      <c r="E100" s="703"/>
      <c r="F100" s="708"/>
      <c r="G100" s="181"/>
      <c r="H100" s="137"/>
      <c r="I100" s="174"/>
      <c r="J100" s="175"/>
      <c r="K100" s="137"/>
      <c r="L100" s="137"/>
      <c r="M100" s="137"/>
      <c r="N100" s="247"/>
      <c r="O100" s="137"/>
      <c r="P100" s="137"/>
      <c r="Q100" s="137"/>
      <c r="R100" s="271"/>
      <c r="S100" s="247"/>
      <c r="T100" s="137"/>
      <c r="U100" s="137"/>
      <c r="V100" s="271"/>
      <c r="W100" s="247"/>
      <c r="X100" s="137"/>
      <c r="Y100" s="137"/>
      <c r="Z100" s="271"/>
      <c r="AA100" s="247"/>
      <c r="AB100" s="137"/>
      <c r="AC100" s="137"/>
      <c r="AD100" s="137"/>
      <c r="AE100" s="271"/>
      <c r="AF100" s="247"/>
      <c r="AG100" s="137"/>
      <c r="AH100" s="137"/>
      <c r="AI100" s="271"/>
      <c r="AJ100" s="247"/>
      <c r="AK100" s="137"/>
      <c r="AL100" s="137"/>
      <c r="AM100" s="271"/>
      <c r="AN100" s="247"/>
      <c r="AO100" s="137"/>
      <c r="AP100" s="137"/>
      <c r="AQ100" s="137"/>
      <c r="AR100" s="271"/>
      <c r="AS100" s="247"/>
      <c r="AT100" s="137"/>
      <c r="AU100" s="137">
        <v>1625</v>
      </c>
      <c r="AV100" s="271">
        <v>4125</v>
      </c>
      <c r="AW100" s="247">
        <v>4125</v>
      </c>
      <c r="AX100" s="137">
        <v>125</v>
      </c>
      <c r="AY100" s="137"/>
      <c r="AZ100" s="271"/>
      <c r="BA100" s="247"/>
      <c r="BB100" s="137"/>
      <c r="BC100" s="137"/>
      <c r="BD100" s="137"/>
      <c r="BE100" s="271"/>
    </row>
    <row r="101" spans="1:57" ht="21" customHeight="1" x14ac:dyDescent="0.2">
      <c r="A101" s="11" t="s">
        <v>202</v>
      </c>
      <c r="B101" s="696">
        <v>1500</v>
      </c>
      <c r="C101" s="1031"/>
      <c r="D101" s="697">
        <f t="shared" ref="D101:D108" si="13">+B101-SUM(F101:BE101)</f>
        <v>0</v>
      </c>
      <c r="E101" s="703"/>
      <c r="F101" s="708"/>
      <c r="G101" s="181"/>
      <c r="H101" s="137"/>
      <c r="I101" s="174"/>
      <c r="J101" s="175"/>
      <c r="K101" s="137"/>
      <c r="L101" s="137"/>
      <c r="M101" s="137"/>
      <c r="N101" s="247"/>
      <c r="O101" s="137"/>
      <c r="P101" s="137"/>
      <c r="Q101" s="137"/>
      <c r="R101" s="271"/>
      <c r="S101" s="247"/>
      <c r="T101" s="137"/>
      <c r="U101" s="137"/>
      <c r="V101" s="271"/>
      <c r="W101" s="247"/>
      <c r="X101" s="137"/>
      <c r="Y101" s="137"/>
      <c r="Z101" s="271"/>
      <c r="AA101" s="247"/>
      <c r="AB101" s="137"/>
      <c r="AC101" s="137"/>
      <c r="AD101" s="137"/>
      <c r="AE101" s="271"/>
      <c r="AF101" s="247"/>
      <c r="AG101" s="137"/>
      <c r="AH101" s="137"/>
      <c r="AI101" s="271"/>
      <c r="AJ101" s="247"/>
      <c r="AK101" s="137"/>
      <c r="AL101" s="137"/>
      <c r="AM101" s="271"/>
      <c r="AN101" s="247"/>
      <c r="AO101" s="137"/>
      <c r="AP101" s="137"/>
      <c r="AQ101" s="137"/>
      <c r="AR101" s="271"/>
      <c r="AS101" s="247"/>
      <c r="AT101" s="137"/>
      <c r="AU101" s="137"/>
      <c r="AV101" s="271"/>
      <c r="AW101" s="247"/>
      <c r="AX101" s="137">
        <v>1500</v>
      </c>
      <c r="AY101" s="137"/>
      <c r="AZ101" s="271"/>
      <c r="BA101" s="247"/>
      <c r="BB101" s="137"/>
      <c r="BC101" s="137"/>
      <c r="BD101" s="137"/>
      <c r="BE101" s="271"/>
    </row>
    <row r="102" spans="1:57" ht="21" customHeight="1" x14ac:dyDescent="0.2">
      <c r="A102" s="11" t="s">
        <v>8</v>
      </c>
      <c r="B102" s="696">
        <v>1000</v>
      </c>
      <c r="C102" s="1031"/>
      <c r="D102" s="697">
        <f t="shared" si="13"/>
        <v>0</v>
      </c>
      <c r="E102" s="703"/>
      <c r="F102" s="708"/>
      <c r="G102" s="181"/>
      <c r="H102" s="137"/>
      <c r="I102" s="174"/>
      <c r="J102" s="175"/>
      <c r="K102" s="137"/>
      <c r="L102" s="137"/>
      <c r="M102" s="137"/>
      <c r="N102" s="247"/>
      <c r="O102" s="137"/>
      <c r="P102" s="137"/>
      <c r="Q102" s="137"/>
      <c r="R102" s="271"/>
      <c r="S102" s="247"/>
      <c r="T102" s="137"/>
      <c r="U102" s="137"/>
      <c r="V102" s="271"/>
      <c r="W102" s="247"/>
      <c r="X102" s="137"/>
      <c r="Y102" s="137"/>
      <c r="Z102" s="271"/>
      <c r="AA102" s="247"/>
      <c r="AB102" s="137"/>
      <c r="AC102" s="137"/>
      <c r="AD102" s="137"/>
      <c r="AE102" s="271"/>
      <c r="AF102" s="247"/>
      <c r="AG102" s="137"/>
      <c r="AH102" s="137"/>
      <c r="AI102" s="271"/>
      <c r="AJ102" s="247"/>
      <c r="AK102" s="137"/>
      <c r="AL102" s="137"/>
      <c r="AM102" s="271"/>
      <c r="AN102" s="247"/>
      <c r="AO102" s="137"/>
      <c r="AP102" s="137"/>
      <c r="AQ102" s="137"/>
      <c r="AR102" s="271"/>
      <c r="AS102" s="247"/>
      <c r="AT102" s="137"/>
      <c r="AU102" s="137"/>
      <c r="AV102" s="271"/>
      <c r="AW102" s="247"/>
      <c r="AX102" s="137">
        <v>1000</v>
      </c>
      <c r="AY102" s="137"/>
      <c r="AZ102" s="271"/>
      <c r="BA102" s="247"/>
      <c r="BB102" s="137"/>
      <c r="BC102" s="137"/>
      <c r="BD102" s="137"/>
      <c r="BE102" s="271"/>
    </row>
    <row r="103" spans="1:57" ht="21" customHeight="1" x14ac:dyDescent="0.2">
      <c r="A103" s="11" t="s">
        <v>201</v>
      </c>
      <c r="B103" s="696">
        <v>500</v>
      </c>
      <c r="C103" s="1031"/>
      <c r="D103" s="697">
        <f t="shared" si="13"/>
        <v>0</v>
      </c>
      <c r="E103" s="703"/>
      <c r="F103" s="708"/>
      <c r="G103" s="181"/>
      <c r="H103" s="137"/>
      <c r="I103" s="174"/>
      <c r="J103" s="175"/>
      <c r="K103" s="137"/>
      <c r="L103" s="137"/>
      <c r="M103" s="137"/>
      <c r="N103" s="247"/>
      <c r="O103" s="137"/>
      <c r="P103" s="137"/>
      <c r="Q103" s="137"/>
      <c r="R103" s="271"/>
      <c r="S103" s="247"/>
      <c r="T103" s="137"/>
      <c r="U103" s="137"/>
      <c r="V103" s="271"/>
      <c r="W103" s="247"/>
      <c r="X103" s="137"/>
      <c r="Y103" s="137"/>
      <c r="Z103" s="271"/>
      <c r="AA103" s="247"/>
      <c r="AB103" s="137"/>
      <c r="AC103" s="137"/>
      <c r="AD103" s="137"/>
      <c r="AE103" s="271"/>
      <c r="AF103" s="247"/>
      <c r="AG103" s="137"/>
      <c r="AH103" s="137"/>
      <c r="AI103" s="271"/>
      <c r="AJ103" s="247"/>
      <c r="AK103" s="137"/>
      <c r="AL103" s="137"/>
      <c r="AM103" s="271"/>
      <c r="AN103" s="247"/>
      <c r="AO103" s="137"/>
      <c r="AP103" s="137"/>
      <c r="AQ103" s="137"/>
      <c r="AR103" s="271"/>
      <c r="AS103" s="247"/>
      <c r="AT103" s="137"/>
      <c r="AU103" s="137"/>
      <c r="AV103" s="271"/>
      <c r="AW103" s="247"/>
      <c r="AX103" s="137">
        <v>500</v>
      </c>
      <c r="AY103" s="137"/>
      <c r="AZ103" s="271"/>
      <c r="BA103" s="247"/>
      <c r="BB103" s="137"/>
      <c r="BC103" s="137"/>
      <c r="BD103" s="137"/>
      <c r="BE103" s="271"/>
    </row>
    <row r="104" spans="1:57" ht="21" customHeight="1" x14ac:dyDescent="0.2">
      <c r="A104" s="11" t="s">
        <v>15</v>
      </c>
      <c r="B104" s="696">
        <v>1750</v>
      </c>
      <c r="C104" s="1031"/>
      <c r="D104" s="697">
        <f t="shared" si="13"/>
        <v>0</v>
      </c>
      <c r="E104" s="703"/>
      <c r="F104" s="708"/>
      <c r="G104" s="181"/>
      <c r="H104" s="137"/>
      <c r="I104" s="174"/>
      <c r="J104" s="175"/>
      <c r="K104" s="137"/>
      <c r="L104" s="137"/>
      <c r="M104" s="137"/>
      <c r="N104" s="247"/>
      <c r="O104" s="137"/>
      <c r="P104" s="137"/>
      <c r="Q104" s="137"/>
      <c r="R104" s="271"/>
      <c r="S104" s="247"/>
      <c r="T104" s="137"/>
      <c r="U104" s="137"/>
      <c r="V104" s="271"/>
      <c r="W104" s="247"/>
      <c r="X104" s="137"/>
      <c r="Y104" s="137"/>
      <c r="Z104" s="271"/>
      <c r="AA104" s="247"/>
      <c r="AB104" s="137"/>
      <c r="AC104" s="137"/>
      <c r="AD104" s="137"/>
      <c r="AE104" s="271"/>
      <c r="AF104" s="247"/>
      <c r="AG104" s="137"/>
      <c r="AH104" s="137"/>
      <c r="AI104" s="271"/>
      <c r="AJ104" s="247"/>
      <c r="AK104" s="137"/>
      <c r="AL104" s="137"/>
      <c r="AM104" s="271"/>
      <c r="AN104" s="247"/>
      <c r="AO104" s="137"/>
      <c r="AP104" s="137"/>
      <c r="AQ104" s="137"/>
      <c r="AR104" s="271"/>
      <c r="AS104" s="247"/>
      <c r="AT104" s="137"/>
      <c r="AU104" s="137"/>
      <c r="AV104" s="271"/>
      <c r="AW104" s="247"/>
      <c r="AX104" s="137">
        <v>1000</v>
      </c>
      <c r="AY104" s="137">
        <v>750</v>
      </c>
      <c r="AZ104" s="271"/>
      <c r="BA104" s="247"/>
      <c r="BB104" s="137"/>
      <c r="BC104" s="137"/>
      <c r="BD104" s="137"/>
      <c r="BE104" s="271"/>
    </row>
    <row r="105" spans="1:57" ht="21" customHeight="1" x14ac:dyDescent="0.2">
      <c r="A105" s="11" t="s">
        <v>29</v>
      </c>
      <c r="B105" s="699">
        <v>750</v>
      </c>
      <c r="C105" s="1031"/>
      <c r="D105" s="697">
        <f t="shared" si="13"/>
        <v>0</v>
      </c>
      <c r="E105" s="703"/>
      <c r="F105" s="708"/>
      <c r="G105" s="181"/>
      <c r="H105" s="137"/>
      <c r="I105" s="174"/>
      <c r="J105" s="175"/>
      <c r="K105" s="137"/>
      <c r="L105" s="137"/>
      <c r="M105" s="137"/>
      <c r="N105" s="247"/>
      <c r="O105" s="137"/>
      <c r="P105" s="137"/>
      <c r="Q105" s="137"/>
      <c r="R105" s="271"/>
      <c r="S105" s="247"/>
      <c r="T105" s="137"/>
      <c r="U105" s="137"/>
      <c r="V105" s="271"/>
      <c r="W105" s="247"/>
      <c r="X105" s="137"/>
      <c r="Y105" s="137"/>
      <c r="Z105" s="271"/>
      <c r="AA105" s="247"/>
      <c r="AB105" s="137"/>
      <c r="AC105" s="137"/>
      <c r="AD105" s="137"/>
      <c r="AE105" s="271"/>
      <c r="AF105" s="247"/>
      <c r="AG105" s="137"/>
      <c r="AH105" s="137"/>
      <c r="AI105" s="271"/>
      <c r="AJ105" s="247"/>
      <c r="AK105" s="137"/>
      <c r="AL105" s="137"/>
      <c r="AM105" s="271"/>
      <c r="AN105" s="247"/>
      <c r="AO105" s="137"/>
      <c r="AP105" s="137"/>
      <c r="AQ105" s="137"/>
      <c r="AR105" s="271"/>
      <c r="AS105" s="247"/>
      <c r="AT105" s="137"/>
      <c r="AU105" s="137"/>
      <c r="AV105" s="271"/>
      <c r="AW105" s="247"/>
      <c r="AX105" s="137"/>
      <c r="AY105" s="137">
        <v>750</v>
      </c>
      <c r="AZ105" s="271"/>
      <c r="BA105" s="247"/>
      <c r="BB105" s="137"/>
      <c r="BC105" s="137"/>
      <c r="BD105" s="137"/>
      <c r="BE105" s="271"/>
    </row>
    <row r="106" spans="1:57" ht="21" customHeight="1" x14ac:dyDescent="0.2">
      <c r="A106" s="632" t="s">
        <v>224</v>
      </c>
      <c r="B106" s="700">
        <v>500</v>
      </c>
      <c r="C106" s="1031"/>
      <c r="D106" s="697">
        <f t="shared" si="13"/>
        <v>0</v>
      </c>
      <c r="E106" s="703"/>
      <c r="F106" s="708"/>
      <c r="G106" s="181"/>
      <c r="H106" s="137"/>
      <c r="I106" s="174"/>
      <c r="J106" s="175"/>
      <c r="K106" s="137"/>
      <c r="L106" s="137"/>
      <c r="M106" s="137"/>
      <c r="N106" s="247"/>
      <c r="O106" s="137"/>
      <c r="P106" s="137"/>
      <c r="Q106" s="137"/>
      <c r="R106" s="271"/>
      <c r="S106" s="247"/>
      <c r="T106" s="137"/>
      <c r="U106" s="137"/>
      <c r="V106" s="271"/>
      <c r="W106" s="247"/>
      <c r="X106" s="137"/>
      <c r="Y106" s="137"/>
      <c r="Z106" s="271"/>
      <c r="AA106" s="247"/>
      <c r="AB106" s="137"/>
      <c r="AC106" s="137"/>
      <c r="AD106" s="137"/>
      <c r="AE106" s="271"/>
      <c r="AF106" s="247"/>
      <c r="AG106" s="137"/>
      <c r="AH106" s="137"/>
      <c r="AI106" s="271"/>
      <c r="AJ106" s="247"/>
      <c r="AK106" s="137"/>
      <c r="AL106" s="137"/>
      <c r="AM106" s="271"/>
      <c r="AN106" s="247"/>
      <c r="AO106" s="137"/>
      <c r="AP106" s="137"/>
      <c r="AQ106" s="137"/>
      <c r="AR106" s="271"/>
      <c r="AS106" s="247"/>
      <c r="AT106" s="137"/>
      <c r="AU106" s="137"/>
      <c r="AV106" s="271"/>
      <c r="AW106" s="247"/>
      <c r="AX106" s="137"/>
      <c r="AY106" s="137">
        <v>500</v>
      </c>
      <c r="AZ106" s="271"/>
      <c r="BA106" s="247"/>
      <c r="BB106" s="137"/>
      <c r="BC106" s="137"/>
      <c r="BD106" s="137"/>
      <c r="BE106" s="271"/>
    </row>
    <row r="107" spans="1:57" ht="21" customHeight="1" x14ac:dyDescent="0.2">
      <c r="A107" s="632" t="s">
        <v>413</v>
      </c>
      <c r="B107" s="700">
        <v>500</v>
      </c>
      <c r="C107" s="1031"/>
      <c r="D107" s="697">
        <f t="shared" si="13"/>
        <v>0</v>
      </c>
      <c r="E107" s="703"/>
      <c r="F107" s="708"/>
      <c r="G107" s="181"/>
      <c r="H107" s="137"/>
      <c r="I107" s="174"/>
      <c r="J107" s="175"/>
      <c r="K107" s="137"/>
      <c r="L107" s="137"/>
      <c r="M107" s="137"/>
      <c r="N107" s="247"/>
      <c r="O107" s="137"/>
      <c r="P107" s="137"/>
      <c r="Q107" s="137"/>
      <c r="R107" s="271"/>
      <c r="S107" s="247"/>
      <c r="T107" s="137"/>
      <c r="U107" s="137"/>
      <c r="V107" s="271"/>
      <c r="W107" s="247"/>
      <c r="X107" s="137"/>
      <c r="Y107" s="137"/>
      <c r="Z107" s="271"/>
      <c r="AA107" s="247"/>
      <c r="AB107" s="137"/>
      <c r="AC107" s="137"/>
      <c r="AD107" s="137"/>
      <c r="AE107" s="271"/>
      <c r="AF107" s="247"/>
      <c r="AG107" s="137"/>
      <c r="AH107" s="137"/>
      <c r="AI107" s="271"/>
      <c r="AJ107" s="247"/>
      <c r="AK107" s="137"/>
      <c r="AL107" s="137"/>
      <c r="AM107" s="271"/>
      <c r="AN107" s="247"/>
      <c r="AO107" s="137"/>
      <c r="AP107" s="137"/>
      <c r="AQ107" s="137"/>
      <c r="AR107" s="271"/>
      <c r="AS107" s="247"/>
      <c r="AT107" s="137"/>
      <c r="AU107" s="137"/>
      <c r="AV107" s="271"/>
      <c r="AW107" s="247"/>
      <c r="AX107" s="137"/>
      <c r="AY107" s="137">
        <v>500</v>
      </c>
      <c r="AZ107" s="271"/>
      <c r="BA107" s="247"/>
      <c r="BB107" s="137"/>
      <c r="BC107" s="137"/>
      <c r="BD107" s="137"/>
      <c r="BE107" s="271"/>
    </row>
    <row r="108" spans="1:57" ht="21" customHeight="1" thickBot="1" x14ac:dyDescent="0.25">
      <c r="A108" s="246" t="s">
        <v>414</v>
      </c>
      <c r="B108" s="702">
        <v>500</v>
      </c>
      <c r="C108" s="1032"/>
      <c r="D108" s="697">
        <f t="shared" si="13"/>
        <v>0</v>
      </c>
      <c r="E108" s="703"/>
      <c r="F108" s="708"/>
      <c r="G108" s="181"/>
      <c r="H108" s="137"/>
      <c r="I108" s="174"/>
      <c r="J108" s="175"/>
      <c r="K108" s="137"/>
      <c r="L108" s="137"/>
      <c r="M108" s="137"/>
      <c r="N108" s="247"/>
      <c r="O108" s="137"/>
      <c r="P108" s="137"/>
      <c r="Q108" s="137"/>
      <c r="R108" s="271"/>
      <c r="S108" s="247"/>
      <c r="T108" s="137"/>
      <c r="U108" s="137"/>
      <c r="V108" s="271"/>
      <c r="W108" s="247"/>
      <c r="X108" s="137"/>
      <c r="Y108" s="137"/>
      <c r="Z108" s="271"/>
      <c r="AA108" s="247"/>
      <c r="AB108" s="137"/>
      <c r="AC108" s="137"/>
      <c r="AD108" s="137"/>
      <c r="AE108" s="271"/>
      <c r="AF108" s="247"/>
      <c r="AG108" s="137"/>
      <c r="AH108" s="137"/>
      <c r="AI108" s="271"/>
      <c r="AJ108" s="247"/>
      <c r="AK108" s="137"/>
      <c r="AL108" s="137"/>
      <c r="AM108" s="271"/>
      <c r="AN108" s="247"/>
      <c r="AO108" s="137"/>
      <c r="AP108" s="137"/>
      <c r="AQ108" s="137"/>
      <c r="AR108" s="271"/>
      <c r="AS108" s="247"/>
      <c r="AT108" s="137"/>
      <c r="AU108" s="137"/>
      <c r="AV108" s="271"/>
      <c r="AW108" s="247"/>
      <c r="AX108" s="137"/>
      <c r="AY108" s="137">
        <v>500</v>
      </c>
      <c r="AZ108" s="271"/>
      <c r="BA108" s="247"/>
      <c r="BB108" s="137"/>
      <c r="BC108" s="137"/>
      <c r="BD108" s="137"/>
      <c r="BE108" s="271"/>
    </row>
    <row r="109" spans="1:57" ht="21" customHeight="1" x14ac:dyDescent="0.2">
      <c r="A109" s="11" t="s">
        <v>4</v>
      </c>
      <c r="B109" s="696">
        <v>10000</v>
      </c>
      <c r="C109" s="1030" t="s">
        <v>425</v>
      </c>
      <c r="D109" s="697">
        <f>+B109-SUM(F109:BE109)</f>
        <v>0</v>
      </c>
      <c r="E109" s="703"/>
      <c r="F109" s="708"/>
      <c r="G109" s="181"/>
      <c r="H109" s="137"/>
      <c r="I109" s="174"/>
      <c r="J109" s="175"/>
      <c r="K109" s="137"/>
      <c r="L109" s="137"/>
      <c r="M109" s="137"/>
      <c r="N109" s="247"/>
      <c r="O109" s="137"/>
      <c r="P109" s="137"/>
      <c r="Q109" s="137"/>
      <c r="R109" s="271"/>
      <c r="S109" s="247"/>
      <c r="T109" s="137"/>
      <c r="U109" s="137"/>
      <c r="V109" s="271"/>
      <c r="W109" s="247"/>
      <c r="X109" s="137"/>
      <c r="Y109" s="137"/>
      <c r="Z109" s="271"/>
      <c r="AA109" s="247"/>
      <c r="AB109" s="137"/>
      <c r="AC109" s="137"/>
      <c r="AD109" s="137"/>
      <c r="AE109" s="271"/>
      <c r="AF109" s="247"/>
      <c r="AG109" s="137"/>
      <c r="AH109" s="137"/>
      <c r="AI109" s="271"/>
      <c r="AJ109" s="247"/>
      <c r="AK109" s="137"/>
      <c r="AL109" s="137"/>
      <c r="AM109" s="271"/>
      <c r="AN109" s="247"/>
      <c r="AO109" s="137"/>
      <c r="AP109" s="137"/>
      <c r="AQ109" s="137"/>
      <c r="AR109" s="271"/>
      <c r="AS109" s="247"/>
      <c r="AT109" s="137"/>
      <c r="AU109" s="137"/>
      <c r="AV109" s="271"/>
      <c r="AW109" s="247"/>
      <c r="AX109" s="137"/>
      <c r="AY109" s="137">
        <v>1125</v>
      </c>
      <c r="AZ109" s="271">
        <v>3300</v>
      </c>
      <c r="BA109" s="247">
        <v>4125</v>
      </c>
      <c r="BB109" s="137">
        <v>1450</v>
      </c>
      <c r="BC109" s="137"/>
      <c r="BD109" s="137"/>
      <c r="BE109" s="271"/>
    </row>
    <row r="110" spans="1:57" ht="21" customHeight="1" x14ac:dyDescent="0.2">
      <c r="A110" s="11" t="s">
        <v>202</v>
      </c>
      <c r="B110" s="696">
        <v>1500</v>
      </c>
      <c r="C110" s="1031"/>
      <c r="D110" s="697">
        <f t="shared" ref="D110:D117" si="14">+B110-SUM(F110:BE110)</f>
        <v>0</v>
      </c>
      <c r="E110" s="703"/>
      <c r="F110" s="708"/>
      <c r="G110" s="181"/>
      <c r="H110" s="137"/>
      <c r="I110" s="174"/>
      <c r="J110" s="175"/>
      <c r="K110" s="137"/>
      <c r="L110" s="137"/>
      <c r="M110" s="137"/>
      <c r="N110" s="247"/>
      <c r="O110" s="137"/>
      <c r="P110" s="137"/>
      <c r="Q110" s="137"/>
      <c r="R110" s="271"/>
      <c r="S110" s="247"/>
      <c r="T110" s="137"/>
      <c r="U110" s="137"/>
      <c r="V110" s="271"/>
      <c r="W110" s="247"/>
      <c r="X110" s="137"/>
      <c r="Y110" s="137"/>
      <c r="Z110" s="271"/>
      <c r="AA110" s="247"/>
      <c r="AB110" s="137"/>
      <c r="AC110" s="137"/>
      <c r="AD110" s="137"/>
      <c r="AE110" s="271"/>
      <c r="AF110" s="247"/>
      <c r="AG110" s="137"/>
      <c r="AH110" s="137"/>
      <c r="AI110" s="271"/>
      <c r="AJ110" s="247"/>
      <c r="AK110" s="137"/>
      <c r="AL110" s="137"/>
      <c r="AM110" s="271"/>
      <c r="AN110" s="247"/>
      <c r="AO110" s="137"/>
      <c r="AP110" s="137"/>
      <c r="AQ110" s="137"/>
      <c r="AR110" s="271"/>
      <c r="AS110" s="247"/>
      <c r="AT110" s="137"/>
      <c r="AU110" s="137"/>
      <c r="AV110" s="271"/>
      <c r="AW110" s="247"/>
      <c r="AX110" s="137"/>
      <c r="AY110" s="137"/>
      <c r="AZ110" s="271"/>
      <c r="BA110" s="247"/>
      <c r="BB110" s="137">
        <v>1500</v>
      </c>
      <c r="BC110" s="137"/>
      <c r="BD110" s="137"/>
      <c r="BE110" s="271"/>
    </row>
    <row r="111" spans="1:57" ht="21" customHeight="1" x14ac:dyDescent="0.2">
      <c r="A111" s="11" t="s">
        <v>8</v>
      </c>
      <c r="B111" s="696">
        <v>1000</v>
      </c>
      <c r="C111" s="1031"/>
      <c r="D111" s="697">
        <f t="shared" si="14"/>
        <v>0</v>
      </c>
      <c r="E111" s="703"/>
      <c r="F111" s="708"/>
      <c r="G111" s="181"/>
      <c r="H111" s="137"/>
      <c r="I111" s="174"/>
      <c r="J111" s="175"/>
      <c r="K111" s="137"/>
      <c r="L111" s="137"/>
      <c r="M111" s="137"/>
      <c r="N111" s="247"/>
      <c r="O111" s="137"/>
      <c r="P111" s="137"/>
      <c r="Q111" s="137"/>
      <c r="R111" s="271"/>
      <c r="S111" s="247"/>
      <c r="T111" s="137"/>
      <c r="U111" s="137"/>
      <c r="V111" s="271"/>
      <c r="W111" s="247"/>
      <c r="X111" s="137"/>
      <c r="Y111" s="137"/>
      <c r="Z111" s="271"/>
      <c r="AA111" s="247"/>
      <c r="AB111" s="137"/>
      <c r="AC111" s="137"/>
      <c r="AD111" s="137"/>
      <c r="AE111" s="271"/>
      <c r="AF111" s="247"/>
      <c r="AG111" s="137"/>
      <c r="AH111" s="137"/>
      <c r="AI111" s="271"/>
      <c r="AJ111" s="247"/>
      <c r="AK111" s="137"/>
      <c r="AL111" s="137"/>
      <c r="AM111" s="271"/>
      <c r="AN111" s="247"/>
      <c r="AO111" s="137"/>
      <c r="AP111" s="137"/>
      <c r="AQ111" s="137"/>
      <c r="AR111" s="271"/>
      <c r="AS111" s="247"/>
      <c r="AT111" s="137"/>
      <c r="AU111" s="137"/>
      <c r="AV111" s="271"/>
      <c r="AW111" s="247"/>
      <c r="AX111" s="137"/>
      <c r="AY111" s="137"/>
      <c r="AZ111" s="271"/>
      <c r="BA111" s="247"/>
      <c r="BB111" s="137">
        <v>1000</v>
      </c>
      <c r="BC111" s="137"/>
      <c r="BD111" s="137"/>
      <c r="BE111" s="271"/>
    </row>
    <row r="112" spans="1:57" ht="21" customHeight="1" x14ac:dyDescent="0.2">
      <c r="A112" s="11" t="s">
        <v>201</v>
      </c>
      <c r="B112" s="696">
        <v>500</v>
      </c>
      <c r="C112" s="1031"/>
      <c r="D112" s="697">
        <f t="shared" si="14"/>
        <v>0</v>
      </c>
      <c r="E112" s="703"/>
      <c r="F112" s="708"/>
      <c r="G112" s="181"/>
      <c r="H112" s="137"/>
      <c r="I112" s="174"/>
      <c r="J112" s="175"/>
      <c r="K112" s="137"/>
      <c r="L112" s="137"/>
      <c r="M112" s="137"/>
      <c r="N112" s="247"/>
      <c r="O112" s="137"/>
      <c r="P112" s="137"/>
      <c r="Q112" s="137"/>
      <c r="R112" s="271"/>
      <c r="S112" s="247"/>
      <c r="T112" s="137"/>
      <c r="U112" s="137"/>
      <c r="V112" s="271"/>
      <c r="W112" s="247"/>
      <c r="X112" s="137"/>
      <c r="Y112" s="137"/>
      <c r="Z112" s="271"/>
      <c r="AA112" s="247"/>
      <c r="AB112" s="137"/>
      <c r="AC112" s="137"/>
      <c r="AD112" s="137"/>
      <c r="AE112" s="271"/>
      <c r="AF112" s="247"/>
      <c r="AG112" s="137"/>
      <c r="AH112" s="137"/>
      <c r="AI112" s="271"/>
      <c r="AJ112" s="247"/>
      <c r="AK112" s="137"/>
      <c r="AL112" s="137"/>
      <c r="AM112" s="271"/>
      <c r="AN112" s="247"/>
      <c r="AO112" s="137"/>
      <c r="AP112" s="137"/>
      <c r="AQ112" s="137"/>
      <c r="AR112" s="271"/>
      <c r="AS112" s="247"/>
      <c r="AT112" s="137"/>
      <c r="AU112" s="137"/>
      <c r="AV112" s="271"/>
      <c r="AW112" s="247"/>
      <c r="AX112" s="137"/>
      <c r="AY112" s="137"/>
      <c r="AZ112" s="271"/>
      <c r="BA112" s="247"/>
      <c r="BB112" s="137">
        <v>175</v>
      </c>
      <c r="BC112" s="137">
        <v>325</v>
      </c>
      <c r="BD112" s="137"/>
      <c r="BE112" s="271"/>
    </row>
    <row r="113" spans="1:57" ht="21" customHeight="1" x14ac:dyDescent="0.2">
      <c r="A113" s="11" t="s">
        <v>15</v>
      </c>
      <c r="B113" s="696">
        <v>1750</v>
      </c>
      <c r="C113" s="1031"/>
      <c r="D113" s="697">
        <f t="shared" si="14"/>
        <v>0</v>
      </c>
      <c r="E113" s="703"/>
      <c r="F113" s="708"/>
      <c r="G113" s="181"/>
      <c r="H113" s="137"/>
      <c r="I113" s="174"/>
      <c r="J113" s="175"/>
      <c r="K113" s="137"/>
      <c r="L113" s="137"/>
      <c r="M113" s="137"/>
      <c r="N113" s="247"/>
      <c r="O113" s="137"/>
      <c r="P113" s="137"/>
      <c r="Q113" s="137"/>
      <c r="R113" s="271"/>
      <c r="S113" s="247"/>
      <c r="T113" s="137"/>
      <c r="U113" s="137"/>
      <c r="V113" s="271"/>
      <c r="W113" s="247"/>
      <c r="X113" s="137"/>
      <c r="Y113" s="137"/>
      <c r="Z113" s="271"/>
      <c r="AA113" s="247"/>
      <c r="AB113" s="137"/>
      <c r="AC113" s="137"/>
      <c r="AD113" s="137"/>
      <c r="AE113" s="271"/>
      <c r="AF113" s="247"/>
      <c r="AG113" s="137"/>
      <c r="AH113" s="137"/>
      <c r="AI113" s="271"/>
      <c r="AJ113" s="247"/>
      <c r="AK113" s="137"/>
      <c r="AL113" s="137"/>
      <c r="AM113" s="271"/>
      <c r="AN113" s="247"/>
      <c r="AO113" s="137"/>
      <c r="AP113" s="137"/>
      <c r="AQ113" s="137"/>
      <c r="AR113" s="271"/>
      <c r="AS113" s="247"/>
      <c r="AT113" s="137"/>
      <c r="AU113" s="137"/>
      <c r="AV113" s="271"/>
      <c r="AW113" s="247"/>
      <c r="AX113" s="137"/>
      <c r="AY113" s="137"/>
      <c r="AZ113" s="271"/>
      <c r="BA113" s="247"/>
      <c r="BB113" s="137"/>
      <c r="BC113" s="137">
        <v>1750</v>
      </c>
      <c r="BD113" s="137"/>
      <c r="BE113" s="271"/>
    </row>
    <row r="114" spans="1:57" ht="21" customHeight="1" x14ac:dyDescent="0.2">
      <c r="A114" s="11" t="s">
        <v>29</v>
      </c>
      <c r="B114" s="699">
        <v>750</v>
      </c>
      <c r="C114" s="1031"/>
      <c r="D114" s="697">
        <f t="shared" si="14"/>
        <v>0</v>
      </c>
      <c r="E114" s="703"/>
      <c r="F114" s="708"/>
      <c r="G114" s="181"/>
      <c r="H114" s="137"/>
      <c r="I114" s="174"/>
      <c r="J114" s="175"/>
      <c r="K114" s="137"/>
      <c r="L114" s="137"/>
      <c r="M114" s="137"/>
      <c r="N114" s="247"/>
      <c r="O114" s="137"/>
      <c r="P114" s="137"/>
      <c r="Q114" s="137"/>
      <c r="R114" s="271"/>
      <c r="S114" s="247"/>
      <c r="T114" s="137"/>
      <c r="U114" s="137"/>
      <c r="V114" s="271"/>
      <c r="W114" s="247"/>
      <c r="X114" s="137"/>
      <c r="Y114" s="137"/>
      <c r="Z114" s="271"/>
      <c r="AA114" s="247"/>
      <c r="AB114" s="137"/>
      <c r="AC114" s="137"/>
      <c r="AD114" s="137"/>
      <c r="AE114" s="271"/>
      <c r="AF114" s="247"/>
      <c r="AG114" s="137"/>
      <c r="AH114" s="137"/>
      <c r="AI114" s="271"/>
      <c r="AJ114" s="247"/>
      <c r="AK114" s="137"/>
      <c r="AL114" s="137"/>
      <c r="AM114" s="271"/>
      <c r="AN114" s="247"/>
      <c r="AO114" s="137"/>
      <c r="AP114" s="137"/>
      <c r="AQ114" s="137"/>
      <c r="AR114" s="271"/>
      <c r="AS114" s="247"/>
      <c r="AT114" s="137"/>
      <c r="AU114" s="137"/>
      <c r="AV114" s="271"/>
      <c r="AW114" s="247"/>
      <c r="AX114" s="137"/>
      <c r="AY114" s="137"/>
      <c r="AZ114" s="271"/>
      <c r="BA114" s="247"/>
      <c r="BB114" s="137"/>
      <c r="BC114" s="137">
        <v>750</v>
      </c>
      <c r="BD114" s="137"/>
      <c r="BE114" s="271"/>
    </row>
    <row r="115" spans="1:57" ht="21" customHeight="1" x14ac:dyDescent="0.2">
      <c r="A115" s="632" t="s">
        <v>224</v>
      </c>
      <c r="B115" s="700">
        <v>500</v>
      </c>
      <c r="C115" s="1031"/>
      <c r="D115" s="697">
        <f t="shared" si="14"/>
        <v>0</v>
      </c>
      <c r="E115" s="703"/>
      <c r="F115" s="708"/>
      <c r="G115" s="181"/>
      <c r="H115" s="137"/>
      <c r="I115" s="174"/>
      <c r="J115" s="175"/>
      <c r="K115" s="137"/>
      <c r="L115" s="137"/>
      <c r="M115" s="137"/>
      <c r="N115" s="247"/>
      <c r="O115" s="137"/>
      <c r="P115" s="137"/>
      <c r="Q115" s="137"/>
      <c r="R115" s="271"/>
      <c r="S115" s="247"/>
      <c r="T115" s="137"/>
      <c r="U115" s="137"/>
      <c r="V115" s="271"/>
      <c r="W115" s="247"/>
      <c r="X115" s="137"/>
      <c r="Y115" s="137"/>
      <c r="Z115" s="271"/>
      <c r="AA115" s="247"/>
      <c r="AB115" s="137"/>
      <c r="AC115" s="137"/>
      <c r="AD115" s="137"/>
      <c r="AE115" s="271"/>
      <c r="AF115" s="247"/>
      <c r="AG115" s="137"/>
      <c r="AH115" s="137"/>
      <c r="AI115" s="271"/>
      <c r="AJ115" s="247"/>
      <c r="AK115" s="137"/>
      <c r="AL115" s="137"/>
      <c r="AM115" s="271"/>
      <c r="AN115" s="247"/>
      <c r="AO115" s="137"/>
      <c r="AP115" s="137"/>
      <c r="AQ115" s="137"/>
      <c r="AR115" s="271"/>
      <c r="AS115" s="247"/>
      <c r="AT115" s="137"/>
      <c r="AU115" s="137"/>
      <c r="AV115" s="271"/>
      <c r="AW115" s="247"/>
      <c r="AX115" s="137"/>
      <c r="AY115" s="137"/>
      <c r="AZ115" s="271"/>
      <c r="BA115" s="247"/>
      <c r="BB115" s="137"/>
      <c r="BC115" s="137">
        <v>500</v>
      </c>
      <c r="BD115" s="137"/>
      <c r="BE115" s="271"/>
    </row>
    <row r="116" spans="1:57" ht="21" customHeight="1" x14ac:dyDescent="0.2">
      <c r="A116" s="632" t="s">
        <v>413</v>
      </c>
      <c r="B116" s="700">
        <v>500</v>
      </c>
      <c r="C116" s="1031"/>
      <c r="D116" s="697">
        <f t="shared" si="14"/>
        <v>0</v>
      </c>
      <c r="E116" s="703"/>
      <c r="F116" s="708"/>
      <c r="G116" s="181"/>
      <c r="H116" s="137"/>
      <c r="I116" s="174"/>
      <c r="J116" s="175"/>
      <c r="K116" s="137"/>
      <c r="L116" s="137"/>
      <c r="M116" s="137"/>
      <c r="N116" s="247"/>
      <c r="O116" s="137"/>
      <c r="P116" s="137"/>
      <c r="Q116" s="137"/>
      <c r="R116" s="271"/>
      <c r="S116" s="247"/>
      <c r="T116" s="137"/>
      <c r="U116" s="137"/>
      <c r="V116" s="271"/>
      <c r="W116" s="247"/>
      <c r="X116" s="137"/>
      <c r="Y116" s="137"/>
      <c r="Z116" s="271"/>
      <c r="AA116" s="247"/>
      <c r="AB116" s="137"/>
      <c r="AC116" s="137"/>
      <c r="AD116" s="137"/>
      <c r="AE116" s="271"/>
      <c r="AF116" s="247"/>
      <c r="AG116" s="137"/>
      <c r="AH116" s="137"/>
      <c r="AI116" s="271"/>
      <c r="AJ116" s="247"/>
      <c r="AK116" s="137"/>
      <c r="AL116" s="137"/>
      <c r="AM116" s="271"/>
      <c r="AN116" s="247"/>
      <c r="AO116" s="137"/>
      <c r="AP116" s="137"/>
      <c r="AQ116" s="137"/>
      <c r="AR116" s="271"/>
      <c r="AS116" s="247"/>
      <c r="AT116" s="137"/>
      <c r="AU116" s="137"/>
      <c r="AV116" s="271"/>
      <c r="AW116" s="247"/>
      <c r="AX116" s="137"/>
      <c r="AY116" s="137"/>
      <c r="AZ116" s="271"/>
      <c r="BA116" s="247"/>
      <c r="BB116" s="137"/>
      <c r="BC116" s="137">
        <v>500</v>
      </c>
      <c r="BD116" s="137"/>
      <c r="BE116" s="271"/>
    </row>
    <row r="117" spans="1:57" ht="21" customHeight="1" thickBot="1" x14ac:dyDescent="0.25">
      <c r="A117" s="246" t="s">
        <v>414</v>
      </c>
      <c r="B117" s="702">
        <v>500</v>
      </c>
      <c r="C117" s="1032"/>
      <c r="D117" s="697">
        <f t="shared" si="14"/>
        <v>0</v>
      </c>
      <c r="E117" s="703"/>
      <c r="F117" s="708"/>
      <c r="G117" s="181"/>
      <c r="H117" s="137"/>
      <c r="I117" s="174"/>
      <c r="J117" s="175"/>
      <c r="K117" s="137"/>
      <c r="L117" s="137"/>
      <c r="M117" s="137"/>
      <c r="N117" s="247"/>
      <c r="O117" s="137"/>
      <c r="P117" s="137"/>
      <c r="Q117" s="137"/>
      <c r="R117" s="271"/>
      <c r="S117" s="247"/>
      <c r="T117" s="137"/>
      <c r="U117" s="137"/>
      <c r="V117" s="271"/>
      <c r="W117" s="247"/>
      <c r="X117" s="137"/>
      <c r="Y117" s="137"/>
      <c r="Z117" s="271"/>
      <c r="AA117" s="247"/>
      <c r="AB117" s="137"/>
      <c r="AC117" s="137"/>
      <c r="AD117" s="137"/>
      <c r="AE117" s="271"/>
      <c r="AF117" s="247"/>
      <c r="AG117" s="137"/>
      <c r="AH117" s="137"/>
      <c r="AI117" s="271"/>
      <c r="AJ117" s="247"/>
      <c r="AK117" s="137"/>
      <c r="AL117" s="137"/>
      <c r="AM117" s="271"/>
      <c r="AN117" s="247"/>
      <c r="AO117" s="137"/>
      <c r="AP117" s="137"/>
      <c r="AQ117" s="137"/>
      <c r="AR117" s="271"/>
      <c r="AS117" s="247"/>
      <c r="AT117" s="137"/>
      <c r="AU117" s="137"/>
      <c r="AV117" s="271"/>
      <c r="AW117" s="247"/>
      <c r="AX117" s="137"/>
      <c r="AY117" s="137"/>
      <c r="AZ117" s="271"/>
      <c r="BA117" s="247"/>
      <c r="BB117" s="137"/>
      <c r="BC117" s="137">
        <v>300</v>
      </c>
      <c r="BD117" s="137">
        <v>200</v>
      </c>
      <c r="BE117" s="271"/>
    </row>
    <row r="118" spans="1:57" ht="21" customHeight="1" x14ac:dyDescent="0.2">
      <c r="A118" s="246"/>
      <c r="B118" s="709"/>
      <c r="C118" s="11"/>
      <c r="D118" s="706"/>
      <c r="E118" s="703"/>
      <c r="F118" s="708"/>
      <c r="G118" s="181"/>
      <c r="H118" s="137"/>
      <c r="I118" s="174"/>
      <c r="J118" s="175"/>
      <c r="K118" s="137"/>
      <c r="L118" s="137"/>
      <c r="M118" s="137"/>
      <c r="N118" s="247"/>
      <c r="O118" s="137"/>
      <c r="P118" s="137"/>
      <c r="Q118" s="137"/>
      <c r="R118" s="271"/>
      <c r="S118" s="247"/>
      <c r="T118" s="137"/>
      <c r="U118" s="137"/>
      <c r="V118" s="271"/>
      <c r="W118" s="247"/>
      <c r="X118" s="137"/>
      <c r="Y118" s="137"/>
      <c r="Z118" s="271"/>
      <c r="AA118" s="247"/>
      <c r="AB118" s="137"/>
      <c r="AC118" s="137"/>
      <c r="AD118" s="137"/>
      <c r="AE118" s="271"/>
      <c r="AF118" s="247"/>
      <c r="AG118" s="137"/>
      <c r="AH118" s="137"/>
      <c r="AI118" s="271"/>
      <c r="AJ118" s="247"/>
      <c r="AK118" s="137"/>
      <c r="AL118" s="137"/>
      <c r="AM118" s="271"/>
      <c r="AN118" s="247"/>
      <c r="AO118" s="137"/>
      <c r="AP118" s="137"/>
      <c r="AQ118" s="137"/>
      <c r="AR118" s="271"/>
      <c r="AS118" s="247"/>
      <c r="AT118" s="137"/>
      <c r="AU118" s="137"/>
      <c r="AV118" s="271"/>
      <c r="AW118" s="247"/>
      <c r="AX118" s="137"/>
      <c r="AY118" s="137"/>
      <c r="AZ118" s="271"/>
      <c r="BA118" s="247"/>
      <c r="BB118" s="137"/>
      <c r="BC118" s="137"/>
      <c r="BD118" s="137"/>
      <c r="BE118" s="271"/>
    </row>
    <row r="119" spans="1:57" ht="21" customHeight="1" thickBot="1" x14ac:dyDescent="0.25">
      <c r="A119" s="104"/>
      <c r="B119" s="710">
        <f>SUM(B9:B117)</f>
        <v>201500</v>
      </c>
      <c r="C119" s="11"/>
      <c r="D119" s="711">
        <f>B119-C119</f>
        <v>201500</v>
      </c>
      <c r="E119" s="698"/>
      <c r="F119" s="712"/>
      <c r="G119" s="713"/>
      <c r="H119" s="39"/>
      <c r="I119" s="469"/>
      <c r="J119" s="468"/>
      <c r="K119" s="39"/>
      <c r="L119" s="39"/>
      <c r="M119" s="39"/>
      <c r="N119" s="41"/>
      <c r="O119" s="39"/>
      <c r="P119" s="39"/>
      <c r="Q119" s="39"/>
      <c r="R119" s="42"/>
      <c r="S119" s="41"/>
      <c r="T119" s="39"/>
      <c r="U119" s="39"/>
      <c r="V119" s="42"/>
      <c r="W119" s="41"/>
      <c r="X119" s="39"/>
      <c r="Y119" s="39"/>
      <c r="Z119" s="42"/>
      <c r="AA119" s="41"/>
      <c r="AB119" s="39"/>
      <c r="AC119" s="39"/>
      <c r="AD119" s="39"/>
      <c r="AE119" s="42"/>
      <c r="AF119" s="41"/>
      <c r="AG119" s="39"/>
      <c r="AH119" s="39"/>
      <c r="AI119" s="42"/>
      <c r="AJ119" s="41"/>
      <c r="AK119" s="39"/>
      <c r="AL119" s="39"/>
      <c r="AM119" s="42"/>
      <c r="AN119" s="41"/>
      <c r="AO119" s="39"/>
      <c r="AP119" s="39"/>
      <c r="AQ119" s="39"/>
      <c r="AR119" s="42"/>
      <c r="AS119" s="41"/>
      <c r="AT119" s="39"/>
      <c r="AU119" s="39"/>
      <c r="AV119" s="42"/>
      <c r="AW119" s="41"/>
      <c r="AX119" s="39"/>
      <c r="AY119" s="39"/>
      <c r="AZ119" s="42"/>
      <c r="BA119" s="41"/>
      <c r="BB119" s="39"/>
      <c r="BC119" s="39"/>
      <c r="BD119" s="39"/>
      <c r="BE119" s="42"/>
    </row>
    <row r="120" spans="1:57" ht="16" thickBot="1" x14ac:dyDescent="0.25">
      <c r="A120" s="714"/>
      <c r="B120" s="705"/>
      <c r="C120" s="198">
        <f>SUM(F120:BE120)</f>
        <v>201500</v>
      </c>
      <c r="D120" s="199"/>
      <c r="E120" s="13"/>
      <c r="F120" s="201">
        <f t="shared" ref="F120:BE120" si="15">SUM(F4:F119)</f>
        <v>4125</v>
      </c>
      <c r="G120" s="201">
        <f t="shared" si="15"/>
        <v>4125</v>
      </c>
      <c r="H120" s="201">
        <f t="shared" si="15"/>
        <v>4125</v>
      </c>
      <c r="I120" s="201">
        <f t="shared" si="15"/>
        <v>4125</v>
      </c>
      <c r="J120" s="201">
        <f t="shared" si="15"/>
        <v>4125</v>
      </c>
      <c r="K120" s="201">
        <f t="shared" si="15"/>
        <v>3300</v>
      </c>
      <c r="L120" s="201">
        <f t="shared" si="15"/>
        <v>4125</v>
      </c>
      <c r="M120" s="36">
        <f t="shared" si="15"/>
        <v>4125</v>
      </c>
      <c r="N120" s="201">
        <f t="shared" si="15"/>
        <v>4125</v>
      </c>
      <c r="O120" s="201">
        <f t="shared" si="15"/>
        <v>4125</v>
      </c>
      <c r="P120" s="201">
        <f t="shared" si="15"/>
        <v>4125</v>
      </c>
      <c r="Q120" s="201">
        <f t="shared" si="15"/>
        <v>4125</v>
      </c>
      <c r="R120" s="201">
        <f t="shared" si="15"/>
        <v>4125</v>
      </c>
      <c r="S120" s="201">
        <f t="shared" si="15"/>
        <v>4125</v>
      </c>
      <c r="T120" s="201">
        <f t="shared" si="15"/>
        <v>4125</v>
      </c>
      <c r="U120" s="201">
        <f t="shared" si="15"/>
        <v>4125</v>
      </c>
      <c r="V120" s="201">
        <f t="shared" si="15"/>
        <v>4125</v>
      </c>
      <c r="W120" s="201">
        <f t="shared" si="15"/>
        <v>4125</v>
      </c>
      <c r="X120" s="201">
        <f t="shared" si="15"/>
        <v>4125</v>
      </c>
      <c r="Y120" s="201">
        <f t="shared" si="15"/>
        <v>4125</v>
      </c>
      <c r="Z120" s="201">
        <f t="shared" si="15"/>
        <v>2475</v>
      </c>
      <c r="AA120" s="201">
        <f t="shared" si="15"/>
        <v>3300</v>
      </c>
      <c r="AB120" s="201">
        <f t="shared" si="15"/>
        <v>4125</v>
      </c>
      <c r="AC120" s="201">
        <f t="shared" si="15"/>
        <v>4125</v>
      </c>
      <c r="AD120" s="201">
        <f t="shared" si="15"/>
        <v>4125</v>
      </c>
      <c r="AE120" s="201">
        <f t="shared" si="15"/>
        <v>4125</v>
      </c>
      <c r="AF120" s="201">
        <f t="shared" si="15"/>
        <v>3300</v>
      </c>
      <c r="AG120" s="201">
        <f t="shared" si="15"/>
        <v>4125</v>
      </c>
      <c r="AH120" s="201">
        <f t="shared" si="15"/>
        <v>4125</v>
      </c>
      <c r="AI120" s="201">
        <f t="shared" si="15"/>
        <v>4125</v>
      </c>
      <c r="AJ120" s="201">
        <f t="shared" si="15"/>
        <v>4125</v>
      </c>
      <c r="AK120" s="201">
        <f t="shared" si="15"/>
        <v>4125</v>
      </c>
      <c r="AL120" s="201">
        <f t="shared" si="15"/>
        <v>4125</v>
      </c>
      <c r="AM120" s="201">
        <f t="shared" si="15"/>
        <v>4125</v>
      </c>
      <c r="AN120" s="201">
        <f t="shared" si="15"/>
        <v>4125</v>
      </c>
      <c r="AO120" s="201">
        <f t="shared" si="15"/>
        <v>4125</v>
      </c>
      <c r="AP120" s="201">
        <f t="shared" si="15"/>
        <v>4125</v>
      </c>
      <c r="AQ120" s="201">
        <f t="shared" si="15"/>
        <v>4125</v>
      </c>
      <c r="AR120" s="201">
        <f t="shared" si="15"/>
        <v>4125</v>
      </c>
      <c r="AS120" s="201">
        <f t="shared" si="15"/>
        <v>4125</v>
      </c>
      <c r="AT120" s="201">
        <f t="shared" si="15"/>
        <v>4125</v>
      </c>
      <c r="AU120" s="201">
        <f t="shared" si="15"/>
        <v>4125</v>
      </c>
      <c r="AV120" s="201">
        <f t="shared" si="15"/>
        <v>4125</v>
      </c>
      <c r="AW120" s="201">
        <f t="shared" si="15"/>
        <v>4125</v>
      </c>
      <c r="AX120" s="201">
        <f t="shared" si="15"/>
        <v>4125</v>
      </c>
      <c r="AY120" s="201">
        <f t="shared" si="15"/>
        <v>4125</v>
      </c>
      <c r="AZ120" s="201">
        <f t="shared" si="15"/>
        <v>3300</v>
      </c>
      <c r="BA120" s="201">
        <f t="shared" si="15"/>
        <v>4125</v>
      </c>
      <c r="BB120" s="201">
        <f t="shared" si="15"/>
        <v>4125</v>
      </c>
      <c r="BC120" s="201">
        <f t="shared" si="15"/>
        <v>4125</v>
      </c>
      <c r="BD120" s="201">
        <f t="shared" si="15"/>
        <v>200</v>
      </c>
      <c r="BE120" s="201">
        <f t="shared" si="15"/>
        <v>0</v>
      </c>
    </row>
    <row r="121" spans="1:57" s="134" customFormat="1" ht="16" thickBot="1" x14ac:dyDescent="0.25">
      <c r="A121" s="697"/>
      <c r="B121" s="711"/>
      <c r="C121" s="198">
        <f>SUM(F121:BE121)</f>
        <v>207900</v>
      </c>
      <c r="D121" s="513"/>
      <c r="E121" s="715"/>
      <c r="F121" s="514">
        <f>F1*5</f>
        <v>4125</v>
      </c>
      <c r="G121" s="514">
        <f>G1*5</f>
        <v>4125</v>
      </c>
      <c r="H121" s="514">
        <f>H1*5</f>
        <v>4125</v>
      </c>
      <c r="I121" s="514">
        <f>+I1*I123</f>
        <v>4125</v>
      </c>
      <c r="J121" s="514">
        <f t="shared" ref="J121:BE121" si="16">+J1*J123</f>
        <v>4125</v>
      </c>
      <c r="K121" s="514">
        <f t="shared" si="16"/>
        <v>3300</v>
      </c>
      <c r="L121" s="514">
        <f t="shared" si="16"/>
        <v>4125</v>
      </c>
      <c r="M121" s="514">
        <f t="shared" si="16"/>
        <v>4125</v>
      </c>
      <c r="N121" s="514">
        <f t="shared" si="16"/>
        <v>4125</v>
      </c>
      <c r="O121" s="514">
        <f t="shared" si="16"/>
        <v>4125</v>
      </c>
      <c r="P121" s="514">
        <f t="shared" si="16"/>
        <v>4125</v>
      </c>
      <c r="Q121" s="514">
        <f t="shared" si="16"/>
        <v>4125</v>
      </c>
      <c r="R121" s="514">
        <f t="shared" si="16"/>
        <v>4125</v>
      </c>
      <c r="S121" s="514">
        <f t="shared" si="16"/>
        <v>4125</v>
      </c>
      <c r="T121" s="514">
        <f t="shared" si="16"/>
        <v>4125</v>
      </c>
      <c r="U121" s="514">
        <f t="shared" si="16"/>
        <v>4125</v>
      </c>
      <c r="V121" s="514">
        <f t="shared" si="16"/>
        <v>4125</v>
      </c>
      <c r="W121" s="514">
        <f t="shared" si="16"/>
        <v>4125</v>
      </c>
      <c r="X121" s="514">
        <f t="shared" si="16"/>
        <v>4125</v>
      </c>
      <c r="Y121" s="514">
        <f t="shared" si="16"/>
        <v>4125</v>
      </c>
      <c r="Z121" s="514">
        <f t="shared" si="16"/>
        <v>2475</v>
      </c>
      <c r="AA121" s="514">
        <f t="shared" si="16"/>
        <v>3300</v>
      </c>
      <c r="AB121" s="514">
        <f t="shared" si="16"/>
        <v>4125</v>
      </c>
      <c r="AC121" s="514">
        <f t="shared" si="16"/>
        <v>4125</v>
      </c>
      <c r="AD121" s="514">
        <f t="shared" si="16"/>
        <v>4125</v>
      </c>
      <c r="AE121" s="514">
        <f t="shared" si="16"/>
        <v>4125</v>
      </c>
      <c r="AF121" s="514">
        <f t="shared" si="16"/>
        <v>3300</v>
      </c>
      <c r="AG121" s="514">
        <f t="shared" si="16"/>
        <v>4125</v>
      </c>
      <c r="AH121" s="514">
        <f t="shared" si="16"/>
        <v>4125</v>
      </c>
      <c r="AI121" s="514">
        <f t="shared" si="16"/>
        <v>4125</v>
      </c>
      <c r="AJ121" s="514">
        <f t="shared" si="16"/>
        <v>4125</v>
      </c>
      <c r="AK121" s="514">
        <f t="shared" si="16"/>
        <v>4125</v>
      </c>
      <c r="AL121" s="514">
        <f t="shared" si="16"/>
        <v>4125</v>
      </c>
      <c r="AM121" s="514">
        <f t="shared" si="16"/>
        <v>4125</v>
      </c>
      <c r="AN121" s="514">
        <f t="shared" si="16"/>
        <v>4125</v>
      </c>
      <c r="AO121" s="514">
        <f t="shared" si="16"/>
        <v>4125</v>
      </c>
      <c r="AP121" s="514">
        <f t="shared" si="16"/>
        <v>4125</v>
      </c>
      <c r="AQ121" s="514">
        <f t="shared" si="16"/>
        <v>4125</v>
      </c>
      <c r="AR121" s="514">
        <f t="shared" si="16"/>
        <v>4125</v>
      </c>
      <c r="AS121" s="514">
        <f t="shared" si="16"/>
        <v>4125</v>
      </c>
      <c r="AT121" s="514">
        <f t="shared" si="16"/>
        <v>4125</v>
      </c>
      <c r="AU121" s="514">
        <f t="shared" si="16"/>
        <v>4125</v>
      </c>
      <c r="AV121" s="514">
        <f t="shared" si="16"/>
        <v>4125</v>
      </c>
      <c r="AW121" s="514">
        <f t="shared" si="16"/>
        <v>4125</v>
      </c>
      <c r="AX121" s="514">
        <f t="shared" si="16"/>
        <v>4125</v>
      </c>
      <c r="AY121" s="514">
        <f t="shared" si="16"/>
        <v>4125</v>
      </c>
      <c r="AZ121" s="514">
        <f t="shared" si="16"/>
        <v>3300</v>
      </c>
      <c r="BA121" s="514">
        <f t="shared" si="16"/>
        <v>4125</v>
      </c>
      <c r="BB121" s="514">
        <f t="shared" si="16"/>
        <v>4125</v>
      </c>
      <c r="BC121" s="514">
        <f t="shared" si="16"/>
        <v>4125</v>
      </c>
      <c r="BD121" s="514">
        <f t="shared" si="16"/>
        <v>3300</v>
      </c>
      <c r="BE121" s="514">
        <f t="shared" si="16"/>
        <v>3300</v>
      </c>
    </row>
    <row r="122" spans="1:57" s="134" customFormat="1" ht="16" thickBot="1" x14ac:dyDescent="0.25">
      <c r="A122" s="716"/>
      <c r="B122" s="710"/>
      <c r="C122" s="710">
        <f>+C120-C121</f>
        <v>-6400</v>
      </c>
      <c r="D122" s="717"/>
      <c r="E122" s="718"/>
      <c r="F122" s="514">
        <f t="shared" ref="F122:BE122" si="17">F120-F121</f>
        <v>0</v>
      </c>
      <c r="G122" s="514">
        <f t="shared" si="17"/>
        <v>0</v>
      </c>
      <c r="H122" s="514">
        <f t="shared" si="17"/>
        <v>0</v>
      </c>
      <c r="I122" s="514">
        <f t="shared" si="17"/>
        <v>0</v>
      </c>
      <c r="J122" s="514">
        <f t="shared" si="17"/>
        <v>0</v>
      </c>
      <c r="K122" s="514">
        <f t="shared" si="17"/>
        <v>0</v>
      </c>
      <c r="L122" s="514">
        <f t="shared" si="17"/>
        <v>0</v>
      </c>
      <c r="M122" s="719">
        <f t="shared" si="17"/>
        <v>0</v>
      </c>
      <c r="N122" s="720">
        <f t="shared" si="17"/>
        <v>0</v>
      </c>
      <c r="O122" s="514">
        <f t="shared" si="17"/>
        <v>0</v>
      </c>
      <c r="P122" s="514">
        <f t="shared" si="17"/>
        <v>0</v>
      </c>
      <c r="Q122" s="514">
        <f t="shared" si="17"/>
        <v>0</v>
      </c>
      <c r="R122" s="514">
        <f t="shared" si="17"/>
        <v>0</v>
      </c>
      <c r="S122" s="720">
        <f t="shared" si="17"/>
        <v>0</v>
      </c>
      <c r="T122" s="514">
        <f t="shared" si="17"/>
        <v>0</v>
      </c>
      <c r="U122" s="514">
        <f t="shared" si="17"/>
        <v>0</v>
      </c>
      <c r="V122" s="514">
        <f t="shared" si="17"/>
        <v>0</v>
      </c>
      <c r="W122" s="720">
        <f t="shared" si="17"/>
        <v>0</v>
      </c>
      <c r="X122" s="514">
        <f t="shared" si="17"/>
        <v>0</v>
      </c>
      <c r="Y122" s="514">
        <f t="shared" si="17"/>
        <v>0</v>
      </c>
      <c r="Z122" s="514">
        <f t="shared" si="17"/>
        <v>0</v>
      </c>
      <c r="AA122" s="720">
        <f t="shared" si="17"/>
        <v>0</v>
      </c>
      <c r="AB122" s="514">
        <f t="shared" si="17"/>
        <v>0</v>
      </c>
      <c r="AC122" s="514">
        <f t="shared" si="17"/>
        <v>0</v>
      </c>
      <c r="AD122" s="514">
        <f t="shared" si="17"/>
        <v>0</v>
      </c>
      <c r="AE122" s="514">
        <f t="shared" si="17"/>
        <v>0</v>
      </c>
      <c r="AF122" s="720">
        <f t="shared" si="17"/>
        <v>0</v>
      </c>
      <c r="AG122" s="514">
        <f t="shared" si="17"/>
        <v>0</v>
      </c>
      <c r="AH122" s="514">
        <f t="shared" si="17"/>
        <v>0</v>
      </c>
      <c r="AI122" s="514">
        <f t="shared" si="17"/>
        <v>0</v>
      </c>
      <c r="AJ122" s="720">
        <f t="shared" si="17"/>
        <v>0</v>
      </c>
      <c r="AK122" s="514">
        <f t="shared" si="17"/>
        <v>0</v>
      </c>
      <c r="AL122" s="514">
        <f t="shared" si="17"/>
        <v>0</v>
      </c>
      <c r="AM122" s="514">
        <f t="shared" si="17"/>
        <v>0</v>
      </c>
      <c r="AN122" s="720">
        <f t="shared" si="17"/>
        <v>0</v>
      </c>
      <c r="AO122" s="514">
        <f t="shared" si="17"/>
        <v>0</v>
      </c>
      <c r="AP122" s="514">
        <f t="shared" si="17"/>
        <v>0</v>
      </c>
      <c r="AQ122" s="514">
        <f t="shared" si="17"/>
        <v>0</v>
      </c>
      <c r="AR122" s="514">
        <f t="shared" si="17"/>
        <v>0</v>
      </c>
      <c r="AS122" s="720">
        <f t="shared" si="17"/>
        <v>0</v>
      </c>
      <c r="AT122" s="514">
        <f t="shared" si="17"/>
        <v>0</v>
      </c>
      <c r="AU122" s="514">
        <f t="shared" si="17"/>
        <v>0</v>
      </c>
      <c r="AV122" s="514">
        <f t="shared" si="17"/>
        <v>0</v>
      </c>
      <c r="AW122" s="720">
        <f t="shared" si="17"/>
        <v>0</v>
      </c>
      <c r="AX122" s="514">
        <f t="shared" si="17"/>
        <v>0</v>
      </c>
      <c r="AY122" s="514">
        <f t="shared" si="17"/>
        <v>0</v>
      </c>
      <c r="AZ122" s="514">
        <f t="shared" si="17"/>
        <v>0</v>
      </c>
      <c r="BA122" s="720">
        <f t="shared" si="17"/>
        <v>0</v>
      </c>
      <c r="BB122" s="514">
        <f t="shared" si="17"/>
        <v>0</v>
      </c>
      <c r="BC122" s="514">
        <f t="shared" si="17"/>
        <v>0</v>
      </c>
      <c r="BD122" s="514">
        <f t="shared" si="17"/>
        <v>-3100</v>
      </c>
      <c r="BE122" s="514">
        <f t="shared" si="17"/>
        <v>-3300</v>
      </c>
    </row>
    <row r="123" spans="1:57" x14ac:dyDescent="0.2">
      <c r="C123" s="198">
        <f>SUM(F123:BE123)</f>
        <v>252</v>
      </c>
      <c r="F123">
        <v>5</v>
      </c>
      <c r="G123">
        <v>5</v>
      </c>
      <c r="H123">
        <v>5</v>
      </c>
      <c r="I123">
        <v>5</v>
      </c>
      <c r="J123">
        <v>5</v>
      </c>
      <c r="K123">
        <v>4</v>
      </c>
      <c r="L123">
        <v>5</v>
      </c>
      <c r="M123">
        <v>5</v>
      </c>
      <c r="N123">
        <v>5</v>
      </c>
      <c r="O123">
        <v>5</v>
      </c>
      <c r="P123">
        <v>5</v>
      </c>
      <c r="Q123">
        <v>5</v>
      </c>
      <c r="R123">
        <v>5</v>
      </c>
      <c r="S123">
        <v>5</v>
      </c>
      <c r="T123">
        <v>5</v>
      </c>
      <c r="U123">
        <v>5</v>
      </c>
      <c r="V123">
        <v>5</v>
      </c>
      <c r="W123">
        <v>5</v>
      </c>
      <c r="X123">
        <v>5</v>
      </c>
      <c r="Y123">
        <v>5</v>
      </c>
      <c r="Z123">
        <v>3</v>
      </c>
      <c r="AA123">
        <v>4</v>
      </c>
      <c r="AB123">
        <v>5</v>
      </c>
      <c r="AC123">
        <v>5</v>
      </c>
      <c r="AD123">
        <v>5</v>
      </c>
      <c r="AE123">
        <v>5</v>
      </c>
      <c r="AF123">
        <v>4</v>
      </c>
      <c r="AG123">
        <v>5</v>
      </c>
      <c r="AH123">
        <v>5</v>
      </c>
      <c r="AI123">
        <v>5</v>
      </c>
      <c r="AJ123">
        <v>5</v>
      </c>
      <c r="AK123">
        <v>5</v>
      </c>
      <c r="AL123">
        <v>5</v>
      </c>
      <c r="AM123">
        <v>5</v>
      </c>
      <c r="AN123">
        <v>5</v>
      </c>
      <c r="AO123">
        <v>5</v>
      </c>
      <c r="AP123">
        <v>5</v>
      </c>
      <c r="AQ123">
        <v>5</v>
      </c>
      <c r="AR123">
        <v>5</v>
      </c>
      <c r="AS123">
        <v>5</v>
      </c>
      <c r="AT123">
        <v>5</v>
      </c>
      <c r="AU123">
        <v>5</v>
      </c>
      <c r="AV123">
        <v>5</v>
      </c>
      <c r="AW123">
        <v>5</v>
      </c>
      <c r="AX123">
        <v>5</v>
      </c>
      <c r="AY123">
        <v>5</v>
      </c>
      <c r="AZ123">
        <v>4</v>
      </c>
      <c r="BA123">
        <v>5</v>
      </c>
      <c r="BB123">
        <v>5</v>
      </c>
      <c r="BC123">
        <v>5</v>
      </c>
      <c r="BD123">
        <v>4</v>
      </c>
      <c r="BE123">
        <v>4</v>
      </c>
    </row>
    <row r="124" spans="1:57" x14ac:dyDescent="0.2">
      <c r="B124" s="15" t="s">
        <v>426</v>
      </c>
      <c r="C124" s="15" t="s">
        <v>427</v>
      </c>
      <c r="D124" s="15" t="s">
        <v>428</v>
      </c>
    </row>
    <row r="125" spans="1:57" ht="14.25" hidden="1" customHeight="1" x14ac:dyDescent="0.2">
      <c r="A125" s="1035"/>
      <c r="B125" s="1035"/>
      <c r="C125" s="1035"/>
      <c r="D125" s="59"/>
      <c r="E125" s="59"/>
    </row>
    <row r="126" spans="1:57" s="89" customFormat="1" ht="14.75" hidden="1" customHeight="1" thickBot="1" x14ac:dyDescent="0.25">
      <c r="A126" s="1026"/>
      <c r="B126" s="1026"/>
      <c r="C126" s="1026"/>
      <c r="D126" s="88"/>
      <c r="E126" s="86"/>
    </row>
    <row r="127" spans="1:57" s="89" customFormat="1" ht="14.75" hidden="1" customHeight="1" thickBot="1" x14ac:dyDescent="0.25">
      <c r="A127" s="1026"/>
      <c r="B127" s="1026"/>
      <c r="C127" s="1026"/>
      <c r="D127" s="88"/>
      <c r="E127" s="86"/>
    </row>
    <row r="128" spans="1:57" s="89" customFormat="1" ht="14.25" hidden="1" customHeight="1" x14ac:dyDescent="0.2">
      <c r="A128" s="92" t="s">
        <v>256</v>
      </c>
      <c r="B128" s="92"/>
      <c r="C128" s="92" t="e">
        <f>SUM(#REF!)</f>
        <v>#REF!</v>
      </c>
      <c r="D128" s="93"/>
      <c r="E128" s="92"/>
    </row>
    <row r="129" spans="1:13" ht="14.75" hidden="1" customHeight="1" thickBot="1" x14ac:dyDescent="0.25">
      <c r="A129" s="38"/>
      <c r="B129" s="38"/>
      <c r="C129" s="38"/>
      <c r="D129" s="78"/>
      <c r="E129" s="38"/>
    </row>
    <row r="130" spans="1:13" ht="14.25" hidden="1" customHeight="1" x14ac:dyDescent="0.2"/>
    <row r="131" spans="1:13" ht="15.75" hidden="1" customHeight="1" x14ac:dyDescent="0.2"/>
    <row r="132" spans="1:13" ht="15.75" hidden="1" customHeight="1" x14ac:dyDescent="0.2"/>
    <row r="133" spans="1:13" ht="16.25" hidden="1" customHeight="1" thickBot="1" x14ac:dyDescent="0.25">
      <c r="A133" s="1020">
        <v>2025</v>
      </c>
      <c r="B133" s="1021"/>
    </row>
    <row r="134" spans="1:13" ht="15.75" hidden="1" customHeight="1" x14ac:dyDescent="0.2">
      <c r="A134" s="96" t="s">
        <v>265</v>
      </c>
      <c r="B134" s="97" t="e">
        <f>#REF!</f>
        <v>#REF!</v>
      </c>
    </row>
    <row r="135" spans="1:13" ht="14.25" hidden="1" customHeight="1" x14ac:dyDescent="0.2">
      <c r="A135" s="96" t="s">
        <v>266</v>
      </c>
      <c r="B135" s="97" t="e">
        <f>#REF!</f>
        <v>#REF!</v>
      </c>
    </row>
    <row r="136" spans="1:13" ht="14.25" hidden="1" customHeight="1" x14ac:dyDescent="0.2">
      <c r="A136" s="96" t="s">
        <v>267</v>
      </c>
      <c r="B136" s="97" t="e">
        <f>#REF!</f>
        <v>#REF!</v>
      </c>
    </row>
    <row r="137" spans="1:13" ht="14.25" hidden="1" customHeight="1" x14ac:dyDescent="0.2">
      <c r="A137" s="96" t="s">
        <v>268</v>
      </c>
      <c r="B137" s="97" t="e">
        <f>#REF!</f>
        <v>#REF!</v>
      </c>
    </row>
    <row r="138" spans="1:13" ht="14.25" hidden="1" customHeight="1" x14ac:dyDescent="0.2">
      <c r="A138" s="96" t="s">
        <v>258</v>
      </c>
      <c r="B138" s="97" t="e">
        <f>#REF!</f>
        <v>#REF!</v>
      </c>
    </row>
    <row r="139" spans="1:13" ht="14.25" hidden="1" customHeight="1" x14ac:dyDescent="0.2">
      <c r="A139" s="96" t="s">
        <v>259</v>
      </c>
      <c r="B139" s="97" t="e">
        <f>#REF!</f>
        <v>#REF!</v>
      </c>
    </row>
    <row r="140" spans="1:13" ht="14.25" hidden="1" customHeight="1" x14ac:dyDescent="0.2">
      <c r="A140" s="99" t="s">
        <v>272</v>
      </c>
      <c r="B140" s="100" t="e">
        <f>#REF!</f>
        <v>#REF!</v>
      </c>
    </row>
    <row r="141" spans="1:13" ht="15.75" hidden="1" customHeight="1" x14ac:dyDescent="0.2">
      <c r="A141" s="99" t="s">
        <v>273</v>
      </c>
      <c r="B141" s="100" t="e">
        <f>#REF!</f>
        <v>#REF!</v>
      </c>
    </row>
    <row r="142" spans="1:13" s="12" customFormat="1" ht="15.75" hidden="1" customHeight="1" x14ac:dyDescent="0.2">
      <c r="A142" s="99" t="s">
        <v>261</v>
      </c>
      <c r="B142" s="100" t="e">
        <f>#REF!</f>
        <v>#REF!</v>
      </c>
      <c r="C142" s="15"/>
      <c r="D142" s="15"/>
      <c r="E142" s="15"/>
      <c r="F142"/>
      <c r="G142"/>
      <c r="H142"/>
      <c r="I142"/>
      <c r="J142"/>
      <c r="K142"/>
      <c r="L142"/>
      <c r="M142"/>
    </row>
    <row r="143" spans="1:13" s="12" customFormat="1" ht="16.25" hidden="1" customHeight="1" thickBot="1" x14ac:dyDescent="0.25">
      <c r="A143" s="102" t="s">
        <v>274</v>
      </c>
      <c r="B143" s="103" t="e">
        <f>SUM(B134:B142)</f>
        <v>#REF!</v>
      </c>
      <c r="C143" s="15"/>
      <c r="D143" s="15"/>
      <c r="E143" s="15"/>
      <c r="F143"/>
      <c r="G143"/>
      <c r="H143"/>
      <c r="I143"/>
      <c r="J143"/>
      <c r="K143"/>
      <c r="L143"/>
      <c r="M143"/>
    </row>
    <row r="144" spans="1:13" s="12" customFormat="1" hidden="1" x14ac:dyDescent="0.2">
      <c r="A144" s="15"/>
      <c r="B144" s="15"/>
      <c r="C144" s="15"/>
      <c r="D144" s="15"/>
      <c r="E144" s="15"/>
      <c r="F144"/>
      <c r="G144"/>
      <c r="H144"/>
      <c r="I144"/>
      <c r="J144"/>
      <c r="K144"/>
      <c r="L144"/>
      <c r="M144"/>
    </row>
    <row r="145" spans="1:4" x14ac:dyDescent="0.2">
      <c r="A145" s="15" t="s">
        <v>4</v>
      </c>
      <c r="B145" s="15">
        <v>43</v>
      </c>
      <c r="C145" s="644">
        <f>+B9+B19+B28+B37+B46+B55+B64+B73+B82+B91+B100+B109</f>
        <v>120000</v>
      </c>
      <c r="D145" s="512">
        <f>+C145*B145</f>
        <v>5160000</v>
      </c>
    </row>
    <row r="146" spans="1:4" x14ac:dyDescent="0.2">
      <c r="A146" s="15" t="s">
        <v>202</v>
      </c>
      <c r="B146" s="15">
        <v>21</v>
      </c>
      <c r="C146" s="644">
        <f t="shared" ref="C146:C153" si="18">+B10+B20+B29+B38+B47+B56+B65+B74+B83+B92+B101+B110</f>
        <v>18000</v>
      </c>
      <c r="D146" s="512">
        <f t="shared" ref="D146:D153" si="19">+C146*B146</f>
        <v>378000</v>
      </c>
    </row>
    <row r="147" spans="1:4" x14ac:dyDescent="0.2">
      <c r="A147" s="15" t="s">
        <v>8</v>
      </c>
      <c r="B147" s="15">
        <v>60</v>
      </c>
      <c r="C147" s="644">
        <f t="shared" si="18"/>
        <v>12000</v>
      </c>
      <c r="D147" s="512">
        <f t="shared" si="19"/>
        <v>720000</v>
      </c>
    </row>
    <row r="148" spans="1:4" x14ac:dyDescent="0.2">
      <c r="A148" s="15" t="s">
        <v>201</v>
      </c>
      <c r="B148" s="15">
        <v>50</v>
      </c>
      <c r="C148" s="644">
        <f t="shared" si="18"/>
        <v>6000</v>
      </c>
      <c r="D148" s="512">
        <f t="shared" si="19"/>
        <v>300000</v>
      </c>
    </row>
    <row r="149" spans="1:4" x14ac:dyDescent="0.2">
      <c r="A149" s="15" t="s">
        <v>15</v>
      </c>
      <c r="B149" s="15">
        <v>88</v>
      </c>
      <c r="C149" s="644">
        <f t="shared" si="18"/>
        <v>21000</v>
      </c>
      <c r="D149" s="512">
        <f t="shared" si="19"/>
        <v>1848000</v>
      </c>
    </row>
    <row r="150" spans="1:4" x14ac:dyDescent="0.2">
      <c r="A150" s="15" t="s">
        <v>429</v>
      </c>
      <c r="B150" s="15">
        <v>87</v>
      </c>
      <c r="C150" s="644">
        <f t="shared" si="18"/>
        <v>9000</v>
      </c>
      <c r="D150" s="512">
        <f t="shared" si="19"/>
        <v>783000</v>
      </c>
    </row>
    <row r="151" spans="1:4" x14ac:dyDescent="0.2">
      <c r="A151" s="15" t="s">
        <v>224</v>
      </c>
      <c r="B151" s="15">
        <v>50</v>
      </c>
      <c r="C151" s="644">
        <f t="shared" si="18"/>
        <v>6000</v>
      </c>
      <c r="D151" s="512">
        <f t="shared" si="19"/>
        <v>300000</v>
      </c>
    </row>
    <row r="152" spans="1:4" x14ac:dyDescent="0.2">
      <c r="A152" s="15" t="s">
        <v>413</v>
      </c>
      <c r="B152" s="15">
        <v>50</v>
      </c>
      <c r="C152" s="644">
        <f t="shared" si="18"/>
        <v>6000</v>
      </c>
      <c r="D152" s="512">
        <f t="shared" si="19"/>
        <v>300000</v>
      </c>
    </row>
    <row r="153" spans="1:4" x14ac:dyDescent="0.2">
      <c r="A153" s="15" t="s">
        <v>414</v>
      </c>
      <c r="B153" s="15">
        <v>50</v>
      </c>
      <c r="C153" s="644">
        <f t="shared" si="18"/>
        <v>3500</v>
      </c>
      <c r="D153" s="512">
        <f t="shared" si="19"/>
        <v>175000</v>
      </c>
    </row>
    <row r="154" spans="1:4" x14ac:dyDescent="0.2">
      <c r="A154" s="15" t="s">
        <v>430</v>
      </c>
      <c r="C154" s="644">
        <f>SUM(C145:C153)</f>
        <v>201500</v>
      </c>
      <c r="D154" s="512">
        <f>SUM(D145:D153)</f>
        <v>9964000</v>
      </c>
    </row>
    <row r="156" spans="1:4" x14ac:dyDescent="0.2">
      <c r="A156" s="15" t="s">
        <v>431</v>
      </c>
      <c r="B156" s="721">
        <v>10</v>
      </c>
      <c r="D156" s="722">
        <f>-B156*C120</f>
        <v>-2015000</v>
      </c>
    </row>
    <row r="157" spans="1:4" x14ac:dyDescent="0.2">
      <c r="A157" s="15" t="s">
        <v>432</v>
      </c>
      <c r="B157" s="721">
        <f>+[2]Margins!C71/[2]Margins!H27</f>
        <v>7.1433193141378197</v>
      </c>
      <c r="D157" s="722">
        <f>-B157*C120</f>
        <v>-1439378.8417987707</v>
      </c>
    </row>
    <row r="158" spans="1:4" x14ac:dyDescent="0.2">
      <c r="A158" s="15" t="s">
        <v>433</v>
      </c>
      <c r="B158" s="721">
        <f>+[2]Margins!C72/[2]Margins!H27</f>
        <v>1.3393723714008412</v>
      </c>
      <c r="D158" s="722">
        <f>-B158*C120</f>
        <v>-269883.53283726948</v>
      </c>
    </row>
    <row r="159" spans="1:4" x14ac:dyDescent="0.2">
      <c r="A159" s="15" t="s">
        <v>434</v>
      </c>
      <c r="B159" s="721">
        <f>+[2]Margins!C69/[2]Margins!H27</f>
        <v>16.007764477515366</v>
      </c>
      <c r="D159" s="722">
        <f>-B159*C120</f>
        <v>-3225564.5422193464</v>
      </c>
    </row>
    <row r="161" spans="1:4" x14ac:dyDescent="0.2">
      <c r="A161" s="15" t="s">
        <v>435</v>
      </c>
      <c r="D161" s="722">
        <f>+D159+D158+D157+D156</f>
        <v>-6949826.9168553865</v>
      </c>
    </row>
    <row r="163" spans="1:4" x14ac:dyDescent="0.2">
      <c r="C163" s="15" t="s">
        <v>436</v>
      </c>
      <c r="D163" s="723">
        <f>+D154+D161</f>
        <v>3014173.0831446135</v>
      </c>
    </row>
  </sheetData>
  <autoFilter ref="A3:A122" xr:uid="{0E7B67FD-2388-5E4C-BD5D-AC0A50F5F909}"/>
  <mergeCells count="18">
    <mergeCell ref="A133:B133"/>
    <mergeCell ref="C46:C54"/>
    <mergeCell ref="C55:C63"/>
    <mergeCell ref="C64:C72"/>
    <mergeCell ref="C73:C81"/>
    <mergeCell ref="C82:C90"/>
    <mergeCell ref="C91:C99"/>
    <mergeCell ref="C100:C108"/>
    <mergeCell ref="C109:C117"/>
    <mergeCell ref="A125:C125"/>
    <mergeCell ref="A126:C126"/>
    <mergeCell ref="A127:C127"/>
    <mergeCell ref="C37:C45"/>
    <mergeCell ref="A1:B1"/>
    <mergeCell ref="C1:D1"/>
    <mergeCell ref="C9:C17"/>
    <mergeCell ref="C19:C27"/>
    <mergeCell ref="C28:C36"/>
  </mergeCells>
  <pageMargins left="0.25" right="0.25" top="0.75" bottom="0.75" header="0.3" footer="0.3"/>
  <pageSetup paperSize="9" scale="1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3F7D8-B645-034F-993A-060C2FE7B7EA}">
  <sheetPr codeName="Sheet4"/>
  <dimension ref="B1:BK142"/>
  <sheetViews>
    <sheetView topLeftCell="AC1" zoomScaleNormal="100" workbookViewId="0">
      <selection activeCell="AU34" sqref="AU34"/>
    </sheetView>
  </sheetViews>
  <sheetFormatPr baseColWidth="10" defaultColWidth="8.83203125" defaultRowHeight="15" x14ac:dyDescent="0.2"/>
  <cols>
    <col min="2" max="2" width="18.33203125" customWidth="1"/>
    <col min="3" max="3" width="14.1640625" customWidth="1"/>
    <col min="4" max="4" width="9.6640625" customWidth="1"/>
    <col min="5" max="8" width="6.5" style="137" customWidth="1"/>
    <col min="9" max="9" width="6" style="137" customWidth="1"/>
    <col min="10" max="10" width="11.6640625" style="137" customWidth="1"/>
    <col min="11" max="13" width="9" style="137" customWidth="1"/>
    <col min="14" max="32" width="8.83203125" style="137" customWidth="1"/>
    <col min="33" max="61" width="8.83203125" style="137"/>
  </cols>
  <sheetData>
    <row r="1" spans="2:61" ht="23" thickBot="1" x14ac:dyDescent="0.35">
      <c r="B1" s="879" t="s">
        <v>437</v>
      </c>
      <c r="C1" s="879"/>
      <c r="D1" s="879"/>
    </row>
    <row r="2" spans="2:61" ht="16" thickBot="1" x14ac:dyDescent="0.25">
      <c r="B2" s="882" t="s">
        <v>438</v>
      </c>
      <c r="C2" s="883"/>
      <c r="D2" s="878"/>
      <c r="E2" s="1039"/>
      <c r="F2" s="1040"/>
      <c r="G2" s="1040"/>
      <c r="H2" s="1040"/>
      <c r="I2" s="1041"/>
      <c r="J2" s="1044" t="s">
        <v>439</v>
      </c>
      <c r="K2" s="1045"/>
      <c r="L2" s="1045"/>
      <c r="M2" s="1045"/>
      <c r="N2" s="1046"/>
      <c r="O2" s="1046"/>
      <c r="P2" s="1046"/>
      <c r="Q2" s="1046"/>
      <c r="R2" s="1046"/>
      <c r="S2" s="1046"/>
      <c r="T2" s="1046"/>
      <c r="U2" s="1046"/>
      <c r="V2" s="1046"/>
      <c r="W2" s="1040" t="s">
        <v>440</v>
      </c>
      <c r="X2" s="1040"/>
      <c r="Y2" s="1040"/>
      <c r="Z2" s="1040"/>
      <c r="AA2" s="1047"/>
      <c r="AB2" s="1047"/>
      <c r="AC2" s="1047"/>
      <c r="AD2" s="1047"/>
      <c r="AE2" s="1040"/>
      <c r="AF2" s="1040"/>
      <c r="AG2" s="1040"/>
      <c r="AH2" s="1040"/>
      <c r="AI2" s="1040"/>
      <c r="AJ2" s="1046" t="s">
        <v>441</v>
      </c>
      <c r="AK2" s="1046"/>
      <c r="AL2" s="1046"/>
      <c r="AM2" s="1046"/>
      <c r="AN2" s="1046"/>
      <c r="AO2" s="1046"/>
      <c r="AP2" s="1046"/>
      <c r="AQ2" s="1046"/>
      <c r="AR2" s="1046"/>
      <c r="AS2" s="1046"/>
      <c r="AT2" s="1046"/>
      <c r="AU2" s="1046"/>
      <c r="AV2" s="1046"/>
      <c r="AW2" s="1040" t="s">
        <v>442</v>
      </c>
      <c r="AX2" s="1040"/>
      <c r="AY2" s="1040"/>
      <c r="AZ2" s="1040"/>
      <c r="BA2" s="1040"/>
      <c r="BB2" s="1040"/>
      <c r="BC2" s="1040"/>
      <c r="BD2" s="1040"/>
      <c r="BE2" s="1047"/>
      <c r="BF2" s="1047"/>
      <c r="BG2" s="1047"/>
      <c r="BH2" s="1047"/>
      <c r="BI2" s="1048"/>
    </row>
    <row r="3" spans="2:61" x14ac:dyDescent="0.2">
      <c r="B3" s="882" t="s">
        <v>3</v>
      </c>
      <c r="C3" s="883"/>
      <c r="D3" s="877"/>
      <c r="E3" s="868">
        <f>'Gantt Chart Update'!L5</f>
        <v>45996</v>
      </c>
      <c r="F3" s="241">
        <f>'Gantt Chart Update'!M5</f>
        <v>46003</v>
      </c>
      <c r="G3" s="241">
        <f>'Gantt Chart Update'!N5</f>
        <v>46010</v>
      </c>
      <c r="H3" s="243">
        <f>'Gantt Chart Update'!O5</f>
        <v>46017</v>
      </c>
      <c r="I3" s="244">
        <f>'Gantt Chart Update'!P5</f>
        <v>46024</v>
      </c>
      <c r="J3" s="237">
        <f>'Gantt Chart Update'!Q5</f>
        <v>46031</v>
      </c>
      <c r="K3" s="234">
        <f>'Gantt Chart Update'!R5</f>
        <v>46038</v>
      </c>
      <c r="L3" s="234">
        <f>'Gantt Chart Update'!S5</f>
        <v>46045</v>
      </c>
      <c r="M3" s="239">
        <f>'Gantt Chart Update'!T5</f>
        <v>46052</v>
      </c>
      <c r="N3" s="240">
        <f>'Gantt Chart Update'!U5</f>
        <v>46059</v>
      </c>
      <c r="O3" s="241">
        <f>'Gantt Chart Update'!V5</f>
        <v>46066</v>
      </c>
      <c r="P3" s="241">
        <f>'Gantt Chart Update'!W5</f>
        <v>46073</v>
      </c>
      <c r="Q3" s="242">
        <f>'Gantt Chart Update'!X5</f>
        <v>46080</v>
      </c>
      <c r="R3" s="240">
        <f>'Gantt Chart Update'!Y5</f>
        <v>46087</v>
      </c>
      <c r="S3" s="241">
        <f>'Gantt Chart Update'!Z5</f>
        <v>46094</v>
      </c>
      <c r="T3" s="241">
        <f>'Gantt Chart Update'!AA5</f>
        <v>46101</v>
      </c>
      <c r="U3" s="242">
        <f>'Gantt Chart Update'!AB5</f>
        <v>46108</v>
      </c>
      <c r="V3" s="240">
        <f>'Gantt Chart Update'!AC5</f>
        <v>46115</v>
      </c>
      <c r="W3" s="243">
        <f>'Gantt Chart Update'!AD5</f>
        <v>46122</v>
      </c>
      <c r="X3" s="241">
        <f>'Gantt Chart Update'!AE5</f>
        <v>46129</v>
      </c>
      <c r="Y3" s="241">
        <f>'Gantt Chart Update'!AF5</f>
        <v>46136</v>
      </c>
      <c r="Z3" s="242">
        <f>'Gantt Chart Update'!AG5</f>
        <v>46143</v>
      </c>
      <c r="AA3" s="237">
        <f>'Gantt Chart Update'!AH5</f>
        <v>46150</v>
      </c>
      <c r="AB3" s="234">
        <f>'Gantt Chart Update'!AI5</f>
        <v>46157</v>
      </c>
      <c r="AC3" s="234">
        <f>'Gantt Chart Update'!AJ5</f>
        <v>46164</v>
      </c>
      <c r="AD3" s="239">
        <f>'Gantt Chart Update'!AK5</f>
        <v>46171</v>
      </c>
      <c r="AE3" s="240">
        <f>'Gantt Chart Update'!AL5</f>
        <v>46178</v>
      </c>
      <c r="AF3" s="241">
        <f>'Gantt Chart Update'!AM5</f>
        <v>46185</v>
      </c>
      <c r="AG3" s="241">
        <f>'Gantt Chart Update'!AN5</f>
        <v>46192</v>
      </c>
      <c r="AH3" s="242">
        <f>'Gantt Chart Update'!AO5</f>
        <v>46199</v>
      </c>
      <c r="AI3" s="240">
        <f>'Gantt Chart Update'!AP5</f>
        <v>46206</v>
      </c>
      <c r="AJ3" s="241">
        <f>'Gantt Chart Update'!AQ5</f>
        <v>46213</v>
      </c>
      <c r="AK3" s="241">
        <f>'Gantt Chart Update'!AR5</f>
        <v>46220</v>
      </c>
      <c r="AL3" s="241">
        <f>'Gantt Chart Update'!AS5</f>
        <v>46227</v>
      </c>
      <c r="AM3" s="242">
        <f>'Gantt Chart Update'!AT5</f>
        <v>46234</v>
      </c>
      <c r="AN3" s="240">
        <f>'Gantt Chart Update'!AU5</f>
        <v>46241</v>
      </c>
      <c r="AO3" s="241">
        <f>'Gantt Chart Update'!AV5</f>
        <v>46248</v>
      </c>
      <c r="AP3" s="241">
        <f>'Gantt Chart Update'!AW5</f>
        <v>46255</v>
      </c>
      <c r="AQ3" s="242">
        <f>'Gantt Chart Update'!AX5</f>
        <v>46262</v>
      </c>
      <c r="AR3" s="240">
        <f>'Gantt Chart Update'!AY5</f>
        <v>46269</v>
      </c>
      <c r="AS3" s="241">
        <f>'Gantt Chart Update'!AZ5</f>
        <v>46276</v>
      </c>
      <c r="AT3" s="241">
        <f>'Gantt Chart Update'!BA5</f>
        <v>46283</v>
      </c>
      <c r="AU3" s="241">
        <f>'Gantt Chart Update'!BB5</f>
        <v>46290</v>
      </c>
      <c r="AV3" s="242">
        <f>'Gantt Chart Update'!BC5</f>
        <v>46297</v>
      </c>
      <c r="AW3" s="240">
        <f>'Gantt Chart Update'!BD5</f>
        <v>46304</v>
      </c>
      <c r="AX3" s="241">
        <f>'Gantt Chart Update'!BE5</f>
        <v>46311</v>
      </c>
      <c r="AY3" s="241">
        <f>'Gantt Chart Update'!BF5</f>
        <v>46318</v>
      </c>
      <c r="AZ3" s="242">
        <f>'Gantt Chart Update'!BG5</f>
        <v>46325</v>
      </c>
      <c r="BA3" s="240">
        <f>'Gantt Chart Update'!BH5</f>
        <v>46332</v>
      </c>
      <c r="BB3" s="241">
        <f>'Gantt Chart Update'!BI5</f>
        <v>46339</v>
      </c>
      <c r="BC3" s="241">
        <f>'Gantt Chart Update'!BJ5</f>
        <v>46346</v>
      </c>
      <c r="BD3" s="242">
        <f>'Gantt Chart Update'!BK5</f>
        <v>46353</v>
      </c>
      <c r="BE3" s="237">
        <f>'Gantt Chart Update'!BL5</f>
        <v>46360</v>
      </c>
      <c r="BF3" s="234">
        <f>'Gantt Chart Update'!BM5</f>
        <v>46367</v>
      </c>
      <c r="BG3" s="234">
        <f>'Gantt Chart Update'!BN5</f>
        <v>46374</v>
      </c>
      <c r="BH3" s="235">
        <f>'Gantt Chart Update'!BO5</f>
        <v>46381</v>
      </c>
      <c r="BI3" s="236">
        <f>'Gantt Chart Update'!BP5</f>
        <v>46388</v>
      </c>
    </row>
    <row r="4" spans="2:61" x14ac:dyDescent="0.2">
      <c r="B4" s="882" t="s">
        <v>82</v>
      </c>
      <c r="C4" s="883"/>
      <c r="D4" s="884" t="s">
        <v>83</v>
      </c>
      <c r="E4" s="869">
        <f>'Gantt Chart Update'!L1</f>
        <v>400</v>
      </c>
      <c r="F4" s="238">
        <f>'Gantt Chart Update'!M1</f>
        <v>400</v>
      </c>
      <c r="G4" s="238">
        <f>'Gantt Chart Update'!N1</f>
        <v>400</v>
      </c>
      <c r="H4" s="238">
        <f>'Gantt Chart Update'!O1</f>
        <v>500</v>
      </c>
      <c r="I4" s="238">
        <f>'Gantt Chart Update'!P1</f>
        <v>550</v>
      </c>
      <c r="J4" s="238">
        <f>'Gantt Chart Update'!Q1</f>
        <v>550</v>
      </c>
      <c r="K4" s="238">
        <f>'Gantt Chart Update'!R1</f>
        <v>500</v>
      </c>
      <c r="L4" s="238">
        <f>'Gantt Chart Update'!S1</f>
        <v>550</v>
      </c>
      <c r="M4" s="238">
        <f>'Gantt Chart Update'!T1</f>
        <v>550</v>
      </c>
      <c r="N4" s="238">
        <f>'Gantt Chart Update'!U1</f>
        <v>550</v>
      </c>
      <c r="O4" s="238">
        <f>'Gantt Chart Update'!V1</f>
        <v>550</v>
      </c>
      <c r="P4" s="238">
        <f>'Gantt Chart Update'!W1</f>
        <v>350</v>
      </c>
      <c r="Q4" s="238">
        <f>'Gantt Chart Update'!X1</f>
        <v>350</v>
      </c>
      <c r="R4" s="238">
        <f>'Gantt Chart Update'!Y1</f>
        <v>650</v>
      </c>
      <c r="S4" s="238">
        <f>'Gantt Chart Update'!Z1</f>
        <v>625</v>
      </c>
      <c r="T4" s="238">
        <f>'Gantt Chart Update'!AA1</f>
        <v>350</v>
      </c>
      <c r="U4" s="238">
        <f>'Gantt Chart Update'!AB1</f>
        <v>800</v>
      </c>
      <c r="V4" s="238">
        <f>'Gantt Chart Update'!AC1</f>
        <v>325</v>
      </c>
      <c r="W4" s="238">
        <f>'Gantt Chart Update'!AD1</f>
        <v>750</v>
      </c>
      <c r="X4" s="238">
        <f>'Gantt Chart Update'!AE1</f>
        <v>725</v>
      </c>
      <c r="Y4" s="238">
        <f>'Gantt Chart Update'!AF1</f>
        <v>600</v>
      </c>
      <c r="Z4" s="238">
        <f>'Gantt Chart Update'!AG1</f>
        <v>475</v>
      </c>
      <c r="AA4" s="238">
        <f>'Gantt Chart Update'!AH1</f>
        <v>375</v>
      </c>
      <c r="AB4" s="238">
        <f>'Gantt Chart Update'!AI1</f>
        <v>375</v>
      </c>
      <c r="AC4" s="238">
        <f>'Gantt Chart Update'!AJ1</f>
        <v>600</v>
      </c>
      <c r="AD4" s="238">
        <f>'Gantt Chart Update'!AK1</f>
        <v>700</v>
      </c>
      <c r="AE4" s="238">
        <f>'Gantt Chart Update'!AL1</f>
        <v>400</v>
      </c>
      <c r="AF4" s="238">
        <f>'Gantt Chart Update'!AM1</f>
        <v>750</v>
      </c>
      <c r="AG4" s="238">
        <f>'Gantt Chart Update'!AN1</f>
        <v>675</v>
      </c>
      <c r="AH4" s="238">
        <f>'Gantt Chart Update'!AO1</f>
        <v>600</v>
      </c>
      <c r="AI4" s="238">
        <f>'Gantt Chart Update'!AP1</f>
        <v>450</v>
      </c>
      <c r="AJ4" s="238">
        <f>'Gantt Chart Update'!AQ1</f>
        <v>650</v>
      </c>
      <c r="AK4" s="238">
        <f>'Gantt Chart Update'!AR1</f>
        <v>750</v>
      </c>
      <c r="AL4" s="238">
        <f>'Gantt Chart Update'!AS1</f>
        <v>450</v>
      </c>
      <c r="AM4" s="238">
        <f>'Gantt Chart Update'!AT1</f>
        <v>400</v>
      </c>
      <c r="AN4" s="238">
        <f>'Gantt Chart Update'!AU1</f>
        <v>400</v>
      </c>
      <c r="AO4" s="238">
        <f>'Gantt Chart Update'!AV1</f>
        <v>450</v>
      </c>
      <c r="AP4" s="238">
        <f>'Gantt Chart Update'!AW1</f>
        <v>750</v>
      </c>
      <c r="AQ4" s="238">
        <f>'Gantt Chart Update'!AX1</f>
        <v>675</v>
      </c>
      <c r="AR4" s="238">
        <f>'Gantt Chart Update'!AY1</f>
        <v>500</v>
      </c>
      <c r="AS4" s="238">
        <f>'Gantt Chart Update'!AZ1</f>
        <v>900</v>
      </c>
      <c r="AT4" s="238">
        <f>'Gantt Chart Update'!BA1</f>
        <v>750</v>
      </c>
      <c r="AU4" s="238">
        <f>'Gantt Chart Update'!BB1</f>
        <v>600</v>
      </c>
      <c r="AV4" s="238">
        <f>'Gantt Chart Update'!BC1</f>
        <v>800</v>
      </c>
      <c r="AW4" s="238">
        <f>'Gantt Chart Update'!BD1</f>
        <v>1000</v>
      </c>
      <c r="AX4" s="238">
        <f>'Gantt Chart Update'!BE1</f>
        <v>800</v>
      </c>
      <c r="AY4" s="238">
        <f>'Gantt Chart Update'!BF1</f>
        <v>500</v>
      </c>
      <c r="AZ4" s="238">
        <f>'Gantt Chart Update'!BG1</f>
        <v>1000</v>
      </c>
      <c r="BA4" s="238">
        <f>'Gantt Chart Update'!BH1</f>
        <v>1000</v>
      </c>
      <c r="BB4" s="238">
        <f>'Gantt Chart Update'!BI1</f>
        <v>800</v>
      </c>
      <c r="BC4" s="238">
        <f>'Gantt Chart Update'!BJ1</f>
        <v>650</v>
      </c>
      <c r="BD4" s="238">
        <f>'Gantt Chart Update'!BK1</f>
        <v>750</v>
      </c>
      <c r="BE4" s="238">
        <f>'Gantt Chart Update'!BL1</f>
        <v>1000</v>
      </c>
      <c r="BF4" s="238">
        <f>'Gantt Chart Update'!BM1</f>
        <v>1000</v>
      </c>
      <c r="BG4" s="238">
        <f>'Gantt Chart Update'!BN1</f>
        <v>600</v>
      </c>
      <c r="BH4" s="238">
        <f>'Gantt Chart Update'!BO1</f>
        <v>700</v>
      </c>
      <c r="BI4" s="238">
        <f>'Gantt Chart Update'!BP1</f>
        <v>1000</v>
      </c>
    </row>
    <row r="5" spans="2:61" ht="16" thickBot="1" x14ac:dyDescent="0.25">
      <c r="B5" s="880" t="s">
        <v>319</v>
      </c>
      <c r="C5" s="881" t="s">
        <v>276</v>
      </c>
      <c r="D5" s="651"/>
      <c r="E5" s="1036"/>
      <c r="F5" s="1037"/>
      <c r="G5" s="1037"/>
      <c r="H5" s="1037"/>
      <c r="I5" s="1043"/>
      <c r="J5" s="1036"/>
      <c r="K5" s="1037"/>
      <c r="L5" s="1037"/>
      <c r="M5" s="1038"/>
      <c r="N5" s="1042"/>
      <c r="O5" s="1037"/>
      <c r="P5" s="1037"/>
      <c r="Q5" s="1043"/>
      <c r="R5" s="1042"/>
      <c r="S5" s="1037"/>
      <c r="T5" s="1037"/>
      <c r="U5" s="1043"/>
      <c r="V5" s="1042"/>
      <c r="W5" s="1037"/>
      <c r="X5" s="1037"/>
      <c r="Y5" s="1037"/>
      <c r="Z5" s="1043"/>
      <c r="AA5" s="1036"/>
      <c r="AB5" s="1037"/>
      <c r="AC5" s="1037"/>
      <c r="AD5" s="1038"/>
      <c r="AE5" s="1042"/>
      <c r="AF5" s="1037"/>
      <c r="AG5" s="1037"/>
      <c r="AH5" s="1043"/>
      <c r="AI5" s="1042"/>
      <c r="AJ5" s="1037"/>
      <c r="AK5" s="1037"/>
      <c r="AL5" s="1037"/>
      <c r="AM5" s="1043"/>
      <c r="AN5" s="1042"/>
      <c r="AO5" s="1037"/>
      <c r="AP5" s="1037"/>
      <c r="AQ5" s="1043"/>
      <c r="AR5" s="1042"/>
      <c r="AS5" s="1037"/>
      <c r="AT5" s="1037"/>
      <c r="AU5" s="1037"/>
      <c r="AV5" s="1043"/>
      <c r="AW5" s="1042"/>
      <c r="AX5" s="1037"/>
      <c r="AY5" s="1037"/>
      <c r="AZ5" s="1043"/>
      <c r="BA5" s="1042"/>
      <c r="BB5" s="1037"/>
      <c r="BC5" s="1037"/>
      <c r="BD5" s="1043"/>
      <c r="BE5" s="1036"/>
      <c r="BF5" s="1037"/>
      <c r="BG5" s="1037"/>
      <c r="BH5" s="1037"/>
      <c r="BI5" s="1043"/>
    </row>
    <row r="6" spans="2:61" x14ac:dyDescent="0.2">
      <c r="B6" s="873" t="s">
        <v>4</v>
      </c>
      <c r="C6" s="867" t="s">
        <v>177</v>
      </c>
      <c r="D6" s="530">
        <f>SUM(J6:BI6)</f>
        <v>13003</v>
      </c>
      <c r="E6" s="870">
        <f>SUMIFS('Gantt Chart Update'!L:L,'Gantt Chart Update'!$B:$B,'New summary'!$B6,'Gantt Chart Update'!$C:$C,'New summary'!$C6)</f>
        <v>847</v>
      </c>
      <c r="F6" s="374">
        <f>SUMIFS('Gantt Chart Update'!M:M,'Gantt Chart Update'!$B:$B,'New summary'!$B6,'Gantt Chart Update'!$C:$C,'New summary'!$C6)</f>
        <v>611</v>
      </c>
      <c r="G6" s="374">
        <f>SUMIFS('Gantt Chart Update'!N:N,'Gantt Chart Update'!$B:$B,'New summary'!$B6,'Gantt Chart Update'!$C:$C,'New summary'!$C6)</f>
        <v>0</v>
      </c>
      <c r="H6" s="374">
        <f>SUMIFS('Gantt Chart Update'!O:O,'Gantt Chart Update'!$B:$B,'New summary'!$B6,'Gantt Chart Update'!$C:$C,'New summary'!$C6)</f>
        <v>274</v>
      </c>
      <c r="I6" s="374">
        <f>SUMIFS('Gantt Chart Update'!P:P,'Gantt Chart Update'!$B:$B,'New summary'!$B6,'Gantt Chart Update'!$C:$C,'New summary'!$C6)</f>
        <v>0</v>
      </c>
      <c r="J6" s="374">
        <f>SUMIFS('Gantt Chart Update'!Q:Q,'Gantt Chart Update'!$B:$B,'New summary'!$B6,'Gantt Chart Update'!$C:$C,'New summary'!$C6)</f>
        <v>0</v>
      </c>
      <c r="K6" s="374">
        <f>SUMIFS('Gantt Chart Update'!R:R,'Gantt Chart Update'!$B:$B,'New summary'!$B6,'Gantt Chart Update'!$C:$C,'New summary'!$C6)</f>
        <v>864</v>
      </c>
      <c r="L6" s="374">
        <f>SUMIFS('Gantt Chart Update'!S:S,'Gantt Chart Update'!$B:$B,'New summary'!$B6,'Gantt Chart Update'!$C:$C,'New summary'!$C6)</f>
        <v>0</v>
      </c>
      <c r="M6" s="374">
        <f>SUMIFS('Gantt Chart Update'!T:T,'Gantt Chart Update'!$B:$B,'New summary'!$B6,'Gantt Chart Update'!$C:$C,'New summary'!$C6)</f>
        <v>0</v>
      </c>
      <c r="N6" s="374">
        <f>SUMIFS('Gantt Chart Update'!U:U,'Gantt Chart Update'!$B:$B,'New summary'!$B6,'Gantt Chart Update'!$C:$C,'New summary'!$C6)</f>
        <v>0</v>
      </c>
      <c r="O6" s="374">
        <f>SUMIFS('Gantt Chart Update'!V:V,'Gantt Chart Update'!$B:$B,'New summary'!$B6,'Gantt Chart Update'!$C:$C,'New summary'!$C6)</f>
        <v>0</v>
      </c>
      <c r="P6" s="374">
        <f>SUMIFS('Gantt Chart Update'!W:W,'Gantt Chart Update'!$B:$B,'New summary'!$B6,'Gantt Chart Update'!$C:$C,'New summary'!$C6)</f>
        <v>0</v>
      </c>
      <c r="Q6" s="374">
        <f>SUMIFS('Gantt Chart Update'!X:X,'Gantt Chart Update'!$B:$B,'New summary'!$B6,'Gantt Chart Update'!$C:$C,'New summary'!$C6)</f>
        <v>0</v>
      </c>
      <c r="R6" s="374">
        <f>SUMIFS('Gantt Chart Update'!Y:Y,'Gantt Chart Update'!$B:$B,'New summary'!$B6,'Gantt Chart Update'!$C:$C,'New summary'!$C6)</f>
        <v>575</v>
      </c>
      <c r="S6" s="374">
        <f>SUMIFS('Gantt Chart Update'!Z:Z,'Gantt Chart Update'!$B:$B,'New summary'!$B6,'Gantt Chart Update'!$C:$C,'New summary'!$C6)</f>
        <v>937</v>
      </c>
      <c r="T6" s="374">
        <f>SUMIFS('Gantt Chart Update'!AA:AA,'Gantt Chart Update'!$B:$B,'New summary'!$B6,'Gantt Chart Update'!$C:$C,'New summary'!$C6)</f>
        <v>0</v>
      </c>
      <c r="U6" s="374">
        <f>SUMIFS('Gantt Chart Update'!AB:AB,'Gantt Chart Update'!$B:$B,'New summary'!$B6,'Gantt Chart Update'!$C:$C,'New summary'!$C6)</f>
        <v>624</v>
      </c>
      <c r="V6" s="374">
        <f>SUMIFS('Gantt Chart Update'!AC:AC,'Gantt Chart Update'!$B:$B,'New summary'!$B6,'Gantt Chart Update'!$C:$C,'New summary'!$C6)</f>
        <v>0</v>
      </c>
      <c r="W6" s="374">
        <f>SUMIFS('Gantt Chart Update'!AD:AD,'Gantt Chart Update'!$B:$B,'New summary'!$B6,'Gantt Chart Update'!$C:$C,'New summary'!$C6)</f>
        <v>0</v>
      </c>
      <c r="X6" s="374">
        <f>SUMIFS('Gantt Chart Update'!AE:AE,'Gantt Chart Update'!$B:$B,'New summary'!$B6,'Gantt Chart Update'!$C:$C,'New summary'!$C6)</f>
        <v>684</v>
      </c>
      <c r="Y6" s="374">
        <f>SUMIFS('Gantt Chart Update'!AF:AF,'Gantt Chart Update'!$B:$B,'New summary'!$B6,'Gantt Chart Update'!$C:$C,'New summary'!$C6)</f>
        <v>0</v>
      </c>
      <c r="Z6" s="374">
        <f>SUMIFS('Gantt Chart Update'!AG:AG,'Gantt Chart Update'!$B:$B,'New summary'!$B6,'Gantt Chart Update'!$C:$C,'New summary'!$C6)</f>
        <v>0</v>
      </c>
      <c r="AA6" s="374">
        <f>SUMIFS('Gantt Chart Update'!AH:AH,'Gantt Chart Update'!$B:$B,'New summary'!$B6,'Gantt Chart Update'!$C:$C,'New summary'!$C6)</f>
        <v>0</v>
      </c>
      <c r="AB6" s="374">
        <f>SUMIFS('Gantt Chart Update'!AI:AI,'Gantt Chart Update'!$B:$B,'New summary'!$B6,'Gantt Chart Update'!$C:$C,'New summary'!$C6)</f>
        <v>0</v>
      </c>
      <c r="AC6" s="374">
        <f>SUMIFS('Gantt Chart Update'!AJ:AJ,'Gantt Chart Update'!$B:$B,'New summary'!$B6,'Gantt Chart Update'!$C:$C,'New summary'!$C6)</f>
        <v>0</v>
      </c>
      <c r="AD6" s="374">
        <f>SUMIFS('Gantt Chart Update'!AK:AK,'Gantt Chart Update'!$B:$B,'New summary'!$B6,'Gantt Chart Update'!$C:$C,'New summary'!$C6)</f>
        <v>0</v>
      </c>
      <c r="AE6" s="374">
        <f>SUMIFS('Gantt Chart Update'!AL:AL,'Gantt Chart Update'!$B:$B,'New summary'!$B6,'Gantt Chart Update'!$C:$C,'New summary'!$C6)</f>
        <v>400</v>
      </c>
      <c r="AF6" s="374">
        <f>SUMIFS('Gantt Chart Update'!AM:AM,'Gantt Chart Update'!$B:$B,'New summary'!$B6,'Gantt Chart Update'!$C:$C,'New summary'!$C6)</f>
        <v>200</v>
      </c>
      <c r="AG6" s="374">
        <f>SUMIFS('Gantt Chart Update'!AN:AN,'Gantt Chart Update'!$B:$B,'New summary'!$B6,'Gantt Chart Update'!$C:$C,'New summary'!$C6)</f>
        <v>0</v>
      </c>
      <c r="AH6" s="374">
        <f>SUMIFS('Gantt Chart Update'!AO:AO,'Gantt Chart Update'!$B:$B,'New summary'!$B6,'Gantt Chart Update'!$C:$C,'New summary'!$C6)</f>
        <v>0</v>
      </c>
      <c r="AI6" s="374">
        <f>SUMIFS('Gantt Chart Update'!AP:AP,'Gantt Chart Update'!$B:$B,'New summary'!$B6,'Gantt Chart Update'!$C:$C,'New summary'!$C6)</f>
        <v>0</v>
      </c>
      <c r="AJ6" s="374">
        <f>SUMIFS('Gantt Chart Update'!AQ:AQ,'Gantt Chart Update'!$B:$B,'New summary'!$B6,'Gantt Chart Update'!$C:$C,'New summary'!$C6)</f>
        <v>0</v>
      </c>
      <c r="AK6" s="374">
        <f>SUMIFS('Gantt Chart Update'!AR:AR,'Gantt Chart Update'!$B:$B,'New summary'!$B6,'Gantt Chart Update'!$C:$C,'New summary'!$C6)</f>
        <v>600</v>
      </c>
      <c r="AL6" s="374">
        <f>SUMIFS('Gantt Chart Update'!AS:AS,'Gantt Chart Update'!$B:$B,'New summary'!$B6,'Gantt Chart Update'!$C:$C,'New summary'!$C6)</f>
        <v>0</v>
      </c>
      <c r="AM6" s="374">
        <f>SUMIFS('Gantt Chart Update'!AT:AT,'Gantt Chart Update'!$B:$B,'New summary'!$B6,'Gantt Chart Update'!$C:$C,'New summary'!$C6)</f>
        <v>0</v>
      </c>
      <c r="AN6" s="374">
        <f>SUMIFS('Gantt Chart Update'!AU:AU,'Gantt Chart Update'!$B:$B,'New summary'!$B6,'Gantt Chart Update'!$C:$C,'New summary'!$C6)</f>
        <v>0</v>
      </c>
      <c r="AO6" s="374">
        <f>SUMIFS('Gantt Chart Update'!AV:AV,'Gantt Chart Update'!$B:$B,'New summary'!$B6,'Gantt Chart Update'!$C:$C,'New summary'!$C6)</f>
        <v>0</v>
      </c>
      <c r="AP6" s="374">
        <f>SUMIFS('Gantt Chart Update'!AW:AW,'Gantt Chart Update'!$B:$B,'New summary'!$B6,'Gantt Chart Update'!$C:$C,'New summary'!$C6)</f>
        <v>600</v>
      </c>
      <c r="AQ6" s="374">
        <f>SUMIFS('Gantt Chart Update'!AX:AX,'Gantt Chart Update'!$B:$B,'New summary'!$B6,'Gantt Chart Update'!$C:$C,'New summary'!$C6)</f>
        <v>0</v>
      </c>
      <c r="AR6" s="374">
        <f>SUMIFS('Gantt Chart Update'!AY:AY,'Gantt Chart Update'!$B:$B,'New summary'!$B6,'Gantt Chart Update'!$C:$C,'New summary'!$C6)</f>
        <v>0</v>
      </c>
      <c r="AS6" s="374">
        <f>SUMIFS('Gantt Chart Update'!AZ:AZ,'Gantt Chart Update'!$B:$B,'New summary'!$B6,'Gantt Chart Update'!$C:$C,'New summary'!$C6)</f>
        <v>0</v>
      </c>
      <c r="AT6" s="374">
        <f>SUMIFS('Gantt Chart Update'!BA:BA,'Gantt Chart Update'!$B:$B,'New summary'!$B6,'Gantt Chart Update'!$C:$C,'New summary'!$C6)</f>
        <v>1286</v>
      </c>
      <c r="AU6" s="374">
        <f>SUMIFS('Gantt Chart Update'!BB:BB,'Gantt Chart Update'!$B:$B,'New summary'!$B6,'Gantt Chart Update'!$C:$C,'New summary'!$C6)</f>
        <v>0</v>
      </c>
      <c r="AV6" s="374">
        <f>SUMIFS('Gantt Chart Update'!BC:BC,'Gantt Chart Update'!$B:$B,'New summary'!$B6,'Gantt Chart Update'!$C:$C,'New summary'!$C6)</f>
        <v>0</v>
      </c>
      <c r="AW6" s="374">
        <f>SUMIFS('Gantt Chart Update'!BD:BD,'Gantt Chart Update'!$B:$B,'New summary'!$B6,'Gantt Chart Update'!$C:$C,'New summary'!$C6)</f>
        <v>1749</v>
      </c>
      <c r="AX6" s="374">
        <f>SUMIFS('Gantt Chart Update'!BE:BE,'Gantt Chart Update'!$B:$B,'New summary'!$B6,'Gantt Chart Update'!$C:$C,'New summary'!$C6)</f>
        <v>0</v>
      </c>
      <c r="AY6" s="374">
        <f>SUMIFS('Gantt Chart Update'!BF:BF,'Gantt Chart Update'!$B:$B,'New summary'!$B6,'Gantt Chart Update'!$C:$C,'New summary'!$C6)</f>
        <v>0</v>
      </c>
      <c r="AZ6" s="374">
        <f>SUMIFS('Gantt Chart Update'!BG:BG,'Gantt Chart Update'!$B:$B,'New summary'!$B6,'Gantt Chart Update'!$C:$C,'New summary'!$C6)</f>
        <v>450</v>
      </c>
      <c r="BA6" s="374">
        <f>SUMIFS('Gantt Chart Update'!BH:BH,'Gantt Chart Update'!$B:$B,'New summary'!$B6,'Gantt Chart Update'!$C:$C,'New summary'!$C6)</f>
        <v>2039</v>
      </c>
      <c r="BB6" s="374">
        <f>SUMIFS('Gantt Chart Update'!BI:BI,'Gantt Chart Update'!$B:$B,'New summary'!$B6,'Gantt Chart Update'!$C:$C,'New summary'!$C6)</f>
        <v>0</v>
      </c>
      <c r="BC6" s="374">
        <f>SUMIFS('Gantt Chart Update'!BJ:BJ,'Gantt Chart Update'!$B:$B,'New summary'!$B6,'Gantt Chart Update'!$C:$C,'New summary'!$C6)</f>
        <v>0</v>
      </c>
      <c r="BD6" s="374">
        <f>SUMIFS('Gantt Chart Update'!BK:BK,'Gantt Chart Update'!$B:$B,'New summary'!$B6,'Gantt Chart Update'!$C:$C,'New summary'!$C6)</f>
        <v>0</v>
      </c>
      <c r="BE6" s="374">
        <f>SUMIFS('Gantt Chart Update'!BL:BL,'Gantt Chart Update'!$B:$B,'New summary'!$B6,'Gantt Chart Update'!$C:$C,'New summary'!$C6)</f>
        <v>1995</v>
      </c>
      <c r="BF6" s="374">
        <f>SUMIFS('Gantt Chart Update'!BM:BM,'Gantt Chart Update'!$B:$B,'New summary'!$B6,'Gantt Chart Update'!$C:$C,'New summary'!$C6)</f>
        <v>0</v>
      </c>
      <c r="BG6" s="374">
        <f>SUMIFS('Gantt Chart Update'!BN:BN,'Gantt Chart Update'!$B:$B,'New summary'!$B6,'Gantt Chart Update'!$C:$C,'New summary'!$C6)</f>
        <v>0</v>
      </c>
      <c r="BH6" s="374">
        <f>SUMIFS('Gantt Chart Update'!BO:BO,'Gantt Chart Update'!$B:$B,'New summary'!$B6,'Gantt Chart Update'!$C:$C,'New summary'!$C6)</f>
        <v>0</v>
      </c>
      <c r="BI6" s="374">
        <f>SUMIFS('Gantt Chart Update'!BP:BP,'Gantt Chart Update'!$B:$B,'New summary'!$B6,'Gantt Chart Update'!$C:$C,'New summary'!$C6)</f>
        <v>0</v>
      </c>
    </row>
    <row r="7" spans="2:61" x14ac:dyDescent="0.2">
      <c r="B7" s="873" t="s">
        <v>4</v>
      </c>
      <c r="C7" s="867" t="s">
        <v>144</v>
      </c>
      <c r="D7" s="530">
        <f t="shared" ref="D7:D25" si="0">SUM(J7:BI7)</f>
        <v>34409</v>
      </c>
      <c r="E7" s="870">
        <f>SUMIFS('Gantt Chart Update'!L:L,'Gantt Chart Update'!$B:$B,'New summary'!$B7,'Gantt Chart Update'!$C:$C,'New summary'!$C7)</f>
        <v>0</v>
      </c>
      <c r="F7" s="375">
        <f>SUMIFS('Gantt Chart Update'!M:M,'Gantt Chart Update'!$B:$B,'New summary'!$B7,'Gantt Chart Update'!$C:$C,'New summary'!$C7)</f>
        <v>0</v>
      </c>
      <c r="G7" s="375">
        <f>SUMIFS('Gantt Chart Update'!N:N,'Gantt Chart Update'!$B:$B,'New summary'!$B7,'Gantt Chart Update'!$C:$C,'New summary'!$C7)</f>
        <v>0</v>
      </c>
      <c r="H7" s="375">
        <f>SUMIFS('Gantt Chart Update'!O:O,'Gantt Chart Update'!$B:$B,'New summary'!$B7,'Gantt Chart Update'!$C:$C,'New summary'!$C7)</f>
        <v>1176</v>
      </c>
      <c r="I7" s="375">
        <f>SUMIFS('Gantt Chart Update'!P:P,'Gantt Chart Update'!$B:$B,'New summary'!$B7,'Gantt Chart Update'!$C:$C,'New summary'!$C7)</f>
        <v>1050</v>
      </c>
      <c r="J7" s="375">
        <f>SUMIFS('Gantt Chart Update'!Q:Q,'Gantt Chart Update'!$B:$B,'New summary'!$B7,'Gantt Chart Update'!$C:$C,'New summary'!$C7)</f>
        <v>1170</v>
      </c>
      <c r="K7" s="375">
        <f>SUMIFS('Gantt Chart Update'!R:R,'Gantt Chart Update'!$B:$B,'New summary'!$B7,'Gantt Chart Update'!$C:$C,'New summary'!$C7)</f>
        <v>36</v>
      </c>
      <c r="L7" s="375">
        <f>SUMIFS('Gantt Chart Update'!S:S,'Gantt Chart Update'!$B:$B,'New summary'!$B7,'Gantt Chart Update'!$C:$C,'New summary'!$C7)</f>
        <v>2537</v>
      </c>
      <c r="M7" s="375">
        <f>SUMIFS('Gantt Chart Update'!T:T,'Gantt Chart Update'!$B:$B,'New summary'!$B7,'Gantt Chart Update'!$C:$C,'New summary'!$C7)</f>
        <v>2750</v>
      </c>
      <c r="N7" s="375">
        <f>SUMIFS('Gantt Chart Update'!U:U,'Gantt Chart Update'!$B:$B,'New summary'!$B7,'Gantt Chart Update'!$C:$C,'New summary'!$C7)</f>
        <v>2150</v>
      </c>
      <c r="O7" s="375">
        <f>SUMIFS('Gantt Chart Update'!V:V,'Gantt Chart Update'!$B:$B,'New summary'!$B7,'Gantt Chart Update'!$C:$C,'New summary'!$C7)</f>
        <v>2425</v>
      </c>
      <c r="P7" s="375">
        <f>SUMIFS('Gantt Chart Update'!W:W,'Gantt Chart Update'!$B:$B,'New summary'!$B7,'Gantt Chart Update'!$C:$C,'New summary'!$C7)</f>
        <v>1490</v>
      </c>
      <c r="Q7" s="375">
        <f>SUMIFS('Gantt Chart Update'!X:X,'Gantt Chart Update'!$B:$B,'New summary'!$B7,'Gantt Chart Update'!$C:$C,'New summary'!$C7)</f>
        <v>0</v>
      </c>
      <c r="R7" s="375">
        <f>SUMIFS('Gantt Chart Update'!Y:Y,'Gantt Chart Update'!$B:$B,'New summary'!$B7,'Gantt Chart Update'!$C:$C,'New summary'!$C7)</f>
        <v>2676</v>
      </c>
      <c r="S7" s="375">
        <f>SUMIFS('Gantt Chart Update'!Z:Z,'Gantt Chart Update'!$B:$B,'New summary'!$B7,'Gantt Chart Update'!$C:$C,'New summary'!$C7)</f>
        <v>0</v>
      </c>
      <c r="T7" s="375">
        <f>SUMIFS('Gantt Chart Update'!AA:AA,'Gantt Chart Update'!$B:$B,'New summary'!$B7,'Gantt Chart Update'!$C:$C,'New summary'!$C7)</f>
        <v>0</v>
      </c>
      <c r="U7" s="375">
        <f>SUMIFS('Gantt Chart Update'!AB:AB,'Gantt Chart Update'!$B:$B,'New summary'!$B7,'Gantt Chart Update'!$C:$C,'New summary'!$C7)</f>
        <v>648</v>
      </c>
      <c r="V7" s="375">
        <f>SUMIFS('Gantt Chart Update'!AC:AC,'Gantt Chart Update'!$B:$B,'New summary'!$B7,'Gantt Chart Update'!$C:$C,'New summary'!$C7)</f>
        <v>0</v>
      </c>
      <c r="W7" s="375">
        <f>SUMIFS('Gantt Chart Update'!AD:AD,'Gantt Chart Update'!$B:$B,'New summary'!$B7,'Gantt Chart Update'!$C:$C,'New summary'!$C7)</f>
        <v>200</v>
      </c>
      <c r="X7" s="375">
        <f>SUMIFS('Gantt Chart Update'!AE:AE,'Gantt Chart Update'!$B:$B,'New summary'!$B7,'Gantt Chart Update'!$C:$C,'New summary'!$C7)</f>
        <v>484</v>
      </c>
      <c r="Y7" s="375">
        <f>SUMIFS('Gantt Chart Update'!AF:AF,'Gantt Chart Update'!$B:$B,'New summary'!$B7,'Gantt Chart Update'!$C:$C,'New summary'!$C7)</f>
        <v>0</v>
      </c>
      <c r="Z7" s="375">
        <f>SUMIFS('Gantt Chart Update'!AG:AG,'Gantt Chart Update'!$B:$B,'New summary'!$B7,'Gantt Chart Update'!$C:$C,'New summary'!$C7)</f>
        <v>0</v>
      </c>
      <c r="AA7" s="375">
        <f>SUMIFS('Gantt Chart Update'!AH:AH,'Gantt Chart Update'!$B:$B,'New summary'!$B7,'Gantt Chart Update'!$C:$C,'New summary'!$C7)</f>
        <v>0</v>
      </c>
      <c r="AB7" s="375">
        <f>SUMIFS('Gantt Chart Update'!AI:AI,'Gantt Chart Update'!$B:$B,'New summary'!$B7,'Gantt Chart Update'!$C:$C,'New summary'!$C7)</f>
        <v>0</v>
      </c>
      <c r="AC7" s="375">
        <f>SUMIFS('Gantt Chart Update'!AJ:AJ,'Gantt Chart Update'!$B:$B,'New summary'!$B7,'Gantt Chart Update'!$C:$C,'New summary'!$C7)</f>
        <v>0</v>
      </c>
      <c r="AD7" s="375">
        <f>SUMIFS('Gantt Chart Update'!AK:AK,'Gantt Chart Update'!$B:$B,'New summary'!$B7,'Gantt Chart Update'!$C:$C,'New summary'!$C7)</f>
        <v>0</v>
      </c>
      <c r="AE7" s="375">
        <f>SUMIFS('Gantt Chart Update'!AL:AL,'Gantt Chart Update'!$B:$B,'New summary'!$B7,'Gantt Chart Update'!$C:$C,'New summary'!$C7)</f>
        <v>600</v>
      </c>
      <c r="AF7" s="375">
        <f>SUMIFS('Gantt Chart Update'!AM:AM,'Gantt Chart Update'!$B:$B,'New summary'!$B7,'Gantt Chart Update'!$C:$C,'New summary'!$C7)</f>
        <v>0</v>
      </c>
      <c r="AG7" s="375">
        <f>SUMIFS('Gantt Chart Update'!AN:AN,'Gantt Chart Update'!$B:$B,'New summary'!$B7,'Gantt Chart Update'!$C:$C,'New summary'!$C7)</f>
        <v>0</v>
      </c>
      <c r="AH7" s="375">
        <f>SUMIFS('Gantt Chart Update'!AO:AO,'Gantt Chart Update'!$B:$B,'New summary'!$B7,'Gantt Chart Update'!$C:$C,'New summary'!$C7)</f>
        <v>0</v>
      </c>
      <c r="AI7" s="375">
        <f>SUMIFS('Gantt Chart Update'!AP:AP,'Gantt Chart Update'!$B:$B,'New summary'!$B7,'Gantt Chart Update'!$C:$C,'New summary'!$C7)</f>
        <v>0</v>
      </c>
      <c r="AJ7" s="375">
        <f>SUMIFS('Gantt Chart Update'!AQ:AQ,'Gantt Chart Update'!$B:$B,'New summary'!$B7,'Gantt Chart Update'!$C:$C,'New summary'!$C7)</f>
        <v>0</v>
      </c>
      <c r="AK7" s="375">
        <f>SUMIFS('Gantt Chart Update'!AR:AR,'Gantt Chart Update'!$B:$B,'New summary'!$B7,'Gantt Chart Update'!$C:$C,'New summary'!$C7)</f>
        <v>600</v>
      </c>
      <c r="AL7" s="375">
        <f>SUMIFS('Gantt Chart Update'!AS:AS,'Gantt Chart Update'!$B:$B,'New summary'!$B7,'Gantt Chart Update'!$C:$C,'New summary'!$C7)</f>
        <v>0</v>
      </c>
      <c r="AM7" s="375">
        <f>SUMIFS('Gantt Chart Update'!AT:AT,'Gantt Chart Update'!$B:$B,'New summary'!$B7,'Gantt Chart Update'!$C:$C,'New summary'!$C7)</f>
        <v>0</v>
      </c>
      <c r="AN7" s="375">
        <f>SUMIFS('Gantt Chart Update'!AU:AU,'Gantt Chart Update'!$B:$B,'New summary'!$B7,'Gantt Chart Update'!$C:$C,'New summary'!$C7)</f>
        <v>0</v>
      </c>
      <c r="AO7" s="375">
        <f>SUMIFS('Gantt Chart Update'!AV:AV,'Gantt Chart Update'!$B:$B,'New summary'!$B7,'Gantt Chart Update'!$C:$C,'New summary'!$C7)</f>
        <v>0</v>
      </c>
      <c r="AP7" s="375">
        <f>SUMIFS('Gantt Chart Update'!AW:AW,'Gantt Chart Update'!$B:$B,'New summary'!$B7,'Gantt Chart Update'!$C:$C,'New summary'!$C7)</f>
        <v>0</v>
      </c>
      <c r="AQ7" s="375">
        <f>SUMIFS('Gantt Chart Update'!AX:AX,'Gantt Chart Update'!$B:$B,'New summary'!$B7,'Gantt Chart Update'!$C:$C,'New summary'!$C7)</f>
        <v>0</v>
      </c>
      <c r="AR7" s="375">
        <f>SUMIFS('Gantt Chart Update'!AY:AY,'Gantt Chart Update'!$B:$B,'New summary'!$B7,'Gantt Chart Update'!$C:$C,'New summary'!$C7)</f>
        <v>0</v>
      </c>
      <c r="AS7" s="375">
        <f>SUMIFS('Gantt Chart Update'!AZ:AZ,'Gantt Chart Update'!$B:$B,'New summary'!$B7,'Gantt Chart Update'!$C:$C,'New summary'!$C7)</f>
        <v>3747</v>
      </c>
      <c r="AT7" s="375">
        <f>SUMIFS('Gantt Chart Update'!BA:BA,'Gantt Chart Update'!$B:$B,'New summary'!$B7,'Gantt Chart Update'!$C:$C,'New summary'!$C7)</f>
        <v>0</v>
      </c>
      <c r="AU7" s="375">
        <f>SUMIFS('Gantt Chart Update'!BB:BB,'Gantt Chart Update'!$B:$B,'New summary'!$B7,'Gantt Chart Update'!$C:$C,'New summary'!$C7)</f>
        <v>0</v>
      </c>
      <c r="AV7" s="375">
        <f>SUMIFS('Gantt Chart Update'!BC:BC,'Gantt Chart Update'!$B:$B,'New summary'!$B7,'Gantt Chart Update'!$C:$C,'New summary'!$C7)</f>
        <v>3500</v>
      </c>
      <c r="AW7" s="375">
        <f>SUMIFS('Gantt Chart Update'!BD:BD,'Gantt Chart Update'!$B:$B,'New summary'!$B7,'Gantt Chart Update'!$C:$C,'New summary'!$C7)</f>
        <v>670</v>
      </c>
      <c r="AX7" s="375">
        <f>SUMIFS('Gantt Chart Update'!BE:BE,'Gantt Chart Update'!$B:$B,'New summary'!$B7,'Gantt Chart Update'!$C:$C,'New summary'!$C7)</f>
        <v>0</v>
      </c>
      <c r="AY7" s="375">
        <f>SUMIFS('Gantt Chart Update'!BF:BF,'Gantt Chart Update'!$B:$B,'New summary'!$B7,'Gantt Chart Update'!$C:$C,'New summary'!$C7)</f>
        <v>400</v>
      </c>
      <c r="AZ7" s="375">
        <f>SUMIFS('Gantt Chart Update'!BG:BG,'Gantt Chart Update'!$B:$B,'New summary'!$B7,'Gantt Chart Update'!$C:$C,'New summary'!$C7)</f>
        <v>4537</v>
      </c>
      <c r="BA7" s="375">
        <f>SUMIFS('Gantt Chart Update'!BH:BH,'Gantt Chart Update'!$B:$B,'New summary'!$B7,'Gantt Chart Update'!$C:$C,'New summary'!$C7)</f>
        <v>0</v>
      </c>
      <c r="BB7" s="375">
        <f>SUMIFS('Gantt Chart Update'!BI:BI,'Gantt Chart Update'!$B:$B,'New summary'!$B7,'Gantt Chart Update'!$C:$C,'New summary'!$C7)</f>
        <v>0</v>
      </c>
      <c r="BC7" s="375">
        <f>SUMIFS('Gantt Chart Update'!BJ:BJ,'Gantt Chart Update'!$B:$B,'New summary'!$B7,'Gantt Chart Update'!$C:$C,'New summary'!$C7)</f>
        <v>0</v>
      </c>
      <c r="BD7" s="375">
        <f>SUMIFS('Gantt Chart Update'!BK:BK,'Gantt Chart Update'!$B:$B,'New summary'!$B7,'Gantt Chart Update'!$C:$C,'New summary'!$C7)</f>
        <v>1700</v>
      </c>
      <c r="BE7" s="375">
        <f>SUMIFS('Gantt Chart Update'!BL:BL,'Gantt Chart Update'!$B:$B,'New summary'!$B7,'Gantt Chart Update'!$C:$C,'New summary'!$C7)</f>
        <v>2089</v>
      </c>
      <c r="BF7" s="375">
        <f>SUMIFS('Gantt Chart Update'!BM:BM,'Gantt Chart Update'!$B:$B,'New summary'!$B7,'Gantt Chart Update'!$C:$C,'New summary'!$C7)</f>
        <v>0</v>
      </c>
      <c r="BG7" s="375">
        <f>SUMIFS('Gantt Chart Update'!BN:BN,'Gantt Chart Update'!$B:$B,'New summary'!$B7,'Gantt Chart Update'!$C:$C,'New summary'!$C7)</f>
        <v>0</v>
      </c>
      <c r="BH7" s="375">
        <f>SUMIFS('Gantt Chart Update'!BO:BO,'Gantt Chart Update'!$B:$B,'New summary'!$B7,'Gantt Chart Update'!$C:$C,'New summary'!$C7)</f>
        <v>0</v>
      </c>
      <c r="BI7" s="375">
        <f>SUMIFS('Gantt Chart Update'!BP:BP,'Gantt Chart Update'!$B:$B,'New summary'!$B7,'Gantt Chart Update'!$C:$C,'New summary'!$C7)</f>
        <v>0</v>
      </c>
    </row>
    <row r="8" spans="2:61" x14ac:dyDescent="0.2">
      <c r="B8" s="873" t="s">
        <v>4</v>
      </c>
      <c r="C8" s="867" t="s">
        <v>278</v>
      </c>
      <c r="D8" s="530">
        <f t="shared" si="0"/>
        <v>6223</v>
      </c>
      <c r="E8" s="870">
        <f>SUMIFS('Gantt Chart Update'!L:L,'Gantt Chart Update'!$B:$B,'New summary'!$B8,'Gantt Chart Update'!$C:$C,'New summary'!$C8)</f>
        <v>0</v>
      </c>
      <c r="F8" s="375">
        <f>SUMIFS('Gantt Chart Update'!M:M,'Gantt Chart Update'!$B:$B,'New summary'!$B8,'Gantt Chart Update'!$C:$C,'New summary'!$C8)</f>
        <v>0</v>
      </c>
      <c r="G8" s="375">
        <f>SUMIFS('Gantt Chart Update'!N:N,'Gantt Chart Update'!$B:$B,'New summary'!$B8,'Gantt Chart Update'!$C:$C,'New summary'!$C8)</f>
        <v>0</v>
      </c>
      <c r="H8" s="375">
        <f>SUMIFS('Gantt Chart Update'!O:O,'Gantt Chart Update'!$B:$B,'New summary'!$B8,'Gantt Chart Update'!$C:$C,'New summary'!$C8)</f>
        <v>0</v>
      </c>
      <c r="I8" s="375">
        <f>SUMIFS('Gantt Chart Update'!P:P,'Gantt Chart Update'!$B:$B,'New summary'!$B8,'Gantt Chart Update'!$C:$C,'New summary'!$C8)</f>
        <v>0</v>
      </c>
      <c r="J8" s="375">
        <f>SUMIFS('Gantt Chart Update'!Q:Q,'Gantt Chart Update'!$B:$B,'New summary'!$B8,'Gantt Chart Update'!$C:$C,'New summary'!$C8)</f>
        <v>0</v>
      </c>
      <c r="K8" s="375">
        <f>SUMIFS('Gantt Chart Update'!R:R,'Gantt Chart Update'!$B:$B,'New summary'!$B8,'Gantt Chart Update'!$C:$C,'New summary'!$C8)</f>
        <v>0</v>
      </c>
      <c r="L8" s="375">
        <f>SUMIFS('Gantt Chart Update'!S:S,'Gantt Chart Update'!$B:$B,'New summary'!$B8,'Gantt Chart Update'!$C:$C,'New summary'!$C8)</f>
        <v>0</v>
      </c>
      <c r="M8" s="375">
        <f>SUMIFS('Gantt Chart Update'!T:T,'Gantt Chart Update'!$B:$B,'New summary'!$B8,'Gantt Chart Update'!$C:$C,'New summary'!$C8)</f>
        <v>0</v>
      </c>
      <c r="N8" s="375">
        <f>SUMIFS('Gantt Chart Update'!U:U,'Gantt Chart Update'!$B:$B,'New summary'!$B8,'Gantt Chart Update'!$C:$C,'New summary'!$C8)</f>
        <v>0</v>
      </c>
      <c r="O8" s="375">
        <f>SUMIFS('Gantt Chart Update'!V:V,'Gantt Chart Update'!$B:$B,'New summary'!$B8,'Gantt Chart Update'!$C:$C,'New summary'!$C8)</f>
        <v>0</v>
      </c>
      <c r="P8" s="375">
        <f>SUMIFS('Gantt Chart Update'!W:W,'Gantt Chart Update'!$B:$B,'New summary'!$B8,'Gantt Chart Update'!$C:$C,'New summary'!$C8)</f>
        <v>0</v>
      </c>
      <c r="Q8" s="375">
        <f>SUMIFS('Gantt Chart Update'!X:X,'Gantt Chart Update'!$B:$B,'New summary'!$B8,'Gantt Chart Update'!$C:$C,'New summary'!$C8)</f>
        <v>0</v>
      </c>
      <c r="R8" s="375">
        <f>SUMIFS('Gantt Chart Update'!Y:Y,'Gantt Chart Update'!$B:$B,'New summary'!$B8,'Gantt Chart Update'!$C:$C,'New summary'!$C8)</f>
        <v>0</v>
      </c>
      <c r="S8" s="375">
        <f>SUMIFS('Gantt Chart Update'!Z:Z,'Gantt Chart Update'!$B:$B,'New summary'!$B8,'Gantt Chart Update'!$C:$C,'New summary'!$C8)</f>
        <v>0</v>
      </c>
      <c r="T8" s="375">
        <f>SUMIFS('Gantt Chart Update'!AA:AA,'Gantt Chart Update'!$B:$B,'New summary'!$B8,'Gantt Chart Update'!$C:$C,'New summary'!$C8)</f>
        <v>0</v>
      </c>
      <c r="U8" s="375">
        <f>SUMIFS('Gantt Chart Update'!AB:AB,'Gantt Chart Update'!$B:$B,'New summary'!$B8,'Gantt Chart Update'!$C:$C,'New summary'!$C8)</f>
        <v>930</v>
      </c>
      <c r="V8" s="375">
        <f>SUMIFS('Gantt Chart Update'!AC:AC,'Gantt Chart Update'!$B:$B,'New summary'!$B8,'Gantt Chart Update'!$C:$C,'New summary'!$C8)</f>
        <v>0</v>
      </c>
      <c r="W8" s="375">
        <f>SUMIFS('Gantt Chart Update'!AD:AD,'Gantt Chart Update'!$B:$B,'New summary'!$B8,'Gantt Chart Update'!$C:$C,'New summary'!$C8)</f>
        <v>0</v>
      </c>
      <c r="X8" s="375">
        <f>SUMIFS('Gantt Chart Update'!AE:AE,'Gantt Chart Update'!$B:$B,'New summary'!$B8,'Gantt Chart Update'!$C:$C,'New summary'!$C8)</f>
        <v>0</v>
      </c>
      <c r="Y8" s="375">
        <f>SUMIFS('Gantt Chart Update'!AF:AF,'Gantt Chart Update'!$B:$B,'New summary'!$B8,'Gantt Chart Update'!$C:$C,'New summary'!$C8)</f>
        <v>696</v>
      </c>
      <c r="Z8" s="375">
        <f>SUMIFS('Gantt Chart Update'!AG:AG,'Gantt Chart Update'!$B:$B,'New summary'!$B8,'Gantt Chart Update'!$C:$C,'New summary'!$C8)</f>
        <v>0</v>
      </c>
      <c r="AA8" s="375">
        <f>SUMIFS('Gantt Chart Update'!AH:AH,'Gantt Chart Update'!$B:$B,'New summary'!$B8,'Gantt Chart Update'!$C:$C,'New summary'!$C8)</f>
        <v>0</v>
      </c>
      <c r="AB8" s="375">
        <f>SUMIFS('Gantt Chart Update'!AI:AI,'Gantt Chart Update'!$B:$B,'New summary'!$B8,'Gantt Chart Update'!$C:$C,'New summary'!$C8)</f>
        <v>0</v>
      </c>
      <c r="AC8" s="375">
        <f>SUMIFS('Gantt Chart Update'!AJ:AJ,'Gantt Chart Update'!$B:$B,'New summary'!$B8,'Gantt Chart Update'!$C:$C,'New summary'!$C8)</f>
        <v>0</v>
      </c>
      <c r="AD8" s="375">
        <f>SUMIFS('Gantt Chart Update'!AK:AK,'Gantt Chart Update'!$B:$B,'New summary'!$B8,'Gantt Chart Update'!$C:$C,'New summary'!$C8)</f>
        <v>600</v>
      </c>
      <c r="AE8" s="375">
        <f>SUMIFS('Gantt Chart Update'!AL:AL,'Gantt Chart Update'!$B:$B,'New summary'!$B8,'Gantt Chart Update'!$C:$C,'New summary'!$C8)</f>
        <v>0</v>
      </c>
      <c r="AF8" s="375">
        <f>SUMIFS('Gantt Chart Update'!AM:AM,'Gantt Chart Update'!$B:$B,'New summary'!$B8,'Gantt Chart Update'!$C:$C,'New summary'!$C8)</f>
        <v>0</v>
      </c>
      <c r="AG8" s="375">
        <f>SUMIFS('Gantt Chart Update'!AN:AN,'Gantt Chart Update'!$B:$B,'New summary'!$B8,'Gantt Chart Update'!$C:$C,'New summary'!$C8)</f>
        <v>600</v>
      </c>
      <c r="AH8" s="375">
        <f>SUMIFS('Gantt Chart Update'!AO:AO,'Gantt Chart Update'!$B:$B,'New summary'!$B8,'Gantt Chart Update'!$C:$C,'New summary'!$C8)</f>
        <v>0</v>
      </c>
      <c r="AI8" s="375">
        <f>SUMIFS('Gantt Chart Update'!AP:AP,'Gantt Chart Update'!$B:$B,'New summary'!$B8,'Gantt Chart Update'!$C:$C,'New summary'!$C8)</f>
        <v>0</v>
      </c>
      <c r="AJ8" s="375">
        <f>SUMIFS('Gantt Chart Update'!AQ:AQ,'Gantt Chart Update'!$B:$B,'New summary'!$B8,'Gantt Chart Update'!$C:$C,'New summary'!$C8)</f>
        <v>0</v>
      </c>
      <c r="AK8" s="375">
        <f>SUMIFS('Gantt Chart Update'!AR:AR,'Gantt Chart Update'!$B:$B,'New summary'!$B8,'Gantt Chart Update'!$C:$C,'New summary'!$C8)</f>
        <v>600</v>
      </c>
      <c r="AL8" s="375">
        <f>SUMIFS('Gantt Chart Update'!AS:AS,'Gantt Chart Update'!$B:$B,'New summary'!$B8,'Gantt Chart Update'!$C:$C,'New summary'!$C8)</f>
        <v>0</v>
      </c>
      <c r="AM8" s="375">
        <f>SUMIFS('Gantt Chart Update'!AT:AT,'Gantt Chart Update'!$B:$B,'New summary'!$B8,'Gantt Chart Update'!$C:$C,'New summary'!$C8)</f>
        <v>0</v>
      </c>
      <c r="AN8" s="375">
        <f>SUMIFS('Gantt Chart Update'!AU:AU,'Gantt Chart Update'!$B:$B,'New summary'!$B8,'Gantt Chart Update'!$C:$C,'New summary'!$C8)</f>
        <v>0</v>
      </c>
      <c r="AO8" s="375">
        <f>SUMIFS('Gantt Chart Update'!AV:AV,'Gantt Chart Update'!$B:$B,'New summary'!$B8,'Gantt Chart Update'!$C:$C,'New summary'!$C8)</f>
        <v>0</v>
      </c>
      <c r="AP8" s="375">
        <f>SUMIFS('Gantt Chart Update'!AW:AW,'Gantt Chart Update'!$B:$B,'New summary'!$B8,'Gantt Chart Update'!$C:$C,'New summary'!$C8)</f>
        <v>600</v>
      </c>
      <c r="AQ8" s="375">
        <f>SUMIFS('Gantt Chart Update'!AX:AX,'Gantt Chart Update'!$B:$B,'New summary'!$B8,'Gantt Chart Update'!$C:$C,'New summary'!$C8)</f>
        <v>0</v>
      </c>
      <c r="AR8" s="375">
        <f>SUMIFS('Gantt Chart Update'!AY:AY,'Gantt Chart Update'!$B:$B,'New summary'!$B8,'Gantt Chart Update'!$C:$C,'New summary'!$C8)</f>
        <v>0</v>
      </c>
      <c r="AS8" s="375">
        <f>SUMIFS('Gantt Chart Update'!AZ:AZ,'Gantt Chart Update'!$B:$B,'New summary'!$B8,'Gantt Chart Update'!$C:$C,'New summary'!$C8)</f>
        <v>0</v>
      </c>
      <c r="AT8" s="375">
        <f>SUMIFS('Gantt Chart Update'!BA:BA,'Gantt Chart Update'!$B:$B,'New summary'!$B8,'Gantt Chart Update'!$C:$C,'New summary'!$C8)</f>
        <v>0</v>
      </c>
      <c r="AU8" s="375">
        <f>SUMIFS('Gantt Chart Update'!BB:BB,'Gantt Chart Update'!$B:$B,'New summary'!$B8,'Gantt Chart Update'!$C:$C,'New summary'!$C8)</f>
        <v>997</v>
      </c>
      <c r="AV8" s="375">
        <f>SUMIFS('Gantt Chart Update'!BC:BC,'Gantt Chart Update'!$B:$B,'New summary'!$B8,'Gantt Chart Update'!$C:$C,'New summary'!$C8)</f>
        <v>0</v>
      </c>
      <c r="AW8" s="375">
        <f>SUMIFS('Gantt Chart Update'!BD:BD,'Gantt Chart Update'!$B:$B,'New summary'!$B8,'Gantt Chart Update'!$C:$C,'New summary'!$C8)</f>
        <v>0</v>
      </c>
      <c r="AX8" s="375">
        <f>SUMIFS('Gantt Chart Update'!BE:BE,'Gantt Chart Update'!$B:$B,'New summary'!$B8,'Gantt Chart Update'!$C:$C,'New summary'!$C8)</f>
        <v>600</v>
      </c>
      <c r="AY8" s="375">
        <f>SUMIFS('Gantt Chart Update'!BF:BF,'Gantt Chart Update'!$B:$B,'New summary'!$B8,'Gantt Chart Update'!$C:$C,'New summary'!$C8)</f>
        <v>0</v>
      </c>
      <c r="AZ8" s="375">
        <f>SUMIFS('Gantt Chart Update'!BG:BG,'Gantt Chart Update'!$B:$B,'New summary'!$B8,'Gantt Chart Update'!$C:$C,'New summary'!$C8)</f>
        <v>0</v>
      </c>
      <c r="BA8" s="375">
        <f>SUMIFS('Gantt Chart Update'!BH:BH,'Gantt Chart Update'!$B:$B,'New summary'!$B8,'Gantt Chart Update'!$C:$C,'New summary'!$C8)</f>
        <v>0</v>
      </c>
      <c r="BB8" s="375">
        <f>SUMIFS('Gantt Chart Update'!BI:BI,'Gantt Chart Update'!$B:$B,'New summary'!$B8,'Gantt Chart Update'!$C:$C,'New summary'!$C8)</f>
        <v>0</v>
      </c>
      <c r="BC8" s="375">
        <f>SUMIFS('Gantt Chart Update'!BJ:BJ,'Gantt Chart Update'!$B:$B,'New summary'!$B8,'Gantt Chart Update'!$C:$C,'New summary'!$C8)</f>
        <v>0</v>
      </c>
      <c r="BD8" s="375">
        <f>SUMIFS('Gantt Chart Update'!BK:BK,'Gantt Chart Update'!$B:$B,'New summary'!$B8,'Gantt Chart Update'!$C:$C,'New summary'!$C8)</f>
        <v>0</v>
      </c>
      <c r="BE8" s="375">
        <f>SUMIFS('Gantt Chart Update'!BL:BL,'Gantt Chart Update'!$B:$B,'New summary'!$B8,'Gantt Chart Update'!$C:$C,'New summary'!$C8)</f>
        <v>0</v>
      </c>
      <c r="BF8" s="375">
        <f>SUMIFS('Gantt Chart Update'!BM:BM,'Gantt Chart Update'!$B:$B,'New summary'!$B8,'Gantt Chart Update'!$C:$C,'New summary'!$C8)</f>
        <v>600</v>
      </c>
      <c r="BG8" s="375">
        <f>SUMIFS('Gantt Chart Update'!BN:BN,'Gantt Chart Update'!$B:$B,'New summary'!$B8,'Gantt Chart Update'!$C:$C,'New summary'!$C8)</f>
        <v>0</v>
      </c>
      <c r="BH8" s="375">
        <f>SUMIFS('Gantt Chart Update'!BO:BO,'Gantt Chart Update'!$B:$B,'New summary'!$B8,'Gantt Chart Update'!$C:$C,'New summary'!$C8)</f>
        <v>0</v>
      </c>
      <c r="BI8" s="375">
        <f>SUMIFS('Gantt Chart Update'!BP:BP,'Gantt Chart Update'!$B:$B,'New summary'!$B8,'Gantt Chart Update'!$C:$C,'New summary'!$C8)</f>
        <v>0</v>
      </c>
    </row>
    <row r="9" spans="2:61" x14ac:dyDescent="0.2">
      <c r="B9" s="873" t="s">
        <v>4</v>
      </c>
      <c r="C9" s="867" t="s">
        <v>807</v>
      </c>
      <c r="D9" s="530">
        <f t="shared" si="0"/>
        <v>8334</v>
      </c>
      <c r="E9" s="870">
        <f>SUMIFS('Gantt Chart Update'!L:L,'Gantt Chart Update'!$B:$B,'New summary'!$B9,'Gantt Chart Update'!$C:$C,'New summary'!$C9)</f>
        <v>0</v>
      </c>
      <c r="F9" s="375">
        <f>SUMIFS('Gantt Chart Update'!M:M,'Gantt Chart Update'!$B:$B,'New summary'!$B9,'Gantt Chart Update'!$C:$C,'New summary'!$C9)</f>
        <v>0</v>
      </c>
      <c r="G9" s="375">
        <f>SUMIFS('Gantt Chart Update'!N:N,'Gantt Chart Update'!$B:$B,'New summary'!$B9,'Gantt Chart Update'!$C:$C,'New summary'!$C9)</f>
        <v>0</v>
      </c>
      <c r="H9" s="375">
        <f>SUMIFS('Gantt Chart Update'!O:O,'Gantt Chart Update'!$B:$B,'New summary'!$B9,'Gantt Chart Update'!$C:$C,'New summary'!$C9)</f>
        <v>0</v>
      </c>
      <c r="I9" s="375">
        <f>SUMIFS('Gantt Chart Update'!P:P,'Gantt Chart Update'!$B:$B,'New summary'!$B9,'Gantt Chart Update'!$C:$C,'New summary'!$C9)</f>
        <v>0</v>
      </c>
      <c r="J9" s="375">
        <f>SUMIFS('Gantt Chart Update'!Q:Q,'Gantt Chart Update'!$B:$B,'New summary'!$B9,'Gantt Chart Update'!$C:$C,'New summary'!$C9)</f>
        <v>0</v>
      </c>
      <c r="K9" s="375">
        <f>SUMIFS('Gantt Chart Update'!R:R,'Gantt Chart Update'!$B:$B,'New summary'!$B9,'Gantt Chart Update'!$C:$C,'New summary'!$C9)</f>
        <v>0</v>
      </c>
      <c r="L9" s="375">
        <f>SUMIFS('Gantt Chart Update'!S:S,'Gantt Chart Update'!$B:$B,'New summary'!$B9,'Gantt Chart Update'!$C:$C,'New summary'!$C9)</f>
        <v>0</v>
      </c>
      <c r="M9" s="375">
        <f>SUMIFS('Gantt Chart Update'!T:T,'Gantt Chart Update'!$B:$B,'New summary'!$B9,'Gantt Chart Update'!$C:$C,'New summary'!$C9)</f>
        <v>0</v>
      </c>
      <c r="N9" s="375">
        <f>SUMIFS('Gantt Chart Update'!U:U,'Gantt Chart Update'!$B:$B,'New summary'!$B9,'Gantt Chart Update'!$C:$C,'New summary'!$C9)</f>
        <v>0</v>
      </c>
      <c r="O9" s="375">
        <f>SUMIFS('Gantt Chart Update'!V:V,'Gantt Chart Update'!$B:$B,'New summary'!$B9,'Gantt Chart Update'!$C:$C,'New summary'!$C9)</f>
        <v>0</v>
      </c>
      <c r="P9" s="375">
        <f>SUMIFS('Gantt Chart Update'!W:W,'Gantt Chart Update'!$B:$B,'New summary'!$B9,'Gantt Chart Update'!$C:$C,'New summary'!$C9)</f>
        <v>0</v>
      </c>
      <c r="Q9" s="375">
        <f>SUMIFS('Gantt Chart Update'!X:X,'Gantt Chart Update'!$B:$B,'New summary'!$B9,'Gantt Chart Update'!$C:$C,'New summary'!$C9)</f>
        <v>0</v>
      </c>
      <c r="R9" s="375">
        <f>SUMIFS('Gantt Chart Update'!Y:Y,'Gantt Chart Update'!$B:$B,'New summary'!$B9,'Gantt Chart Update'!$C:$C,'New summary'!$C9)</f>
        <v>0</v>
      </c>
      <c r="S9" s="375">
        <f>SUMIFS('Gantt Chart Update'!Z:Z,'Gantt Chart Update'!$B:$B,'New summary'!$B9,'Gantt Chart Update'!$C:$C,'New summary'!$C9)</f>
        <v>612</v>
      </c>
      <c r="T9" s="375">
        <f>SUMIFS('Gantt Chart Update'!AA:AA,'Gantt Chart Update'!$B:$B,'New summary'!$B9,'Gantt Chart Update'!$C:$C,'New summary'!$C9)</f>
        <v>642</v>
      </c>
      <c r="U9" s="375">
        <f>SUMIFS('Gantt Chart Update'!AB:AB,'Gantt Chart Update'!$B:$B,'New summary'!$B9,'Gantt Chart Update'!$C:$C,'New summary'!$C9)</f>
        <v>0</v>
      </c>
      <c r="V9" s="375">
        <f>SUMIFS('Gantt Chart Update'!AC:AC,'Gantt Chart Update'!$B:$B,'New summary'!$B9,'Gantt Chart Update'!$C:$C,'New summary'!$C9)</f>
        <v>0</v>
      </c>
      <c r="W9" s="375">
        <f>SUMIFS('Gantt Chart Update'!AD:AD,'Gantt Chart Update'!$B:$B,'New summary'!$B9,'Gantt Chart Update'!$C:$C,'New summary'!$C9)</f>
        <v>0</v>
      </c>
      <c r="X9" s="375">
        <f>SUMIFS('Gantt Chart Update'!AE:AE,'Gantt Chart Update'!$B:$B,'New summary'!$B9,'Gantt Chart Update'!$C:$C,'New summary'!$C9)</f>
        <v>684</v>
      </c>
      <c r="Y9" s="375">
        <f>SUMIFS('Gantt Chart Update'!AF:AF,'Gantt Chart Update'!$B:$B,'New summary'!$B9,'Gantt Chart Update'!$C:$C,'New summary'!$C9)</f>
        <v>0</v>
      </c>
      <c r="Z9" s="375">
        <f>SUMIFS('Gantt Chart Update'!AG:AG,'Gantt Chart Update'!$B:$B,'New summary'!$B9,'Gantt Chart Update'!$C:$C,'New summary'!$C9)</f>
        <v>0</v>
      </c>
      <c r="AA9" s="375">
        <f>SUMIFS('Gantt Chart Update'!AH:AH,'Gantt Chart Update'!$B:$B,'New summary'!$B9,'Gantt Chart Update'!$C:$C,'New summary'!$C9)</f>
        <v>0</v>
      </c>
      <c r="AB9" s="375">
        <f>SUMIFS('Gantt Chart Update'!AI:AI,'Gantt Chart Update'!$B:$B,'New summary'!$B9,'Gantt Chart Update'!$C:$C,'New summary'!$C9)</f>
        <v>0</v>
      </c>
      <c r="AC9" s="375">
        <f>SUMIFS('Gantt Chart Update'!AJ:AJ,'Gantt Chart Update'!$B:$B,'New summary'!$B9,'Gantt Chart Update'!$C:$C,'New summary'!$C9)</f>
        <v>0</v>
      </c>
      <c r="AD9" s="375">
        <f>SUMIFS('Gantt Chart Update'!AK:AK,'Gantt Chart Update'!$B:$B,'New summary'!$B9,'Gantt Chart Update'!$C:$C,'New summary'!$C9)</f>
        <v>0</v>
      </c>
      <c r="AE9" s="375">
        <f>SUMIFS('Gantt Chart Update'!AL:AL,'Gantt Chart Update'!$B:$B,'New summary'!$B9,'Gantt Chart Update'!$C:$C,'New summary'!$C9)</f>
        <v>0</v>
      </c>
      <c r="AF9" s="375">
        <f>SUMIFS('Gantt Chart Update'!AM:AM,'Gantt Chart Update'!$B:$B,'New summary'!$B9,'Gantt Chart Update'!$C:$C,'New summary'!$C9)</f>
        <v>600</v>
      </c>
      <c r="AG9" s="375">
        <f>SUMIFS('Gantt Chart Update'!AN:AN,'Gantt Chart Update'!$B:$B,'New summary'!$B9,'Gantt Chart Update'!$C:$C,'New summary'!$C9)</f>
        <v>0</v>
      </c>
      <c r="AH9" s="375">
        <f>SUMIFS('Gantt Chart Update'!AO:AO,'Gantt Chart Update'!$B:$B,'New summary'!$B9,'Gantt Chart Update'!$C:$C,'New summary'!$C9)</f>
        <v>0</v>
      </c>
      <c r="AI9" s="375">
        <f>SUMIFS('Gantt Chart Update'!AP:AP,'Gantt Chart Update'!$B:$B,'New summary'!$B9,'Gantt Chart Update'!$C:$C,'New summary'!$C9)</f>
        <v>0</v>
      </c>
      <c r="AJ9" s="375">
        <f>SUMIFS('Gantt Chart Update'!AQ:AQ,'Gantt Chart Update'!$B:$B,'New summary'!$B9,'Gantt Chart Update'!$C:$C,'New summary'!$C9)</f>
        <v>0</v>
      </c>
      <c r="AK9" s="375">
        <f>SUMIFS('Gantt Chart Update'!AR:AR,'Gantt Chart Update'!$B:$B,'New summary'!$B9,'Gantt Chart Update'!$C:$C,'New summary'!$C9)</f>
        <v>1200</v>
      </c>
      <c r="AL9" s="375">
        <f>SUMIFS('Gantt Chart Update'!AS:AS,'Gantt Chart Update'!$B:$B,'New summary'!$B9,'Gantt Chart Update'!$C:$C,'New summary'!$C9)</f>
        <v>0</v>
      </c>
      <c r="AM9" s="375">
        <f>SUMIFS('Gantt Chart Update'!AT:AT,'Gantt Chart Update'!$B:$B,'New summary'!$B9,'Gantt Chart Update'!$C:$C,'New summary'!$C9)</f>
        <v>0</v>
      </c>
      <c r="AN9" s="375">
        <f>SUMIFS('Gantt Chart Update'!AU:AU,'Gantt Chart Update'!$B:$B,'New summary'!$B9,'Gantt Chart Update'!$C:$C,'New summary'!$C9)</f>
        <v>0</v>
      </c>
      <c r="AO9" s="375">
        <f>SUMIFS('Gantt Chart Update'!AV:AV,'Gantt Chart Update'!$B:$B,'New summary'!$B9,'Gantt Chart Update'!$C:$C,'New summary'!$C9)</f>
        <v>0</v>
      </c>
      <c r="AP9" s="375">
        <f>SUMIFS('Gantt Chart Update'!AW:AW,'Gantt Chart Update'!$B:$B,'New summary'!$B9,'Gantt Chart Update'!$C:$C,'New summary'!$C9)</f>
        <v>996</v>
      </c>
      <c r="AQ9" s="375">
        <f>SUMIFS('Gantt Chart Update'!AX:AX,'Gantt Chart Update'!$B:$B,'New summary'!$B9,'Gantt Chart Update'!$C:$C,'New summary'!$C9)</f>
        <v>0</v>
      </c>
      <c r="AR9" s="375">
        <f>SUMIFS('Gantt Chart Update'!AY:AY,'Gantt Chart Update'!$B:$B,'New summary'!$B9,'Gantt Chart Update'!$C:$C,'New summary'!$C9)</f>
        <v>0</v>
      </c>
      <c r="AS9" s="375">
        <f>SUMIFS('Gantt Chart Update'!AZ:AZ,'Gantt Chart Update'!$B:$B,'New summary'!$B9,'Gantt Chart Update'!$C:$C,'New summary'!$C9)</f>
        <v>0</v>
      </c>
      <c r="AT9" s="375">
        <f>SUMIFS('Gantt Chart Update'!BA:BA,'Gantt Chart Update'!$B:$B,'New summary'!$B9,'Gantt Chart Update'!$C:$C,'New summary'!$C9)</f>
        <v>360</v>
      </c>
      <c r="AU9" s="375">
        <f>SUMIFS('Gantt Chart Update'!BB:BB,'Gantt Chart Update'!$B:$B,'New summary'!$B9,'Gantt Chart Update'!$C:$C,'New summary'!$C9)</f>
        <v>240</v>
      </c>
      <c r="AV9" s="375">
        <f>SUMIFS('Gantt Chart Update'!BC:BC,'Gantt Chart Update'!$B:$B,'New summary'!$B9,'Gantt Chart Update'!$C:$C,'New summary'!$C9)</f>
        <v>0</v>
      </c>
      <c r="AW9" s="375">
        <f>SUMIFS('Gantt Chart Update'!BD:BD,'Gantt Chart Update'!$B:$B,'New summary'!$B9,'Gantt Chart Update'!$C:$C,'New summary'!$C9)</f>
        <v>900</v>
      </c>
      <c r="AX9" s="375">
        <f>SUMIFS('Gantt Chart Update'!BE:BE,'Gantt Chart Update'!$B:$B,'New summary'!$B9,'Gantt Chart Update'!$C:$C,'New summary'!$C9)</f>
        <v>0</v>
      </c>
      <c r="AY9" s="375">
        <f>SUMIFS('Gantt Chart Update'!BF:BF,'Gantt Chart Update'!$B:$B,'New summary'!$B9,'Gantt Chart Update'!$C:$C,'New summary'!$C9)</f>
        <v>0</v>
      </c>
      <c r="AZ9" s="375">
        <f>SUMIFS('Gantt Chart Update'!BG:BG,'Gantt Chart Update'!$B:$B,'New summary'!$B9,'Gantt Chart Update'!$C:$C,'New summary'!$C9)</f>
        <v>0</v>
      </c>
      <c r="BA9" s="375">
        <f>SUMIFS('Gantt Chart Update'!BH:BH,'Gantt Chart Update'!$B:$B,'New summary'!$B9,'Gantt Chart Update'!$C:$C,'New summary'!$C9)</f>
        <v>1000</v>
      </c>
      <c r="BB9" s="375">
        <f>SUMIFS('Gantt Chart Update'!BI:BI,'Gantt Chart Update'!$B:$B,'New summary'!$B9,'Gantt Chart Update'!$C:$C,'New summary'!$C9)</f>
        <v>0</v>
      </c>
      <c r="BC9" s="375">
        <f>SUMIFS('Gantt Chart Update'!BJ:BJ,'Gantt Chart Update'!$B:$B,'New summary'!$B9,'Gantt Chart Update'!$C:$C,'New summary'!$C9)</f>
        <v>0</v>
      </c>
      <c r="BD9" s="375">
        <f>SUMIFS('Gantt Chart Update'!BK:BK,'Gantt Chart Update'!$B:$B,'New summary'!$B9,'Gantt Chart Update'!$C:$C,'New summary'!$C9)</f>
        <v>0</v>
      </c>
      <c r="BE9" s="375">
        <f>SUMIFS('Gantt Chart Update'!BL:BL,'Gantt Chart Update'!$B:$B,'New summary'!$B9,'Gantt Chart Update'!$C:$C,'New summary'!$C9)</f>
        <v>800</v>
      </c>
      <c r="BF9" s="375">
        <f>SUMIFS('Gantt Chart Update'!BM:BM,'Gantt Chart Update'!$B:$B,'New summary'!$B9,'Gantt Chart Update'!$C:$C,'New summary'!$C9)</f>
        <v>300</v>
      </c>
      <c r="BG9" s="375">
        <f>SUMIFS('Gantt Chart Update'!BN:BN,'Gantt Chart Update'!$B:$B,'New summary'!$B9,'Gantt Chart Update'!$C:$C,'New summary'!$C9)</f>
        <v>0</v>
      </c>
      <c r="BH9" s="375">
        <f>SUMIFS('Gantt Chart Update'!BO:BO,'Gantt Chart Update'!$B:$B,'New summary'!$B9,'Gantt Chart Update'!$C:$C,'New summary'!$C9)</f>
        <v>0</v>
      </c>
      <c r="BI9" s="375">
        <f>SUMIFS('Gantt Chart Update'!BP:BP,'Gantt Chart Update'!$B:$B,'New summary'!$B9,'Gantt Chart Update'!$C:$C,'New summary'!$C9)</f>
        <v>0</v>
      </c>
    </row>
    <row r="10" spans="2:61" x14ac:dyDescent="0.2">
      <c r="B10" s="873" t="s">
        <v>4</v>
      </c>
      <c r="C10" s="867" t="s">
        <v>809</v>
      </c>
      <c r="D10" s="530">
        <f t="shared" si="0"/>
        <v>5131</v>
      </c>
      <c r="E10" s="870">
        <f>SUMIFS('Gantt Chart Update'!L:L,'Gantt Chart Update'!$B:$B,'New summary'!$B10,'Gantt Chart Update'!$C:$C,'New summary'!$C10)</f>
        <v>0</v>
      </c>
      <c r="F10" s="375">
        <f>SUMIFS('Gantt Chart Update'!M:M,'Gantt Chart Update'!$B:$B,'New summary'!$B10,'Gantt Chart Update'!$C:$C,'New summary'!$C10)</f>
        <v>0</v>
      </c>
      <c r="G10" s="375">
        <f>SUMIFS('Gantt Chart Update'!N:N,'Gantt Chart Update'!$B:$B,'New summary'!$B10,'Gantt Chart Update'!$C:$C,'New summary'!$C10)</f>
        <v>0</v>
      </c>
      <c r="H10" s="375">
        <f>SUMIFS('Gantt Chart Update'!O:O,'Gantt Chart Update'!$B:$B,'New summary'!$B10,'Gantt Chart Update'!$C:$C,'New summary'!$C10)</f>
        <v>0</v>
      </c>
      <c r="I10" s="375">
        <f>SUMIFS('Gantt Chart Update'!P:P,'Gantt Chart Update'!$B:$B,'New summary'!$B10,'Gantt Chart Update'!$C:$C,'New summary'!$C10)</f>
        <v>0</v>
      </c>
      <c r="J10" s="375">
        <f>SUMIFS('Gantt Chart Update'!Q:Q,'Gantt Chart Update'!$B:$B,'New summary'!$B10,'Gantt Chart Update'!$C:$C,'New summary'!$C10)</f>
        <v>0</v>
      </c>
      <c r="K10" s="375">
        <f>SUMIFS('Gantt Chart Update'!R:R,'Gantt Chart Update'!$B:$B,'New summary'!$B10,'Gantt Chart Update'!$C:$C,'New summary'!$C10)</f>
        <v>0</v>
      </c>
      <c r="L10" s="375">
        <f>SUMIFS('Gantt Chart Update'!S:S,'Gantt Chart Update'!$B:$B,'New summary'!$B10,'Gantt Chart Update'!$C:$C,'New summary'!$C10)</f>
        <v>0</v>
      </c>
      <c r="M10" s="375">
        <f>SUMIFS('Gantt Chart Update'!T:T,'Gantt Chart Update'!$B:$B,'New summary'!$B10,'Gantt Chart Update'!$C:$C,'New summary'!$C10)</f>
        <v>0</v>
      </c>
      <c r="N10" s="375">
        <f>SUMIFS('Gantt Chart Update'!U:U,'Gantt Chart Update'!$B:$B,'New summary'!$B10,'Gantt Chart Update'!$C:$C,'New summary'!$C10)</f>
        <v>0</v>
      </c>
      <c r="O10" s="375">
        <f>SUMIFS('Gantt Chart Update'!V:V,'Gantt Chart Update'!$B:$B,'New summary'!$B10,'Gantt Chart Update'!$C:$C,'New summary'!$C10)</f>
        <v>0</v>
      </c>
      <c r="P10" s="375">
        <f>SUMIFS('Gantt Chart Update'!W:W,'Gantt Chart Update'!$B:$B,'New summary'!$B10,'Gantt Chart Update'!$C:$C,'New summary'!$C10)</f>
        <v>0</v>
      </c>
      <c r="Q10" s="375">
        <f>SUMIFS('Gantt Chart Update'!X:X,'Gantt Chart Update'!$B:$B,'New summary'!$B10,'Gantt Chart Update'!$C:$C,'New summary'!$C10)</f>
        <v>0</v>
      </c>
      <c r="R10" s="375">
        <f>SUMIFS('Gantt Chart Update'!Y:Y,'Gantt Chart Update'!$B:$B,'New summary'!$B10,'Gantt Chart Update'!$C:$C,'New summary'!$C10)</f>
        <v>0</v>
      </c>
      <c r="S10" s="375">
        <f>SUMIFS('Gantt Chart Update'!Z:Z,'Gantt Chart Update'!$B:$B,'New summary'!$B10,'Gantt Chart Update'!$C:$C,'New summary'!$C10)</f>
        <v>606</v>
      </c>
      <c r="T10" s="375">
        <f>SUMIFS('Gantt Chart Update'!AA:AA,'Gantt Chart Update'!$B:$B,'New summary'!$B10,'Gantt Chart Update'!$C:$C,'New summary'!$C10)</f>
        <v>0</v>
      </c>
      <c r="U10" s="375">
        <f>SUMIFS('Gantt Chart Update'!AB:AB,'Gantt Chart Update'!$B:$B,'New summary'!$B10,'Gantt Chart Update'!$C:$C,'New summary'!$C10)</f>
        <v>654</v>
      </c>
      <c r="V10" s="375">
        <f>SUMIFS('Gantt Chart Update'!AC:AC,'Gantt Chart Update'!$B:$B,'New summary'!$B10,'Gantt Chart Update'!$C:$C,'New summary'!$C10)</f>
        <v>0</v>
      </c>
      <c r="W10" s="375">
        <f>SUMIFS('Gantt Chart Update'!AD:AD,'Gantt Chart Update'!$B:$B,'New summary'!$B10,'Gantt Chart Update'!$C:$C,'New summary'!$C10)</f>
        <v>0</v>
      </c>
      <c r="X10" s="375">
        <f>SUMIFS('Gantt Chart Update'!AE:AE,'Gantt Chart Update'!$B:$B,'New summary'!$B10,'Gantt Chart Update'!$C:$C,'New summary'!$C10)</f>
        <v>624</v>
      </c>
      <c r="Y10" s="375">
        <f>SUMIFS('Gantt Chart Update'!AF:AF,'Gantt Chart Update'!$B:$B,'New summary'!$B10,'Gantt Chart Update'!$C:$C,'New summary'!$C10)</f>
        <v>0</v>
      </c>
      <c r="Z10" s="375">
        <f>SUMIFS('Gantt Chart Update'!AG:AG,'Gantt Chart Update'!$B:$B,'New summary'!$B10,'Gantt Chart Update'!$C:$C,'New summary'!$C10)</f>
        <v>0</v>
      </c>
      <c r="AA10" s="375">
        <f>SUMIFS('Gantt Chart Update'!AH:AH,'Gantt Chart Update'!$B:$B,'New summary'!$B10,'Gantt Chart Update'!$C:$C,'New summary'!$C10)</f>
        <v>0</v>
      </c>
      <c r="AB10" s="375">
        <f>SUMIFS('Gantt Chart Update'!AI:AI,'Gantt Chart Update'!$B:$B,'New summary'!$B10,'Gantt Chart Update'!$C:$C,'New summary'!$C10)</f>
        <v>0</v>
      </c>
      <c r="AC10" s="375">
        <f>SUMIFS('Gantt Chart Update'!AJ:AJ,'Gantt Chart Update'!$B:$B,'New summary'!$B10,'Gantt Chart Update'!$C:$C,'New summary'!$C10)</f>
        <v>0</v>
      </c>
      <c r="AD10" s="375">
        <f>SUMIFS('Gantt Chart Update'!AK:AK,'Gantt Chart Update'!$B:$B,'New summary'!$B10,'Gantt Chart Update'!$C:$C,'New summary'!$C10)</f>
        <v>0</v>
      </c>
      <c r="AE10" s="375">
        <f>SUMIFS('Gantt Chart Update'!AL:AL,'Gantt Chart Update'!$B:$B,'New summary'!$B10,'Gantt Chart Update'!$C:$C,'New summary'!$C10)</f>
        <v>0</v>
      </c>
      <c r="AF10" s="375">
        <f>SUMIFS('Gantt Chart Update'!AM:AM,'Gantt Chart Update'!$B:$B,'New summary'!$B10,'Gantt Chart Update'!$C:$C,'New summary'!$C10)</f>
        <v>600</v>
      </c>
      <c r="AG10" s="375">
        <f>SUMIFS('Gantt Chart Update'!AN:AN,'Gantt Chart Update'!$B:$B,'New summary'!$B10,'Gantt Chart Update'!$C:$C,'New summary'!$C10)</f>
        <v>0</v>
      </c>
      <c r="AH10" s="375">
        <f>SUMIFS('Gantt Chart Update'!AO:AO,'Gantt Chart Update'!$B:$B,'New summary'!$B10,'Gantt Chart Update'!$C:$C,'New summary'!$C10)</f>
        <v>0</v>
      </c>
      <c r="AI10" s="375">
        <f>SUMIFS('Gantt Chart Update'!AP:AP,'Gantt Chart Update'!$B:$B,'New summary'!$B10,'Gantt Chart Update'!$C:$C,'New summary'!$C10)</f>
        <v>0</v>
      </c>
      <c r="AJ10" s="375">
        <f>SUMIFS('Gantt Chart Update'!AQ:AQ,'Gantt Chart Update'!$B:$B,'New summary'!$B10,'Gantt Chart Update'!$C:$C,'New summary'!$C10)</f>
        <v>0</v>
      </c>
      <c r="AK10" s="375">
        <f>SUMIFS('Gantt Chart Update'!AR:AR,'Gantt Chart Update'!$B:$B,'New summary'!$B10,'Gantt Chart Update'!$C:$C,'New summary'!$C10)</f>
        <v>0</v>
      </c>
      <c r="AL10" s="375">
        <f>SUMIFS('Gantt Chart Update'!AS:AS,'Gantt Chart Update'!$B:$B,'New summary'!$B10,'Gantt Chart Update'!$C:$C,'New summary'!$C10)</f>
        <v>0</v>
      </c>
      <c r="AM10" s="375">
        <f>SUMIFS('Gantt Chart Update'!AT:AT,'Gantt Chart Update'!$B:$B,'New summary'!$B10,'Gantt Chart Update'!$C:$C,'New summary'!$C10)</f>
        <v>0</v>
      </c>
      <c r="AN10" s="375">
        <f>SUMIFS('Gantt Chart Update'!AU:AU,'Gantt Chart Update'!$B:$B,'New summary'!$B10,'Gantt Chart Update'!$C:$C,'New summary'!$C10)</f>
        <v>0</v>
      </c>
      <c r="AO10" s="375">
        <f>SUMIFS('Gantt Chart Update'!AV:AV,'Gantt Chart Update'!$B:$B,'New summary'!$B10,'Gantt Chart Update'!$C:$C,'New summary'!$C10)</f>
        <v>600</v>
      </c>
      <c r="AP10" s="375">
        <f>SUMIFS('Gantt Chart Update'!AW:AW,'Gantt Chart Update'!$B:$B,'New summary'!$B10,'Gantt Chart Update'!$C:$C,'New summary'!$C10)</f>
        <v>0</v>
      </c>
      <c r="AQ10" s="375">
        <f>SUMIFS('Gantt Chart Update'!AX:AX,'Gantt Chart Update'!$B:$B,'New summary'!$B10,'Gantt Chart Update'!$C:$C,'New summary'!$C10)</f>
        <v>0</v>
      </c>
      <c r="AR10" s="375">
        <f>SUMIFS('Gantt Chart Update'!AY:AY,'Gantt Chart Update'!$B:$B,'New summary'!$B10,'Gantt Chart Update'!$C:$C,'New summary'!$C10)</f>
        <v>0</v>
      </c>
      <c r="AS10" s="375">
        <f>SUMIFS('Gantt Chart Update'!AZ:AZ,'Gantt Chart Update'!$B:$B,'New summary'!$B10,'Gantt Chart Update'!$C:$C,'New summary'!$C10)</f>
        <v>0</v>
      </c>
      <c r="AT10" s="375">
        <f>SUMIFS('Gantt Chart Update'!BA:BA,'Gantt Chart Update'!$B:$B,'New summary'!$B10,'Gantt Chart Update'!$C:$C,'New summary'!$C10)</f>
        <v>600</v>
      </c>
      <c r="AU10" s="375">
        <f>SUMIFS('Gantt Chart Update'!BB:BB,'Gantt Chart Update'!$B:$B,'New summary'!$B10,'Gantt Chart Update'!$C:$C,'New summary'!$C10)</f>
        <v>0</v>
      </c>
      <c r="AV10" s="375">
        <f>SUMIFS('Gantt Chart Update'!BC:BC,'Gantt Chart Update'!$B:$B,'New summary'!$B10,'Gantt Chart Update'!$C:$C,'New summary'!$C10)</f>
        <v>0</v>
      </c>
      <c r="AW10" s="375">
        <f>SUMIFS('Gantt Chart Update'!BD:BD,'Gantt Chart Update'!$B:$B,'New summary'!$B10,'Gantt Chart Update'!$C:$C,'New summary'!$C10)</f>
        <v>600</v>
      </c>
      <c r="AX10" s="375">
        <f>SUMIFS('Gantt Chart Update'!BE:BE,'Gantt Chart Update'!$B:$B,'New summary'!$B10,'Gantt Chart Update'!$C:$C,'New summary'!$C10)</f>
        <v>0</v>
      </c>
      <c r="AY10" s="375">
        <f>SUMIFS('Gantt Chart Update'!BF:BF,'Gantt Chart Update'!$B:$B,'New summary'!$B10,'Gantt Chart Update'!$C:$C,'New summary'!$C10)</f>
        <v>0</v>
      </c>
      <c r="AZ10" s="375">
        <f>SUMIFS('Gantt Chart Update'!BG:BG,'Gantt Chart Update'!$B:$B,'New summary'!$B10,'Gantt Chart Update'!$C:$C,'New summary'!$C10)</f>
        <v>0</v>
      </c>
      <c r="BA10" s="375">
        <f>SUMIFS('Gantt Chart Update'!BH:BH,'Gantt Chart Update'!$B:$B,'New summary'!$B10,'Gantt Chart Update'!$C:$C,'New summary'!$C10)</f>
        <v>847</v>
      </c>
      <c r="BB10" s="375">
        <f>SUMIFS('Gantt Chart Update'!BI:BI,'Gantt Chart Update'!$B:$B,'New summary'!$B10,'Gantt Chart Update'!$C:$C,'New summary'!$C10)</f>
        <v>0</v>
      </c>
      <c r="BC10" s="375">
        <f>SUMIFS('Gantt Chart Update'!BJ:BJ,'Gantt Chart Update'!$B:$B,'New summary'!$B10,'Gantt Chart Update'!$C:$C,'New summary'!$C10)</f>
        <v>0</v>
      </c>
      <c r="BD10" s="375">
        <f>SUMIFS('Gantt Chart Update'!BK:BK,'Gantt Chart Update'!$B:$B,'New summary'!$B10,'Gantt Chart Update'!$C:$C,'New summary'!$C10)</f>
        <v>0</v>
      </c>
      <c r="BE10" s="375">
        <f>SUMIFS('Gantt Chart Update'!BL:BL,'Gantt Chart Update'!$B:$B,'New summary'!$B10,'Gantt Chart Update'!$C:$C,'New summary'!$C10)</f>
        <v>0</v>
      </c>
      <c r="BF10" s="375">
        <f>SUMIFS('Gantt Chart Update'!BM:BM,'Gantt Chart Update'!$B:$B,'New summary'!$B10,'Gantt Chart Update'!$C:$C,'New summary'!$C10)</f>
        <v>0</v>
      </c>
      <c r="BG10" s="375">
        <f>SUMIFS('Gantt Chart Update'!BN:BN,'Gantt Chart Update'!$B:$B,'New summary'!$B10,'Gantt Chart Update'!$C:$C,'New summary'!$C10)</f>
        <v>0</v>
      </c>
      <c r="BH10" s="375">
        <f>SUMIFS('Gantt Chart Update'!BO:BO,'Gantt Chart Update'!$B:$B,'New summary'!$B10,'Gantt Chart Update'!$C:$C,'New summary'!$C10)</f>
        <v>0</v>
      </c>
      <c r="BI10" s="375">
        <f>SUMIFS('Gantt Chart Update'!BP:BP,'Gantt Chart Update'!$B:$B,'New summary'!$B10,'Gantt Chart Update'!$C:$C,'New summary'!$C10)</f>
        <v>0</v>
      </c>
    </row>
    <row r="11" spans="2:61" x14ac:dyDescent="0.2">
      <c r="B11" s="873" t="s">
        <v>4</v>
      </c>
      <c r="C11" s="867" t="s">
        <v>281</v>
      </c>
      <c r="D11" s="530">
        <f t="shared" si="0"/>
        <v>12028</v>
      </c>
      <c r="E11" s="870">
        <f>SUMIFS('Gantt Chart Update'!L:L,'Gantt Chart Update'!$B:$B,'New summary'!$B11,'Gantt Chart Update'!$C:$C,'New summary'!$C11)</f>
        <v>0</v>
      </c>
      <c r="F11" s="375">
        <f>SUMIFS('Gantt Chart Update'!M:M,'Gantt Chart Update'!$B:$B,'New summary'!$B11,'Gantt Chart Update'!$C:$C,'New summary'!$C11)</f>
        <v>0</v>
      </c>
      <c r="G11" s="375">
        <f>SUMIFS('Gantt Chart Update'!N:N,'Gantt Chart Update'!$B:$B,'New summary'!$B11,'Gantt Chart Update'!$C:$C,'New summary'!$C11)</f>
        <v>0</v>
      </c>
      <c r="H11" s="375">
        <f>SUMIFS('Gantt Chart Update'!O:O,'Gantt Chart Update'!$B:$B,'New summary'!$B11,'Gantt Chart Update'!$C:$C,'New summary'!$C11)</f>
        <v>0</v>
      </c>
      <c r="I11" s="375">
        <f>SUMIFS('Gantt Chart Update'!P:P,'Gantt Chart Update'!$B:$B,'New summary'!$B11,'Gantt Chart Update'!$C:$C,'New summary'!$C11)</f>
        <v>0</v>
      </c>
      <c r="J11" s="375">
        <f>SUMIFS('Gantt Chart Update'!Q:Q,'Gantt Chart Update'!$B:$B,'New summary'!$B11,'Gantt Chart Update'!$C:$C,'New summary'!$C11)</f>
        <v>0</v>
      </c>
      <c r="K11" s="375">
        <f>SUMIFS('Gantt Chart Update'!R:R,'Gantt Chart Update'!$B:$B,'New summary'!$B11,'Gantt Chart Update'!$C:$C,'New summary'!$C11)</f>
        <v>0</v>
      </c>
      <c r="L11" s="375">
        <f>SUMIFS('Gantt Chart Update'!S:S,'Gantt Chart Update'!$B:$B,'New summary'!$B11,'Gantt Chart Update'!$C:$C,'New summary'!$C11)</f>
        <v>0</v>
      </c>
      <c r="M11" s="375">
        <f>SUMIFS('Gantt Chart Update'!T:T,'Gantt Chart Update'!$B:$B,'New summary'!$B11,'Gantt Chart Update'!$C:$C,'New summary'!$C11)</f>
        <v>0</v>
      </c>
      <c r="N11" s="375">
        <f>SUMIFS('Gantt Chart Update'!U:U,'Gantt Chart Update'!$B:$B,'New summary'!$B11,'Gantt Chart Update'!$C:$C,'New summary'!$C11)</f>
        <v>0</v>
      </c>
      <c r="O11" s="375">
        <f>SUMIFS('Gantt Chart Update'!V:V,'Gantt Chart Update'!$B:$B,'New summary'!$B11,'Gantt Chart Update'!$C:$C,'New summary'!$C11)</f>
        <v>0</v>
      </c>
      <c r="P11" s="375">
        <f>SUMIFS('Gantt Chart Update'!W:W,'Gantt Chart Update'!$B:$B,'New summary'!$B11,'Gantt Chart Update'!$C:$C,'New summary'!$C11)</f>
        <v>0</v>
      </c>
      <c r="Q11" s="375">
        <f>SUMIFS('Gantt Chart Update'!X:X,'Gantt Chart Update'!$B:$B,'New summary'!$B11,'Gantt Chart Update'!$C:$C,'New summary'!$C11)</f>
        <v>0</v>
      </c>
      <c r="R11" s="375">
        <f>SUMIFS('Gantt Chart Update'!Y:Y,'Gantt Chart Update'!$B:$B,'New summary'!$B11,'Gantt Chart Update'!$C:$C,'New summary'!$C11)</f>
        <v>0</v>
      </c>
      <c r="S11" s="375">
        <f>SUMIFS('Gantt Chart Update'!Z:Z,'Gantt Chart Update'!$B:$B,'New summary'!$B11,'Gantt Chart Update'!$C:$C,'New summary'!$C11)</f>
        <v>600</v>
      </c>
      <c r="T11" s="375">
        <f>SUMIFS('Gantt Chart Update'!AA:AA,'Gantt Chart Update'!$B:$B,'New summary'!$B11,'Gantt Chart Update'!$C:$C,'New summary'!$C11)</f>
        <v>0</v>
      </c>
      <c r="U11" s="375">
        <f>SUMIFS('Gantt Chart Update'!AB:AB,'Gantt Chart Update'!$B:$B,'New summary'!$B11,'Gantt Chart Update'!$C:$C,'New summary'!$C11)</f>
        <v>0</v>
      </c>
      <c r="V11" s="375">
        <f>SUMIFS('Gantt Chart Update'!AC:AC,'Gantt Chart Update'!$B:$B,'New summary'!$B11,'Gantt Chart Update'!$C:$C,'New summary'!$C11)</f>
        <v>0</v>
      </c>
      <c r="W11" s="375">
        <f>SUMIFS('Gantt Chart Update'!AD:AD,'Gantt Chart Update'!$B:$B,'New summary'!$B11,'Gantt Chart Update'!$C:$C,'New summary'!$C11)</f>
        <v>2508</v>
      </c>
      <c r="X11" s="375">
        <f>SUMIFS('Gantt Chart Update'!AE:AE,'Gantt Chart Update'!$B:$B,'New summary'!$B11,'Gantt Chart Update'!$C:$C,'New summary'!$C11)</f>
        <v>240</v>
      </c>
      <c r="Y11" s="375">
        <f>SUMIFS('Gantt Chart Update'!AF:AF,'Gantt Chart Update'!$B:$B,'New summary'!$B11,'Gantt Chart Update'!$C:$C,'New summary'!$C11)</f>
        <v>600</v>
      </c>
      <c r="Z11" s="375">
        <f>SUMIFS('Gantt Chart Update'!AG:AG,'Gantt Chart Update'!$B:$B,'New summary'!$B11,'Gantt Chart Update'!$C:$C,'New summary'!$C11)</f>
        <v>1788</v>
      </c>
      <c r="AA11" s="375">
        <f>SUMIFS('Gantt Chart Update'!AH:AH,'Gantt Chart Update'!$B:$B,'New summary'!$B11,'Gantt Chart Update'!$C:$C,'New summary'!$C11)</f>
        <v>0</v>
      </c>
      <c r="AB11" s="375">
        <f>SUMIFS('Gantt Chart Update'!AI:AI,'Gantt Chart Update'!$B:$B,'New summary'!$B11,'Gantt Chart Update'!$C:$C,'New summary'!$C11)</f>
        <v>0</v>
      </c>
      <c r="AC11" s="375">
        <f>SUMIFS('Gantt Chart Update'!AJ:AJ,'Gantt Chart Update'!$B:$B,'New summary'!$B11,'Gantt Chart Update'!$C:$C,'New summary'!$C11)</f>
        <v>0</v>
      </c>
      <c r="AD11" s="375">
        <f>SUMIFS('Gantt Chart Update'!AK:AK,'Gantt Chart Update'!$B:$B,'New summary'!$B11,'Gantt Chart Update'!$C:$C,'New summary'!$C11)</f>
        <v>0</v>
      </c>
      <c r="AE11" s="375">
        <f>SUMIFS('Gantt Chart Update'!AL:AL,'Gantt Chart Update'!$B:$B,'New summary'!$B11,'Gantt Chart Update'!$C:$C,'New summary'!$C11)</f>
        <v>0</v>
      </c>
      <c r="AF11" s="375">
        <f>SUMIFS('Gantt Chart Update'!AM:AM,'Gantt Chart Update'!$B:$B,'New summary'!$B11,'Gantt Chart Update'!$C:$C,'New summary'!$C11)</f>
        <v>0</v>
      </c>
      <c r="AG11" s="375">
        <f>SUMIFS('Gantt Chart Update'!AN:AN,'Gantt Chart Update'!$B:$B,'New summary'!$B11,'Gantt Chart Update'!$C:$C,'New summary'!$C11)</f>
        <v>600</v>
      </c>
      <c r="AH11" s="375">
        <f>SUMIFS('Gantt Chart Update'!AO:AO,'Gantt Chart Update'!$B:$B,'New summary'!$B11,'Gantt Chart Update'!$C:$C,'New summary'!$C11)</f>
        <v>0</v>
      </c>
      <c r="AI11" s="375">
        <f>SUMIFS('Gantt Chart Update'!AP:AP,'Gantt Chart Update'!$B:$B,'New summary'!$B11,'Gantt Chart Update'!$C:$C,'New summary'!$C11)</f>
        <v>0</v>
      </c>
      <c r="AJ11" s="375">
        <f>SUMIFS('Gantt Chart Update'!AQ:AQ,'Gantt Chart Update'!$B:$B,'New summary'!$B11,'Gantt Chart Update'!$C:$C,'New summary'!$C11)</f>
        <v>600</v>
      </c>
      <c r="AK11" s="375">
        <f>SUMIFS('Gantt Chart Update'!AR:AR,'Gantt Chart Update'!$B:$B,'New summary'!$B11,'Gantt Chart Update'!$C:$C,'New summary'!$C11)</f>
        <v>0</v>
      </c>
      <c r="AL11" s="375">
        <f>SUMIFS('Gantt Chart Update'!AS:AS,'Gantt Chart Update'!$B:$B,'New summary'!$B11,'Gantt Chart Update'!$C:$C,'New summary'!$C11)</f>
        <v>0</v>
      </c>
      <c r="AM11" s="375">
        <f>SUMIFS('Gantt Chart Update'!AT:AT,'Gantt Chart Update'!$B:$B,'New summary'!$B11,'Gantt Chart Update'!$C:$C,'New summary'!$C11)</f>
        <v>0</v>
      </c>
      <c r="AN11" s="375">
        <f>SUMIFS('Gantt Chart Update'!AU:AU,'Gantt Chart Update'!$B:$B,'New summary'!$B11,'Gantt Chart Update'!$C:$C,'New summary'!$C11)</f>
        <v>0</v>
      </c>
      <c r="AO11" s="375">
        <f>SUMIFS('Gantt Chart Update'!AV:AV,'Gantt Chart Update'!$B:$B,'New summary'!$B11,'Gantt Chart Update'!$C:$C,'New summary'!$C11)</f>
        <v>0</v>
      </c>
      <c r="AP11" s="375">
        <f>SUMIFS('Gantt Chart Update'!AW:AW,'Gantt Chart Update'!$B:$B,'New summary'!$B11,'Gantt Chart Update'!$C:$C,'New summary'!$C11)</f>
        <v>0</v>
      </c>
      <c r="AQ11" s="375">
        <f>SUMIFS('Gantt Chart Update'!AX:AX,'Gantt Chart Update'!$B:$B,'New summary'!$B11,'Gantt Chart Update'!$C:$C,'New summary'!$C11)</f>
        <v>600</v>
      </c>
      <c r="AR11" s="375">
        <f>SUMIFS('Gantt Chart Update'!AY:AY,'Gantt Chart Update'!$B:$B,'New summary'!$B11,'Gantt Chart Update'!$C:$C,'New summary'!$C11)</f>
        <v>0</v>
      </c>
      <c r="AS11" s="375">
        <f>SUMIFS('Gantt Chart Update'!AZ:AZ,'Gantt Chart Update'!$B:$B,'New summary'!$B11,'Gantt Chart Update'!$C:$C,'New summary'!$C11)</f>
        <v>0</v>
      </c>
      <c r="AT11" s="375">
        <f>SUMIFS('Gantt Chart Update'!BA:BA,'Gantt Chart Update'!$B:$B,'New summary'!$B11,'Gantt Chart Update'!$C:$C,'New summary'!$C11)</f>
        <v>600</v>
      </c>
      <c r="AU11" s="375">
        <f>SUMIFS('Gantt Chart Update'!BB:BB,'Gantt Chart Update'!$B:$B,'New summary'!$B11,'Gantt Chart Update'!$C:$C,'New summary'!$C11)</f>
        <v>0</v>
      </c>
      <c r="AV11" s="375">
        <f>SUMIFS('Gantt Chart Update'!BC:BC,'Gantt Chart Update'!$B:$B,'New summary'!$B11,'Gantt Chart Update'!$C:$C,'New summary'!$C11)</f>
        <v>0</v>
      </c>
      <c r="AW11" s="375">
        <f>SUMIFS('Gantt Chart Update'!BD:BD,'Gantt Chart Update'!$B:$B,'New summary'!$B11,'Gantt Chart Update'!$C:$C,'New summary'!$C11)</f>
        <v>1084</v>
      </c>
      <c r="AX11" s="375">
        <f>SUMIFS('Gantt Chart Update'!BE:BE,'Gantt Chart Update'!$B:$B,'New summary'!$B11,'Gantt Chart Update'!$C:$C,'New summary'!$C11)</f>
        <v>0</v>
      </c>
      <c r="AY11" s="375">
        <f>SUMIFS('Gantt Chart Update'!BF:BF,'Gantt Chart Update'!$B:$B,'New summary'!$B11,'Gantt Chart Update'!$C:$C,'New summary'!$C11)</f>
        <v>0</v>
      </c>
      <c r="AZ11" s="375">
        <f>SUMIFS('Gantt Chart Update'!BG:BG,'Gantt Chart Update'!$B:$B,'New summary'!$B11,'Gantt Chart Update'!$C:$C,'New summary'!$C11)</f>
        <v>0</v>
      </c>
      <c r="BA11" s="375">
        <f>SUMIFS('Gantt Chart Update'!BH:BH,'Gantt Chart Update'!$B:$B,'New summary'!$B11,'Gantt Chart Update'!$C:$C,'New summary'!$C11)</f>
        <v>1100</v>
      </c>
      <c r="BB11" s="375">
        <f>SUMIFS('Gantt Chart Update'!BI:BI,'Gantt Chart Update'!$B:$B,'New summary'!$B11,'Gantt Chart Update'!$C:$C,'New summary'!$C11)</f>
        <v>476</v>
      </c>
      <c r="BC11" s="375">
        <f>SUMIFS('Gantt Chart Update'!BJ:BJ,'Gantt Chart Update'!$B:$B,'New summary'!$B11,'Gantt Chart Update'!$C:$C,'New summary'!$C11)</f>
        <v>0</v>
      </c>
      <c r="BD11" s="375">
        <f>SUMIFS('Gantt Chart Update'!BK:BK,'Gantt Chart Update'!$B:$B,'New summary'!$B11,'Gantt Chart Update'!$C:$C,'New summary'!$C11)</f>
        <v>0</v>
      </c>
      <c r="BE11" s="375">
        <f>SUMIFS('Gantt Chart Update'!BL:BL,'Gantt Chart Update'!$B:$B,'New summary'!$B11,'Gantt Chart Update'!$C:$C,'New summary'!$C11)</f>
        <v>0</v>
      </c>
      <c r="BF11" s="375">
        <f>SUMIFS('Gantt Chart Update'!BM:BM,'Gantt Chart Update'!$B:$B,'New summary'!$B11,'Gantt Chart Update'!$C:$C,'New summary'!$C11)</f>
        <v>1232</v>
      </c>
      <c r="BG11" s="375">
        <f>SUMIFS('Gantt Chart Update'!BN:BN,'Gantt Chart Update'!$B:$B,'New summary'!$B11,'Gantt Chart Update'!$C:$C,'New summary'!$C11)</f>
        <v>0</v>
      </c>
      <c r="BH11" s="375">
        <f>SUMIFS('Gantt Chart Update'!BO:BO,'Gantt Chart Update'!$B:$B,'New summary'!$B11,'Gantt Chart Update'!$C:$C,'New summary'!$C11)</f>
        <v>0</v>
      </c>
      <c r="BI11" s="375">
        <f>SUMIFS('Gantt Chart Update'!BP:BP,'Gantt Chart Update'!$B:$B,'New summary'!$B11,'Gantt Chart Update'!$C:$C,'New summary'!$C11)</f>
        <v>0</v>
      </c>
    </row>
    <row r="12" spans="2:61" x14ac:dyDescent="0.2">
      <c r="B12" s="873" t="s">
        <v>4</v>
      </c>
      <c r="C12" s="867" t="s">
        <v>287</v>
      </c>
      <c r="D12" s="530">
        <f t="shared" si="0"/>
        <v>7669</v>
      </c>
      <c r="E12" s="870">
        <f>SUMIFS('Gantt Chart Update'!L:L,'Gantt Chart Update'!$B:$B,'New summary'!$B12,'Gantt Chart Update'!$C:$C,'New summary'!$C12)</f>
        <v>0</v>
      </c>
      <c r="F12" s="375">
        <f>SUMIFS('Gantt Chart Update'!M:M,'Gantt Chart Update'!$B:$B,'New summary'!$B12,'Gantt Chart Update'!$C:$C,'New summary'!$C12)</f>
        <v>0</v>
      </c>
      <c r="G12" s="375">
        <f>SUMIFS('Gantt Chart Update'!N:N,'Gantt Chart Update'!$B:$B,'New summary'!$B12,'Gantt Chart Update'!$C:$C,'New summary'!$C12)</f>
        <v>0</v>
      </c>
      <c r="H12" s="375">
        <f>SUMIFS('Gantt Chart Update'!O:O,'Gantt Chart Update'!$B:$B,'New summary'!$B12,'Gantt Chart Update'!$C:$C,'New summary'!$C12)</f>
        <v>0</v>
      </c>
      <c r="I12" s="375">
        <f>SUMIFS('Gantt Chart Update'!P:P,'Gantt Chart Update'!$B:$B,'New summary'!$B12,'Gantt Chart Update'!$C:$C,'New summary'!$C12)</f>
        <v>0</v>
      </c>
      <c r="J12" s="375">
        <f>SUMIFS('Gantt Chart Update'!Q:Q,'Gantt Chart Update'!$B:$B,'New summary'!$B12,'Gantt Chart Update'!$C:$C,'New summary'!$C12)</f>
        <v>0</v>
      </c>
      <c r="K12" s="375">
        <f>SUMIFS('Gantt Chart Update'!R:R,'Gantt Chart Update'!$B:$B,'New summary'!$B12,'Gantt Chart Update'!$C:$C,'New summary'!$C12)</f>
        <v>0</v>
      </c>
      <c r="L12" s="375">
        <f>SUMIFS('Gantt Chart Update'!S:S,'Gantt Chart Update'!$B:$B,'New summary'!$B12,'Gantt Chart Update'!$C:$C,'New summary'!$C12)</f>
        <v>0</v>
      </c>
      <c r="M12" s="375">
        <f>SUMIFS('Gantt Chart Update'!T:T,'Gantt Chart Update'!$B:$B,'New summary'!$B12,'Gantt Chart Update'!$C:$C,'New summary'!$C12)</f>
        <v>0</v>
      </c>
      <c r="N12" s="375">
        <f>SUMIFS('Gantt Chart Update'!U:U,'Gantt Chart Update'!$B:$B,'New summary'!$B12,'Gantt Chart Update'!$C:$C,'New summary'!$C12)</f>
        <v>0</v>
      </c>
      <c r="O12" s="375">
        <f>SUMIFS('Gantt Chart Update'!V:V,'Gantt Chart Update'!$B:$B,'New summary'!$B12,'Gantt Chart Update'!$C:$C,'New summary'!$C12)</f>
        <v>0</v>
      </c>
      <c r="P12" s="375">
        <f>SUMIFS('Gantt Chart Update'!W:W,'Gantt Chart Update'!$B:$B,'New summary'!$B12,'Gantt Chart Update'!$C:$C,'New summary'!$C12)</f>
        <v>0</v>
      </c>
      <c r="Q12" s="375">
        <f>SUMIFS('Gantt Chart Update'!X:X,'Gantt Chart Update'!$B:$B,'New summary'!$B12,'Gantt Chart Update'!$C:$C,'New summary'!$C12)</f>
        <v>0</v>
      </c>
      <c r="R12" s="375">
        <f>SUMIFS('Gantt Chart Update'!Y:Y,'Gantt Chart Update'!$B:$B,'New summary'!$B12,'Gantt Chart Update'!$C:$C,'New summary'!$C12)</f>
        <v>0</v>
      </c>
      <c r="S12" s="375">
        <f>SUMIFS('Gantt Chart Update'!Z:Z,'Gantt Chart Update'!$B:$B,'New summary'!$B12,'Gantt Chart Update'!$C:$C,'New summary'!$C12)</f>
        <v>0</v>
      </c>
      <c r="T12" s="375">
        <f>SUMIFS('Gantt Chart Update'!AA:AA,'Gantt Chart Update'!$B:$B,'New summary'!$B12,'Gantt Chart Update'!$C:$C,'New summary'!$C12)</f>
        <v>0</v>
      </c>
      <c r="U12" s="375">
        <f>SUMIFS('Gantt Chart Update'!AB:AB,'Gantt Chart Update'!$B:$B,'New summary'!$B12,'Gantt Chart Update'!$C:$C,'New summary'!$C12)</f>
        <v>0</v>
      </c>
      <c r="V12" s="375">
        <f>SUMIFS('Gantt Chart Update'!AC:AC,'Gantt Chart Update'!$B:$B,'New summary'!$B12,'Gantt Chart Update'!$C:$C,'New summary'!$C12)</f>
        <v>0</v>
      </c>
      <c r="W12" s="375">
        <f>SUMIFS('Gantt Chart Update'!AD:AD,'Gantt Chart Update'!$B:$B,'New summary'!$B12,'Gantt Chart Update'!$C:$C,'New summary'!$C12)</f>
        <v>0</v>
      </c>
      <c r="X12" s="375">
        <f>SUMIFS('Gantt Chart Update'!AE:AE,'Gantt Chart Update'!$B:$B,'New summary'!$B12,'Gantt Chart Update'!$C:$C,'New summary'!$C12)</f>
        <v>0</v>
      </c>
      <c r="Y12" s="375">
        <f>SUMIFS('Gantt Chart Update'!AF:AF,'Gantt Chart Update'!$B:$B,'New summary'!$B12,'Gantt Chart Update'!$C:$C,'New summary'!$C12)</f>
        <v>0</v>
      </c>
      <c r="Z12" s="375">
        <f>SUMIFS('Gantt Chart Update'!AG:AG,'Gantt Chart Update'!$B:$B,'New summary'!$B12,'Gantt Chart Update'!$C:$C,'New summary'!$C12)</f>
        <v>0</v>
      </c>
      <c r="AA12" s="375">
        <f>SUMIFS('Gantt Chart Update'!AH:AH,'Gantt Chart Update'!$B:$B,'New summary'!$B12,'Gantt Chart Update'!$C:$C,'New summary'!$C12)</f>
        <v>0</v>
      </c>
      <c r="AB12" s="375">
        <f>SUMIFS('Gantt Chart Update'!AI:AI,'Gantt Chart Update'!$B:$B,'New summary'!$B12,'Gantt Chart Update'!$C:$C,'New summary'!$C12)</f>
        <v>0</v>
      </c>
      <c r="AC12" s="375">
        <f>SUMIFS('Gantt Chart Update'!AJ:AJ,'Gantt Chart Update'!$B:$B,'New summary'!$B12,'Gantt Chart Update'!$C:$C,'New summary'!$C12)</f>
        <v>1440</v>
      </c>
      <c r="AD12" s="375">
        <f>SUMIFS('Gantt Chart Update'!AK:AK,'Gantt Chart Update'!$B:$B,'New summary'!$B12,'Gantt Chart Update'!$C:$C,'New summary'!$C12)</f>
        <v>0</v>
      </c>
      <c r="AE12" s="375">
        <f>SUMIFS('Gantt Chart Update'!AL:AL,'Gantt Chart Update'!$B:$B,'New summary'!$B12,'Gantt Chart Update'!$C:$C,'New summary'!$C12)</f>
        <v>0</v>
      </c>
      <c r="AF12" s="375">
        <f>SUMIFS('Gantt Chart Update'!AM:AM,'Gantt Chart Update'!$B:$B,'New summary'!$B12,'Gantt Chart Update'!$C:$C,'New summary'!$C12)</f>
        <v>0</v>
      </c>
      <c r="AG12" s="375">
        <f>SUMIFS('Gantt Chart Update'!AN:AN,'Gantt Chart Update'!$B:$B,'New summary'!$B12,'Gantt Chart Update'!$C:$C,'New summary'!$C12)</f>
        <v>600</v>
      </c>
      <c r="AH12" s="375">
        <f>SUMIFS('Gantt Chart Update'!AO:AO,'Gantt Chart Update'!$B:$B,'New summary'!$B12,'Gantt Chart Update'!$C:$C,'New summary'!$C12)</f>
        <v>0</v>
      </c>
      <c r="AI12" s="375">
        <f>SUMIFS('Gantt Chart Update'!AP:AP,'Gantt Chart Update'!$B:$B,'New summary'!$B12,'Gantt Chart Update'!$C:$C,'New summary'!$C12)</f>
        <v>0</v>
      </c>
      <c r="AJ12" s="375">
        <f>SUMIFS('Gantt Chart Update'!AQ:AQ,'Gantt Chart Update'!$B:$B,'New summary'!$B12,'Gantt Chart Update'!$C:$C,'New summary'!$C12)</f>
        <v>600</v>
      </c>
      <c r="AK12" s="375">
        <f>SUMIFS('Gantt Chart Update'!AR:AR,'Gantt Chart Update'!$B:$B,'New summary'!$B12,'Gantt Chart Update'!$C:$C,'New summary'!$C12)</f>
        <v>0</v>
      </c>
      <c r="AL12" s="375">
        <f>SUMIFS('Gantt Chart Update'!AS:AS,'Gantt Chart Update'!$B:$B,'New summary'!$B12,'Gantt Chart Update'!$C:$C,'New summary'!$C12)</f>
        <v>0</v>
      </c>
      <c r="AM12" s="375">
        <f>SUMIFS('Gantt Chart Update'!AT:AT,'Gantt Chart Update'!$B:$B,'New summary'!$B12,'Gantt Chart Update'!$C:$C,'New summary'!$C12)</f>
        <v>0</v>
      </c>
      <c r="AN12" s="375">
        <f>SUMIFS('Gantt Chart Update'!AU:AU,'Gantt Chart Update'!$B:$B,'New summary'!$B12,'Gantt Chart Update'!$C:$C,'New summary'!$C12)</f>
        <v>0</v>
      </c>
      <c r="AO12" s="375">
        <f>SUMIFS('Gantt Chart Update'!AV:AV,'Gantt Chart Update'!$B:$B,'New summary'!$B12,'Gantt Chart Update'!$C:$C,'New summary'!$C12)</f>
        <v>0</v>
      </c>
      <c r="AP12" s="375">
        <f>SUMIFS('Gantt Chart Update'!AW:AW,'Gantt Chart Update'!$B:$B,'New summary'!$B12,'Gantt Chart Update'!$C:$C,'New summary'!$C12)</f>
        <v>650</v>
      </c>
      <c r="AQ12" s="375">
        <f>SUMIFS('Gantt Chart Update'!AX:AX,'Gantt Chart Update'!$B:$B,'New summary'!$B12,'Gantt Chart Update'!$C:$C,'New summary'!$C12)</f>
        <v>808</v>
      </c>
      <c r="AR12" s="375">
        <f>SUMIFS('Gantt Chart Update'!AY:AY,'Gantt Chart Update'!$B:$B,'New summary'!$B12,'Gantt Chart Update'!$C:$C,'New summary'!$C12)</f>
        <v>0</v>
      </c>
      <c r="AS12" s="375">
        <f>SUMIFS('Gantt Chart Update'!AZ:AZ,'Gantt Chart Update'!$B:$B,'New summary'!$B12,'Gantt Chart Update'!$C:$C,'New summary'!$C12)</f>
        <v>0</v>
      </c>
      <c r="AT12" s="375">
        <f>SUMIFS('Gantt Chart Update'!BA:BA,'Gantt Chart Update'!$B:$B,'New summary'!$B12,'Gantt Chart Update'!$C:$C,'New summary'!$C12)</f>
        <v>0</v>
      </c>
      <c r="AU12" s="375">
        <f>SUMIFS('Gantt Chart Update'!BB:BB,'Gantt Chart Update'!$B:$B,'New summary'!$B12,'Gantt Chart Update'!$C:$C,'New summary'!$C12)</f>
        <v>0</v>
      </c>
      <c r="AV12" s="375">
        <f>SUMIFS('Gantt Chart Update'!BC:BC,'Gantt Chart Update'!$B:$B,'New summary'!$B12,'Gantt Chart Update'!$C:$C,'New summary'!$C12)</f>
        <v>0</v>
      </c>
      <c r="AW12" s="375">
        <f>SUMIFS('Gantt Chart Update'!BD:BD,'Gantt Chart Update'!$B:$B,'New summary'!$B12,'Gantt Chart Update'!$C:$C,'New summary'!$C12)</f>
        <v>0</v>
      </c>
      <c r="AX12" s="375">
        <f>SUMIFS('Gantt Chart Update'!BE:BE,'Gantt Chart Update'!$B:$B,'New summary'!$B12,'Gantt Chart Update'!$C:$C,'New summary'!$C12)</f>
        <v>1026</v>
      </c>
      <c r="AY12" s="375">
        <f>SUMIFS('Gantt Chart Update'!BF:BF,'Gantt Chart Update'!$B:$B,'New summary'!$B12,'Gantt Chart Update'!$C:$C,'New summary'!$C12)</f>
        <v>0</v>
      </c>
      <c r="AZ12" s="375">
        <f>SUMIFS('Gantt Chart Update'!BG:BG,'Gantt Chart Update'!$B:$B,'New summary'!$B12,'Gantt Chart Update'!$C:$C,'New summary'!$C12)</f>
        <v>0</v>
      </c>
      <c r="BA12" s="375">
        <f>SUMIFS('Gantt Chart Update'!BH:BH,'Gantt Chart Update'!$B:$B,'New summary'!$B12,'Gantt Chart Update'!$C:$C,'New summary'!$C12)</f>
        <v>0</v>
      </c>
      <c r="BB12" s="375">
        <f>SUMIFS('Gantt Chart Update'!BI:BI,'Gantt Chart Update'!$B:$B,'New summary'!$B12,'Gantt Chart Update'!$C:$C,'New summary'!$C12)</f>
        <v>1447</v>
      </c>
      <c r="BC12" s="375">
        <f>SUMIFS('Gantt Chart Update'!BJ:BJ,'Gantt Chart Update'!$B:$B,'New summary'!$B12,'Gantt Chart Update'!$C:$C,'New summary'!$C12)</f>
        <v>0</v>
      </c>
      <c r="BD12" s="375">
        <f>SUMIFS('Gantt Chart Update'!BK:BK,'Gantt Chart Update'!$B:$B,'New summary'!$B12,'Gantt Chart Update'!$C:$C,'New summary'!$C12)</f>
        <v>0</v>
      </c>
      <c r="BE12" s="375">
        <f>SUMIFS('Gantt Chart Update'!BL:BL,'Gantt Chart Update'!$B:$B,'New summary'!$B12,'Gantt Chart Update'!$C:$C,'New summary'!$C12)</f>
        <v>0</v>
      </c>
      <c r="BF12" s="375">
        <f>SUMIFS('Gantt Chart Update'!BM:BM,'Gantt Chart Update'!$B:$B,'New summary'!$B12,'Gantt Chart Update'!$C:$C,'New summary'!$C12)</f>
        <v>1098</v>
      </c>
      <c r="BG12" s="375">
        <f>SUMIFS('Gantt Chart Update'!BN:BN,'Gantt Chart Update'!$B:$B,'New summary'!$B12,'Gantt Chart Update'!$C:$C,'New summary'!$C12)</f>
        <v>0</v>
      </c>
      <c r="BH12" s="375">
        <f>SUMIFS('Gantt Chart Update'!BO:BO,'Gantt Chart Update'!$B:$B,'New summary'!$B12,'Gantt Chart Update'!$C:$C,'New summary'!$C12)</f>
        <v>0</v>
      </c>
      <c r="BI12" s="375">
        <f>SUMIFS('Gantt Chart Update'!BP:BP,'Gantt Chart Update'!$B:$B,'New summary'!$B12,'Gantt Chart Update'!$C:$C,'New summary'!$C12)</f>
        <v>0</v>
      </c>
    </row>
    <row r="13" spans="2:61" x14ac:dyDescent="0.2">
      <c r="B13" s="873" t="s">
        <v>4</v>
      </c>
      <c r="C13" s="867" t="s">
        <v>285</v>
      </c>
      <c r="D13" s="530">
        <f t="shared" si="0"/>
        <v>11680</v>
      </c>
      <c r="E13" s="870">
        <f>SUMIFS('Gantt Chart Update'!L:L,'Gantt Chart Update'!$B:$B,'New summary'!$B13,'Gantt Chart Update'!$C:$C,'New summary'!$C13)</f>
        <v>0</v>
      </c>
      <c r="F13" s="375">
        <f>SUMIFS('Gantt Chart Update'!M:M,'Gantt Chart Update'!$B:$B,'New summary'!$B13,'Gantt Chart Update'!$C:$C,'New summary'!$C13)</f>
        <v>0</v>
      </c>
      <c r="G13" s="375">
        <f>SUMIFS('Gantt Chart Update'!N:N,'Gantt Chart Update'!$B:$B,'New summary'!$B13,'Gantt Chart Update'!$C:$C,'New summary'!$C13)</f>
        <v>0</v>
      </c>
      <c r="H13" s="375">
        <f>SUMIFS('Gantt Chart Update'!O:O,'Gantt Chart Update'!$B:$B,'New summary'!$B13,'Gantt Chart Update'!$C:$C,'New summary'!$C13)</f>
        <v>0</v>
      </c>
      <c r="I13" s="375">
        <f>SUMIFS('Gantt Chart Update'!P:P,'Gantt Chart Update'!$B:$B,'New summary'!$B13,'Gantt Chart Update'!$C:$C,'New summary'!$C13)</f>
        <v>0</v>
      </c>
      <c r="J13" s="375">
        <f>SUMIFS('Gantt Chart Update'!Q:Q,'Gantt Chart Update'!$B:$B,'New summary'!$B13,'Gantt Chart Update'!$C:$C,'New summary'!$C13)</f>
        <v>0</v>
      </c>
      <c r="K13" s="375">
        <f>SUMIFS('Gantt Chart Update'!R:R,'Gantt Chart Update'!$B:$B,'New summary'!$B13,'Gantt Chart Update'!$C:$C,'New summary'!$C13)</f>
        <v>0</v>
      </c>
      <c r="L13" s="375">
        <f>SUMIFS('Gantt Chart Update'!S:S,'Gantt Chart Update'!$B:$B,'New summary'!$B13,'Gantt Chart Update'!$C:$C,'New summary'!$C13)</f>
        <v>0</v>
      </c>
      <c r="M13" s="375">
        <f>SUMIFS('Gantt Chart Update'!T:T,'Gantt Chart Update'!$B:$B,'New summary'!$B13,'Gantt Chart Update'!$C:$C,'New summary'!$C13)</f>
        <v>0</v>
      </c>
      <c r="N13" s="375">
        <f>SUMIFS('Gantt Chart Update'!U:U,'Gantt Chart Update'!$B:$B,'New summary'!$B13,'Gantt Chart Update'!$C:$C,'New summary'!$C13)</f>
        <v>0</v>
      </c>
      <c r="O13" s="375">
        <f>SUMIFS('Gantt Chart Update'!V:V,'Gantt Chart Update'!$B:$B,'New summary'!$B13,'Gantt Chart Update'!$C:$C,'New summary'!$C13)</f>
        <v>0</v>
      </c>
      <c r="P13" s="375">
        <f>SUMIFS('Gantt Chart Update'!W:W,'Gantt Chart Update'!$B:$B,'New summary'!$B13,'Gantt Chart Update'!$C:$C,'New summary'!$C13)</f>
        <v>0</v>
      </c>
      <c r="Q13" s="375">
        <f>SUMIFS('Gantt Chart Update'!X:X,'Gantt Chart Update'!$B:$B,'New summary'!$B13,'Gantt Chart Update'!$C:$C,'New summary'!$C13)</f>
        <v>0</v>
      </c>
      <c r="R13" s="375">
        <f>SUMIFS('Gantt Chart Update'!Y:Y,'Gantt Chart Update'!$B:$B,'New summary'!$B13,'Gantt Chart Update'!$C:$C,'New summary'!$C13)</f>
        <v>0</v>
      </c>
      <c r="S13" s="375">
        <f>SUMIFS('Gantt Chart Update'!Z:Z,'Gantt Chart Update'!$B:$B,'New summary'!$B13,'Gantt Chart Update'!$C:$C,'New summary'!$C13)</f>
        <v>0</v>
      </c>
      <c r="T13" s="375">
        <f>SUMIFS('Gantt Chart Update'!AA:AA,'Gantt Chart Update'!$B:$B,'New summary'!$B13,'Gantt Chart Update'!$C:$C,'New summary'!$C13)</f>
        <v>0</v>
      </c>
      <c r="U13" s="375">
        <f>SUMIFS('Gantt Chart Update'!AB:AB,'Gantt Chart Update'!$B:$B,'New summary'!$B13,'Gantt Chart Update'!$C:$C,'New summary'!$C13)</f>
        <v>0</v>
      </c>
      <c r="V13" s="375">
        <f>SUMIFS('Gantt Chart Update'!AC:AC,'Gantt Chart Update'!$B:$B,'New summary'!$B13,'Gantt Chart Update'!$C:$C,'New summary'!$C13)</f>
        <v>0</v>
      </c>
      <c r="W13" s="375">
        <f>SUMIFS('Gantt Chart Update'!AD:AD,'Gantt Chart Update'!$B:$B,'New summary'!$B13,'Gantt Chart Update'!$C:$C,'New summary'!$C13)</f>
        <v>0</v>
      </c>
      <c r="X13" s="375">
        <f>SUMIFS('Gantt Chart Update'!AE:AE,'Gantt Chart Update'!$B:$B,'New summary'!$B13,'Gantt Chart Update'!$C:$C,'New summary'!$C13)</f>
        <v>0</v>
      </c>
      <c r="Y13" s="375">
        <f>SUMIFS('Gantt Chart Update'!AF:AF,'Gantt Chart Update'!$B:$B,'New summary'!$B13,'Gantt Chart Update'!$C:$C,'New summary'!$C13)</f>
        <v>0</v>
      </c>
      <c r="Z13" s="375">
        <f>SUMIFS('Gantt Chart Update'!AG:AG,'Gantt Chart Update'!$B:$B,'New summary'!$B13,'Gantt Chart Update'!$C:$C,'New summary'!$C13)</f>
        <v>0</v>
      </c>
      <c r="AA13" s="375">
        <f>SUMIFS('Gantt Chart Update'!AH:AH,'Gantt Chart Update'!$B:$B,'New summary'!$B13,'Gantt Chart Update'!$C:$C,'New summary'!$C13)</f>
        <v>0</v>
      </c>
      <c r="AB13" s="375">
        <f>SUMIFS('Gantt Chart Update'!AI:AI,'Gantt Chart Update'!$B:$B,'New summary'!$B13,'Gantt Chart Update'!$C:$C,'New summary'!$C13)</f>
        <v>0</v>
      </c>
      <c r="AC13" s="375">
        <f>SUMIFS('Gantt Chart Update'!AJ:AJ,'Gantt Chart Update'!$B:$B,'New summary'!$B13,'Gantt Chart Update'!$C:$C,'New summary'!$C13)</f>
        <v>0</v>
      </c>
      <c r="AD13" s="375">
        <f>SUMIFS('Gantt Chart Update'!AK:AK,'Gantt Chart Update'!$B:$B,'New summary'!$B13,'Gantt Chart Update'!$C:$C,'New summary'!$C13)</f>
        <v>1806</v>
      </c>
      <c r="AE13" s="375">
        <f>SUMIFS('Gantt Chart Update'!AL:AL,'Gantt Chart Update'!$B:$B,'New summary'!$B13,'Gantt Chart Update'!$C:$C,'New summary'!$C13)</f>
        <v>0</v>
      </c>
      <c r="AF13" s="375">
        <f>SUMIFS('Gantt Chart Update'!AM:AM,'Gantt Chart Update'!$B:$B,'New summary'!$B13,'Gantt Chart Update'!$C:$C,'New summary'!$C13)</f>
        <v>0</v>
      </c>
      <c r="AG13" s="375">
        <f>SUMIFS('Gantt Chart Update'!AN:AN,'Gantt Chart Update'!$B:$B,'New summary'!$B13,'Gantt Chart Update'!$C:$C,'New summary'!$C13)</f>
        <v>1800</v>
      </c>
      <c r="AH13" s="375">
        <f>SUMIFS('Gantt Chart Update'!AO:AO,'Gantt Chart Update'!$B:$B,'New summary'!$B13,'Gantt Chart Update'!$C:$C,'New summary'!$C13)</f>
        <v>0</v>
      </c>
      <c r="AI13" s="375">
        <f>SUMIFS('Gantt Chart Update'!AP:AP,'Gantt Chart Update'!$B:$B,'New summary'!$B13,'Gantt Chart Update'!$C:$C,'New summary'!$C13)</f>
        <v>0</v>
      </c>
      <c r="AJ13" s="375">
        <f>SUMIFS('Gantt Chart Update'!AQ:AQ,'Gantt Chart Update'!$B:$B,'New summary'!$B13,'Gantt Chart Update'!$C:$C,'New summary'!$C13)</f>
        <v>1800</v>
      </c>
      <c r="AK13" s="375">
        <f>SUMIFS('Gantt Chart Update'!AR:AR,'Gantt Chart Update'!$B:$B,'New summary'!$B13,'Gantt Chart Update'!$C:$C,'New summary'!$C13)</f>
        <v>0</v>
      </c>
      <c r="AL13" s="375">
        <f>SUMIFS('Gantt Chart Update'!AS:AS,'Gantt Chart Update'!$B:$B,'New summary'!$B13,'Gantt Chart Update'!$C:$C,'New summary'!$C13)</f>
        <v>0</v>
      </c>
      <c r="AM13" s="375">
        <f>SUMIFS('Gantt Chart Update'!AT:AT,'Gantt Chart Update'!$B:$B,'New summary'!$B13,'Gantt Chart Update'!$C:$C,'New summary'!$C13)</f>
        <v>0</v>
      </c>
      <c r="AN13" s="375">
        <f>SUMIFS('Gantt Chart Update'!AU:AU,'Gantt Chart Update'!$B:$B,'New summary'!$B13,'Gantt Chart Update'!$C:$C,'New summary'!$C13)</f>
        <v>0</v>
      </c>
      <c r="AO13" s="375">
        <f>SUMIFS('Gantt Chart Update'!AV:AV,'Gantt Chart Update'!$B:$B,'New summary'!$B13,'Gantt Chart Update'!$C:$C,'New summary'!$C13)</f>
        <v>0</v>
      </c>
      <c r="AP13" s="375">
        <f>SUMIFS('Gantt Chart Update'!AW:AW,'Gantt Chart Update'!$B:$B,'New summary'!$B13,'Gantt Chart Update'!$C:$C,'New summary'!$C13)</f>
        <v>0</v>
      </c>
      <c r="AQ13" s="375">
        <f>SUMIFS('Gantt Chart Update'!AX:AX,'Gantt Chart Update'!$B:$B,'New summary'!$B13,'Gantt Chart Update'!$C:$C,'New summary'!$C13)</f>
        <v>1662</v>
      </c>
      <c r="AR13" s="375">
        <f>SUMIFS('Gantt Chart Update'!AY:AY,'Gantt Chart Update'!$B:$B,'New summary'!$B13,'Gantt Chart Update'!$C:$C,'New summary'!$C13)</f>
        <v>0</v>
      </c>
      <c r="AS13" s="375">
        <f>SUMIFS('Gantt Chart Update'!AZ:AZ,'Gantt Chart Update'!$B:$B,'New summary'!$B13,'Gantt Chart Update'!$C:$C,'New summary'!$C13)</f>
        <v>0</v>
      </c>
      <c r="AT13" s="375">
        <f>SUMIFS('Gantt Chart Update'!BA:BA,'Gantt Chart Update'!$B:$B,'New summary'!$B13,'Gantt Chart Update'!$C:$C,'New summary'!$C13)</f>
        <v>0</v>
      </c>
      <c r="AU13" s="375">
        <f>SUMIFS('Gantt Chart Update'!BB:BB,'Gantt Chart Update'!$B:$B,'New summary'!$B13,'Gantt Chart Update'!$C:$C,'New summary'!$C13)</f>
        <v>0</v>
      </c>
      <c r="AV13" s="375">
        <f>SUMIFS('Gantt Chart Update'!BC:BC,'Gantt Chart Update'!$B:$B,'New summary'!$B13,'Gantt Chart Update'!$C:$C,'New summary'!$C13)</f>
        <v>0</v>
      </c>
      <c r="AW13" s="375">
        <f>SUMIFS('Gantt Chart Update'!BD:BD,'Gantt Chart Update'!$B:$B,'New summary'!$B13,'Gantt Chart Update'!$C:$C,'New summary'!$C13)</f>
        <v>0</v>
      </c>
      <c r="AX13" s="375">
        <f>SUMIFS('Gantt Chart Update'!BE:BE,'Gantt Chart Update'!$B:$B,'New summary'!$B13,'Gantt Chart Update'!$C:$C,'New summary'!$C13)</f>
        <v>1433</v>
      </c>
      <c r="AY13" s="375">
        <f>SUMIFS('Gantt Chart Update'!BF:BF,'Gantt Chart Update'!$B:$B,'New summary'!$B13,'Gantt Chart Update'!$C:$C,'New summary'!$C13)</f>
        <v>0</v>
      </c>
      <c r="AZ13" s="375">
        <f>SUMIFS('Gantt Chart Update'!BG:BG,'Gantt Chart Update'!$B:$B,'New summary'!$B13,'Gantt Chart Update'!$C:$C,'New summary'!$C13)</f>
        <v>0</v>
      </c>
      <c r="BA13" s="375">
        <f>SUMIFS('Gantt Chart Update'!BH:BH,'Gantt Chart Update'!$B:$B,'New summary'!$B13,'Gantt Chart Update'!$C:$C,'New summary'!$C13)</f>
        <v>0</v>
      </c>
      <c r="BB13" s="375">
        <f>SUMIFS('Gantt Chart Update'!BI:BI,'Gantt Chart Update'!$B:$B,'New summary'!$B13,'Gantt Chart Update'!$C:$C,'New summary'!$C13)</f>
        <v>1806</v>
      </c>
      <c r="BC13" s="375">
        <f>SUMIFS('Gantt Chart Update'!BJ:BJ,'Gantt Chart Update'!$B:$B,'New summary'!$B13,'Gantt Chart Update'!$C:$C,'New summary'!$C13)</f>
        <v>0</v>
      </c>
      <c r="BD13" s="375">
        <f>SUMIFS('Gantt Chart Update'!BK:BK,'Gantt Chart Update'!$B:$B,'New summary'!$B13,'Gantt Chart Update'!$C:$C,'New summary'!$C13)</f>
        <v>0</v>
      </c>
      <c r="BE13" s="375">
        <f>SUMIFS('Gantt Chart Update'!BL:BL,'Gantt Chart Update'!$B:$B,'New summary'!$B13,'Gantt Chart Update'!$C:$C,'New summary'!$C13)</f>
        <v>0</v>
      </c>
      <c r="BF13" s="375">
        <f>SUMIFS('Gantt Chart Update'!BM:BM,'Gantt Chart Update'!$B:$B,'New summary'!$B13,'Gantt Chart Update'!$C:$C,'New summary'!$C13)</f>
        <v>1373</v>
      </c>
      <c r="BG13" s="375">
        <f>SUMIFS('Gantt Chart Update'!BN:BN,'Gantt Chart Update'!$B:$B,'New summary'!$B13,'Gantt Chart Update'!$C:$C,'New summary'!$C13)</f>
        <v>0</v>
      </c>
      <c r="BH13" s="375">
        <f>SUMIFS('Gantt Chart Update'!BO:BO,'Gantt Chart Update'!$B:$B,'New summary'!$B13,'Gantt Chart Update'!$C:$C,'New summary'!$C13)</f>
        <v>0</v>
      </c>
      <c r="BI13" s="375">
        <f>SUMIFS('Gantt Chart Update'!BP:BP,'Gantt Chart Update'!$B:$B,'New summary'!$B13,'Gantt Chart Update'!$C:$C,'New summary'!$C13)</f>
        <v>0</v>
      </c>
    </row>
    <row r="14" spans="2:61" x14ac:dyDescent="0.2">
      <c r="B14" s="873" t="s">
        <v>8</v>
      </c>
      <c r="C14" s="867" t="s">
        <v>801</v>
      </c>
      <c r="D14" s="530">
        <f t="shared" si="0"/>
        <v>2550</v>
      </c>
      <c r="E14" s="870">
        <f>SUMIFS('Gantt Chart Update'!L:L,'Gantt Chart Update'!$B:$B,'New summary'!$B14,'Gantt Chart Update'!$C:$C,'New summary'!$C14)</f>
        <v>0</v>
      </c>
      <c r="F14" s="375">
        <f>SUMIFS('Gantt Chart Update'!M:M,'Gantt Chart Update'!$B:$B,'New summary'!$B14,'Gantt Chart Update'!$C:$C,'New summary'!$C14)</f>
        <v>0</v>
      </c>
      <c r="G14" s="375">
        <f>SUMIFS('Gantt Chart Update'!N:N,'Gantt Chart Update'!$B:$B,'New summary'!$B14,'Gantt Chart Update'!$C:$C,'New summary'!$C14)</f>
        <v>0</v>
      </c>
      <c r="H14" s="375">
        <f>SUMIFS('Gantt Chart Update'!O:O,'Gantt Chart Update'!$B:$B,'New summary'!$B14,'Gantt Chart Update'!$C:$C,'New summary'!$C14)</f>
        <v>0</v>
      </c>
      <c r="I14" s="375">
        <f>SUMIFS('Gantt Chart Update'!P:P,'Gantt Chart Update'!$B:$B,'New summary'!$B14,'Gantt Chart Update'!$C:$C,'New summary'!$C14)</f>
        <v>0</v>
      </c>
      <c r="J14" s="375">
        <f>SUMIFS('Gantt Chart Update'!Q:Q,'Gantt Chart Update'!$B:$B,'New summary'!$B14,'Gantt Chart Update'!$C:$C,'New summary'!$C14)</f>
        <v>0</v>
      </c>
      <c r="K14" s="375">
        <f>SUMIFS('Gantt Chart Update'!R:R,'Gantt Chart Update'!$B:$B,'New summary'!$B14,'Gantt Chart Update'!$C:$C,'New summary'!$C14)</f>
        <v>0</v>
      </c>
      <c r="L14" s="375">
        <f>SUMIFS('Gantt Chart Update'!S:S,'Gantt Chart Update'!$B:$B,'New summary'!$B14,'Gantt Chart Update'!$C:$C,'New summary'!$C14)</f>
        <v>0</v>
      </c>
      <c r="M14" s="375">
        <f>SUMIFS('Gantt Chart Update'!T:T,'Gantt Chart Update'!$B:$B,'New summary'!$B14,'Gantt Chart Update'!$C:$C,'New summary'!$C14)</f>
        <v>0</v>
      </c>
      <c r="N14" s="375">
        <f>SUMIFS('Gantt Chart Update'!U:U,'Gantt Chart Update'!$B:$B,'New summary'!$B14,'Gantt Chart Update'!$C:$C,'New summary'!$C14)</f>
        <v>0</v>
      </c>
      <c r="O14" s="375">
        <f>SUMIFS('Gantt Chart Update'!V:V,'Gantt Chart Update'!$B:$B,'New summary'!$B14,'Gantt Chart Update'!$C:$C,'New summary'!$C14)</f>
        <v>0</v>
      </c>
      <c r="P14" s="375">
        <f>SUMIFS('Gantt Chart Update'!W:W,'Gantt Chart Update'!$B:$B,'New summary'!$B14,'Gantt Chart Update'!$C:$C,'New summary'!$C14)</f>
        <v>0</v>
      </c>
      <c r="Q14" s="375">
        <f>SUMIFS('Gantt Chart Update'!X:X,'Gantt Chart Update'!$B:$B,'New summary'!$B14,'Gantt Chart Update'!$C:$C,'New summary'!$C14)</f>
        <v>0</v>
      </c>
      <c r="R14" s="375">
        <f>SUMIFS('Gantt Chart Update'!Y:Y,'Gantt Chart Update'!$B:$B,'New summary'!$B14,'Gantt Chart Update'!$C:$C,'New summary'!$C14)</f>
        <v>0</v>
      </c>
      <c r="S14" s="375">
        <f>SUMIFS('Gantt Chart Update'!Z:Z,'Gantt Chart Update'!$B:$B,'New summary'!$B14,'Gantt Chart Update'!$C:$C,'New summary'!$C14)</f>
        <v>0</v>
      </c>
      <c r="T14" s="375">
        <f>SUMIFS('Gantt Chart Update'!AA:AA,'Gantt Chart Update'!$B:$B,'New summary'!$B14,'Gantt Chart Update'!$C:$C,'New summary'!$C14)</f>
        <v>0</v>
      </c>
      <c r="U14" s="375">
        <f>SUMIFS('Gantt Chart Update'!AB:AB,'Gantt Chart Update'!$B:$B,'New summary'!$B14,'Gantt Chart Update'!$C:$C,'New summary'!$C14)</f>
        <v>0</v>
      </c>
      <c r="V14" s="375">
        <f>SUMIFS('Gantt Chart Update'!AC:AC,'Gantt Chart Update'!$B:$B,'New summary'!$B14,'Gantt Chart Update'!$C:$C,'New summary'!$C14)</f>
        <v>0</v>
      </c>
      <c r="W14" s="375">
        <f>SUMIFS('Gantt Chart Update'!AD:AD,'Gantt Chart Update'!$B:$B,'New summary'!$B14,'Gantt Chart Update'!$C:$C,'New summary'!$C14)</f>
        <v>0</v>
      </c>
      <c r="X14" s="375">
        <f>SUMIFS('Gantt Chart Update'!AE:AE,'Gantt Chart Update'!$B:$B,'New summary'!$B14,'Gantt Chart Update'!$C:$C,'New summary'!$C14)</f>
        <v>0</v>
      </c>
      <c r="Y14" s="375">
        <f>SUMIFS('Gantt Chart Update'!AF:AF,'Gantt Chart Update'!$B:$B,'New summary'!$B14,'Gantt Chart Update'!$C:$C,'New summary'!$C14)</f>
        <v>0</v>
      </c>
      <c r="Z14" s="375">
        <f>SUMIFS('Gantt Chart Update'!AG:AG,'Gantt Chart Update'!$B:$B,'New summary'!$B14,'Gantt Chart Update'!$C:$C,'New summary'!$C14)</f>
        <v>0</v>
      </c>
      <c r="AA14" s="375">
        <f>SUMIFS('Gantt Chart Update'!AH:AH,'Gantt Chart Update'!$B:$B,'New summary'!$B14,'Gantt Chart Update'!$C:$C,'New summary'!$C14)</f>
        <v>0</v>
      </c>
      <c r="AB14" s="375">
        <f>SUMIFS('Gantt Chart Update'!AI:AI,'Gantt Chart Update'!$B:$B,'New summary'!$B14,'Gantt Chart Update'!$C:$C,'New summary'!$C14)</f>
        <v>0</v>
      </c>
      <c r="AC14" s="375">
        <f>SUMIFS('Gantt Chart Update'!AJ:AJ,'Gantt Chart Update'!$B:$B,'New summary'!$B14,'Gantt Chart Update'!$C:$C,'New summary'!$C14)</f>
        <v>0</v>
      </c>
      <c r="AD14" s="375">
        <f>SUMIFS('Gantt Chart Update'!AK:AK,'Gantt Chart Update'!$B:$B,'New summary'!$B14,'Gantt Chart Update'!$C:$C,'New summary'!$C14)</f>
        <v>0</v>
      </c>
      <c r="AE14" s="375">
        <f>SUMIFS('Gantt Chart Update'!AL:AL,'Gantt Chart Update'!$B:$B,'New summary'!$B14,'Gantt Chart Update'!$C:$C,'New summary'!$C14)</f>
        <v>0</v>
      </c>
      <c r="AF14" s="375">
        <f>SUMIFS('Gantt Chart Update'!AM:AM,'Gantt Chart Update'!$B:$B,'New summary'!$B14,'Gantt Chart Update'!$C:$C,'New summary'!$C14)</f>
        <v>0</v>
      </c>
      <c r="AG14" s="375">
        <f>SUMIFS('Gantt Chart Update'!AN:AN,'Gantt Chart Update'!$B:$B,'New summary'!$B14,'Gantt Chart Update'!$C:$C,'New summary'!$C14)</f>
        <v>0</v>
      </c>
      <c r="AH14" s="375">
        <f>SUMIFS('Gantt Chart Update'!AO:AO,'Gantt Chart Update'!$B:$B,'New summary'!$B14,'Gantt Chart Update'!$C:$C,'New summary'!$C14)</f>
        <v>0</v>
      </c>
      <c r="AI14" s="375">
        <f>SUMIFS('Gantt Chart Update'!AP:AP,'Gantt Chart Update'!$B:$B,'New summary'!$B14,'Gantt Chart Update'!$C:$C,'New summary'!$C14)</f>
        <v>0</v>
      </c>
      <c r="AJ14" s="375">
        <f>SUMIFS('Gantt Chart Update'!AQ:AQ,'Gantt Chart Update'!$B:$B,'New summary'!$B14,'Gantt Chart Update'!$C:$C,'New summary'!$C14)</f>
        <v>0</v>
      </c>
      <c r="AK14" s="375">
        <f>SUMIFS('Gantt Chart Update'!AR:AR,'Gantt Chart Update'!$B:$B,'New summary'!$B14,'Gantt Chart Update'!$C:$C,'New summary'!$C14)</f>
        <v>0</v>
      </c>
      <c r="AL14" s="375">
        <f>SUMIFS('Gantt Chart Update'!AS:AS,'Gantt Chart Update'!$B:$B,'New summary'!$B14,'Gantt Chart Update'!$C:$C,'New summary'!$C14)</f>
        <v>0</v>
      </c>
      <c r="AM14" s="375">
        <f>SUMIFS('Gantt Chart Update'!AT:AT,'Gantt Chart Update'!$B:$B,'New summary'!$B14,'Gantt Chart Update'!$C:$C,'New summary'!$C14)</f>
        <v>250</v>
      </c>
      <c r="AN14" s="375">
        <f>SUMIFS('Gantt Chart Update'!AU:AU,'Gantt Chart Update'!$B:$B,'New summary'!$B14,'Gantt Chart Update'!$C:$C,'New summary'!$C14)</f>
        <v>2300</v>
      </c>
      <c r="AO14" s="375">
        <f>SUMIFS('Gantt Chart Update'!AV:AV,'Gantt Chart Update'!$B:$B,'New summary'!$B14,'Gantt Chart Update'!$C:$C,'New summary'!$C14)</f>
        <v>0</v>
      </c>
      <c r="AP14" s="375">
        <f>SUMIFS('Gantt Chart Update'!AW:AW,'Gantt Chart Update'!$B:$B,'New summary'!$B14,'Gantt Chart Update'!$C:$C,'New summary'!$C14)</f>
        <v>0</v>
      </c>
      <c r="AQ14" s="375">
        <f>SUMIFS('Gantt Chart Update'!AX:AX,'Gantt Chart Update'!$B:$B,'New summary'!$B14,'Gantt Chart Update'!$C:$C,'New summary'!$C14)</f>
        <v>0</v>
      </c>
      <c r="AR14" s="375">
        <f>SUMIFS('Gantt Chart Update'!AY:AY,'Gantt Chart Update'!$B:$B,'New summary'!$B14,'Gantt Chart Update'!$C:$C,'New summary'!$C14)</f>
        <v>0</v>
      </c>
      <c r="AS14" s="375">
        <f>SUMIFS('Gantt Chart Update'!AZ:AZ,'Gantt Chart Update'!$B:$B,'New summary'!$B14,'Gantt Chart Update'!$C:$C,'New summary'!$C14)</f>
        <v>0</v>
      </c>
      <c r="AT14" s="375">
        <f>SUMIFS('Gantt Chart Update'!BA:BA,'Gantt Chart Update'!$B:$B,'New summary'!$B14,'Gantt Chart Update'!$C:$C,'New summary'!$C14)</f>
        <v>0</v>
      </c>
      <c r="AU14" s="375">
        <f>SUMIFS('Gantt Chart Update'!BB:BB,'Gantt Chart Update'!$B:$B,'New summary'!$B14,'Gantt Chart Update'!$C:$C,'New summary'!$C14)</f>
        <v>0</v>
      </c>
      <c r="AV14" s="375">
        <f>SUMIFS('Gantt Chart Update'!BC:BC,'Gantt Chart Update'!$B:$B,'New summary'!$B14,'Gantt Chart Update'!$C:$C,'New summary'!$C14)</f>
        <v>0</v>
      </c>
      <c r="AW14" s="375">
        <f>SUMIFS('Gantt Chart Update'!BD:BD,'Gantt Chart Update'!$B:$B,'New summary'!$B14,'Gantt Chart Update'!$C:$C,'New summary'!$C14)</f>
        <v>0</v>
      </c>
      <c r="AX14" s="375">
        <f>SUMIFS('Gantt Chart Update'!BE:BE,'Gantt Chart Update'!$B:$B,'New summary'!$B14,'Gantt Chart Update'!$C:$C,'New summary'!$C14)</f>
        <v>0</v>
      </c>
      <c r="AY14" s="375">
        <f>SUMIFS('Gantt Chart Update'!BF:BF,'Gantt Chart Update'!$B:$B,'New summary'!$B14,'Gantt Chart Update'!$C:$C,'New summary'!$C14)</f>
        <v>0</v>
      </c>
      <c r="AZ14" s="375">
        <f>SUMIFS('Gantt Chart Update'!BG:BG,'Gantt Chart Update'!$B:$B,'New summary'!$B14,'Gantt Chart Update'!$C:$C,'New summary'!$C14)</f>
        <v>0</v>
      </c>
      <c r="BA14" s="375">
        <f>SUMIFS('Gantt Chart Update'!BH:BH,'Gantt Chart Update'!$B:$B,'New summary'!$B14,'Gantt Chart Update'!$C:$C,'New summary'!$C14)</f>
        <v>0</v>
      </c>
      <c r="BB14" s="375">
        <f>SUMIFS('Gantt Chart Update'!BI:BI,'Gantt Chart Update'!$B:$B,'New summary'!$B14,'Gantt Chart Update'!$C:$C,'New summary'!$C14)</f>
        <v>0</v>
      </c>
      <c r="BC14" s="375">
        <f>SUMIFS('Gantt Chart Update'!BJ:BJ,'Gantt Chart Update'!$B:$B,'New summary'!$B14,'Gantt Chart Update'!$C:$C,'New summary'!$C14)</f>
        <v>0</v>
      </c>
      <c r="BD14" s="375">
        <f>SUMIFS('Gantt Chart Update'!BK:BK,'Gantt Chart Update'!$B:$B,'New summary'!$B14,'Gantt Chart Update'!$C:$C,'New summary'!$C14)</f>
        <v>0</v>
      </c>
      <c r="BE14" s="375">
        <f>SUMIFS('Gantt Chart Update'!BL:BL,'Gantt Chart Update'!$B:$B,'New summary'!$B14,'Gantt Chart Update'!$C:$C,'New summary'!$C14)</f>
        <v>0</v>
      </c>
      <c r="BF14" s="375">
        <f>SUMIFS('Gantt Chart Update'!BM:BM,'Gantt Chart Update'!$B:$B,'New summary'!$B14,'Gantt Chart Update'!$C:$C,'New summary'!$C14)</f>
        <v>0</v>
      </c>
      <c r="BG14" s="375">
        <f>SUMIFS('Gantt Chart Update'!BN:BN,'Gantt Chart Update'!$B:$B,'New summary'!$B14,'Gantt Chart Update'!$C:$C,'New summary'!$C14)</f>
        <v>0</v>
      </c>
      <c r="BH14" s="375">
        <f>SUMIFS('Gantt Chart Update'!BO:BO,'Gantt Chart Update'!$B:$B,'New summary'!$B14,'Gantt Chart Update'!$C:$C,'New summary'!$C14)</f>
        <v>0</v>
      </c>
      <c r="BI14" s="375">
        <f>SUMIFS('Gantt Chart Update'!BP:BP,'Gantt Chart Update'!$B:$B,'New summary'!$B14,'Gantt Chart Update'!$C:$C,'New summary'!$C14)</f>
        <v>0</v>
      </c>
    </row>
    <row r="15" spans="2:61" x14ac:dyDescent="0.2">
      <c r="B15" s="873" t="s">
        <v>8</v>
      </c>
      <c r="C15" s="867" t="s">
        <v>823</v>
      </c>
      <c r="D15" s="530">
        <f t="shared" ref="D15:D21" si="1">SUM(J15:BI15)</f>
        <v>858</v>
      </c>
      <c r="E15" s="870">
        <f>SUMIFS('Gantt Chart Update'!L:L,'Gantt Chart Update'!$B:$B,'New summary'!$B15,'Gantt Chart Update'!$C:$C,'New summary'!$C15)</f>
        <v>1329</v>
      </c>
      <c r="F15" s="375">
        <f>SUMIFS('Gantt Chart Update'!M:M,'Gantt Chart Update'!$B:$B,'New summary'!$B15,'Gantt Chart Update'!$C:$C,'New summary'!$C15)</f>
        <v>0</v>
      </c>
      <c r="G15" s="375">
        <f>SUMIFS('Gantt Chart Update'!N:N,'Gantt Chart Update'!$B:$B,'New summary'!$B15,'Gantt Chart Update'!$C:$C,'New summary'!$C15)</f>
        <v>0</v>
      </c>
      <c r="H15" s="375">
        <f>SUMIFS('Gantt Chart Update'!O:O,'Gantt Chart Update'!$B:$B,'New summary'!$B15,'Gantt Chart Update'!$C:$C,'New summary'!$C15)</f>
        <v>0</v>
      </c>
      <c r="I15" s="375">
        <f>SUMIFS('Gantt Chart Update'!P:P,'Gantt Chart Update'!$B:$B,'New summary'!$B15,'Gantt Chart Update'!$C:$C,'New summary'!$C15)</f>
        <v>0</v>
      </c>
      <c r="J15" s="375">
        <f>SUMIFS('Gantt Chart Update'!Q:Q,'Gantt Chart Update'!$B:$B,'New summary'!$B15,'Gantt Chart Update'!$C:$C,'New summary'!$C15)</f>
        <v>0</v>
      </c>
      <c r="K15" s="375">
        <f>SUMIFS('Gantt Chart Update'!R:R,'Gantt Chart Update'!$B:$B,'New summary'!$B15,'Gantt Chart Update'!$C:$C,'New summary'!$C15)</f>
        <v>0</v>
      </c>
      <c r="L15" s="375">
        <f>SUMIFS('Gantt Chart Update'!S:S,'Gantt Chart Update'!$B:$B,'New summary'!$B15,'Gantt Chart Update'!$C:$C,'New summary'!$C15)</f>
        <v>0</v>
      </c>
      <c r="M15" s="375">
        <f>SUMIFS('Gantt Chart Update'!T:T,'Gantt Chart Update'!$B:$B,'New summary'!$B15,'Gantt Chart Update'!$C:$C,'New summary'!$C15)</f>
        <v>0</v>
      </c>
      <c r="N15" s="375">
        <f>SUMIFS('Gantt Chart Update'!U:U,'Gantt Chart Update'!$B:$B,'New summary'!$B15,'Gantt Chart Update'!$C:$C,'New summary'!$C15)</f>
        <v>0</v>
      </c>
      <c r="O15" s="375">
        <f>SUMIFS('Gantt Chart Update'!V:V,'Gantt Chart Update'!$B:$B,'New summary'!$B15,'Gantt Chart Update'!$C:$C,'New summary'!$C15)</f>
        <v>0</v>
      </c>
      <c r="P15" s="375">
        <f>SUMIFS('Gantt Chart Update'!W:W,'Gantt Chart Update'!$B:$B,'New summary'!$B15,'Gantt Chart Update'!$C:$C,'New summary'!$C15)</f>
        <v>0</v>
      </c>
      <c r="Q15" s="375">
        <f>SUMIFS('Gantt Chart Update'!X:X,'Gantt Chart Update'!$B:$B,'New summary'!$B15,'Gantt Chart Update'!$C:$C,'New summary'!$C15)</f>
        <v>0</v>
      </c>
      <c r="R15" s="375">
        <f>SUMIFS('Gantt Chart Update'!Y:Y,'Gantt Chart Update'!$B:$B,'New summary'!$B15,'Gantt Chart Update'!$C:$C,'New summary'!$C15)</f>
        <v>0</v>
      </c>
      <c r="S15" s="375">
        <f>SUMIFS('Gantt Chart Update'!Z:Z,'Gantt Chart Update'!$B:$B,'New summary'!$B15,'Gantt Chart Update'!$C:$C,'New summary'!$C15)</f>
        <v>0</v>
      </c>
      <c r="T15" s="375">
        <f>SUMIFS('Gantt Chart Update'!AA:AA,'Gantt Chart Update'!$B:$B,'New summary'!$B15,'Gantt Chart Update'!$C:$C,'New summary'!$C15)</f>
        <v>0</v>
      </c>
      <c r="U15" s="375">
        <f>SUMIFS('Gantt Chart Update'!AB:AB,'Gantt Chart Update'!$B:$B,'New summary'!$B15,'Gantt Chart Update'!$C:$C,'New summary'!$C15)</f>
        <v>0</v>
      </c>
      <c r="V15" s="375">
        <f>SUMIFS('Gantt Chart Update'!AC:AC,'Gantt Chart Update'!$B:$B,'New summary'!$B15,'Gantt Chart Update'!$C:$C,'New summary'!$C15)</f>
        <v>0</v>
      </c>
      <c r="W15" s="375">
        <f>SUMIFS('Gantt Chart Update'!AD:AD,'Gantt Chart Update'!$B:$B,'New summary'!$B15,'Gantt Chart Update'!$C:$C,'New summary'!$C15)</f>
        <v>0</v>
      </c>
      <c r="X15" s="375">
        <f>SUMIFS('Gantt Chart Update'!AE:AE,'Gantt Chart Update'!$B:$B,'New summary'!$B15,'Gantt Chart Update'!$C:$C,'New summary'!$C15)</f>
        <v>0</v>
      </c>
      <c r="Y15" s="375">
        <f>SUMIFS('Gantt Chart Update'!AF:AF,'Gantt Chart Update'!$B:$B,'New summary'!$B15,'Gantt Chart Update'!$C:$C,'New summary'!$C15)</f>
        <v>0</v>
      </c>
      <c r="Z15" s="375">
        <f>SUMIFS('Gantt Chart Update'!AG:AG,'Gantt Chart Update'!$B:$B,'New summary'!$B15,'Gantt Chart Update'!$C:$C,'New summary'!$C15)</f>
        <v>0</v>
      </c>
      <c r="AA15" s="375">
        <f>SUMIFS('Gantt Chart Update'!AH:AH,'Gantt Chart Update'!$B:$B,'New summary'!$B15,'Gantt Chart Update'!$C:$C,'New summary'!$C15)</f>
        <v>0</v>
      </c>
      <c r="AB15" s="375">
        <f>SUMIFS('Gantt Chart Update'!AI:AI,'Gantt Chart Update'!$B:$B,'New summary'!$B15,'Gantt Chart Update'!$C:$C,'New summary'!$C15)</f>
        <v>0</v>
      </c>
      <c r="AC15" s="375">
        <f>SUMIFS('Gantt Chart Update'!AJ:AJ,'Gantt Chart Update'!$B:$B,'New summary'!$B15,'Gantt Chart Update'!$C:$C,'New summary'!$C15)</f>
        <v>0</v>
      </c>
      <c r="AD15" s="375">
        <f>SUMIFS('Gantt Chart Update'!AK:AK,'Gantt Chart Update'!$B:$B,'New summary'!$B15,'Gantt Chart Update'!$C:$C,'New summary'!$C15)</f>
        <v>0</v>
      </c>
      <c r="AE15" s="375">
        <f>SUMIFS('Gantt Chart Update'!AL:AL,'Gantt Chart Update'!$B:$B,'New summary'!$B15,'Gantt Chart Update'!$C:$C,'New summary'!$C15)</f>
        <v>0</v>
      </c>
      <c r="AF15" s="375">
        <f>SUMIFS('Gantt Chart Update'!AM:AM,'Gantt Chart Update'!$B:$B,'New summary'!$B15,'Gantt Chart Update'!$C:$C,'New summary'!$C15)</f>
        <v>0</v>
      </c>
      <c r="AG15" s="375">
        <f>SUMIFS('Gantt Chart Update'!AN:AN,'Gantt Chart Update'!$B:$B,'New summary'!$B15,'Gantt Chart Update'!$C:$C,'New summary'!$C15)</f>
        <v>0</v>
      </c>
      <c r="AH15" s="375">
        <f>SUMIFS('Gantt Chart Update'!AO:AO,'Gantt Chart Update'!$B:$B,'New summary'!$B15,'Gantt Chart Update'!$C:$C,'New summary'!$C15)</f>
        <v>0</v>
      </c>
      <c r="AI15" s="375">
        <f>SUMIFS('Gantt Chart Update'!AP:AP,'Gantt Chart Update'!$B:$B,'New summary'!$B15,'Gantt Chart Update'!$C:$C,'New summary'!$C15)</f>
        <v>0</v>
      </c>
      <c r="AJ15" s="375">
        <f>SUMIFS('Gantt Chart Update'!AQ:AQ,'Gantt Chart Update'!$B:$B,'New summary'!$B15,'Gantt Chart Update'!$C:$C,'New summary'!$C15)</f>
        <v>0</v>
      </c>
      <c r="AK15" s="375">
        <f>SUMIFS('Gantt Chart Update'!AR:AR,'Gantt Chart Update'!$B:$B,'New summary'!$B15,'Gantt Chart Update'!$C:$C,'New summary'!$C15)</f>
        <v>0</v>
      </c>
      <c r="AL15" s="375">
        <f>SUMIFS('Gantt Chart Update'!AS:AS,'Gantt Chart Update'!$B:$B,'New summary'!$B15,'Gantt Chart Update'!$C:$C,'New summary'!$C15)</f>
        <v>0</v>
      </c>
      <c r="AM15" s="375">
        <f>SUMIFS('Gantt Chart Update'!AT:AT,'Gantt Chart Update'!$B:$B,'New summary'!$B15,'Gantt Chart Update'!$C:$C,'New summary'!$C15)</f>
        <v>0</v>
      </c>
      <c r="AN15" s="375">
        <f>SUMIFS('Gantt Chart Update'!AU:AU,'Gantt Chart Update'!$B:$B,'New summary'!$B15,'Gantt Chart Update'!$C:$C,'New summary'!$C15)</f>
        <v>0</v>
      </c>
      <c r="AO15" s="375">
        <f>SUMIFS('Gantt Chart Update'!AV:AV,'Gantt Chart Update'!$B:$B,'New summary'!$B15,'Gantt Chart Update'!$C:$C,'New summary'!$C15)</f>
        <v>0</v>
      </c>
      <c r="AP15" s="375">
        <f>SUMIFS('Gantt Chart Update'!AW:AW,'Gantt Chart Update'!$B:$B,'New summary'!$B15,'Gantt Chart Update'!$C:$C,'New summary'!$C15)</f>
        <v>0</v>
      </c>
      <c r="AQ15" s="375">
        <f>SUMIFS('Gantt Chart Update'!AX:AX,'Gantt Chart Update'!$B:$B,'New summary'!$B15,'Gantt Chart Update'!$C:$C,'New summary'!$C15)</f>
        <v>450</v>
      </c>
      <c r="AR15" s="375">
        <f>SUMIFS('Gantt Chart Update'!AY:AY,'Gantt Chart Update'!$B:$B,'New summary'!$B15,'Gantt Chart Update'!$C:$C,'New summary'!$C15)</f>
        <v>408</v>
      </c>
      <c r="AS15" s="375">
        <f>SUMIFS('Gantt Chart Update'!AZ:AZ,'Gantt Chart Update'!$B:$B,'New summary'!$B15,'Gantt Chart Update'!$C:$C,'New summary'!$C15)</f>
        <v>0</v>
      </c>
      <c r="AT15" s="375">
        <f>SUMIFS('Gantt Chart Update'!BA:BA,'Gantt Chart Update'!$B:$B,'New summary'!$B15,'Gantt Chart Update'!$C:$C,'New summary'!$C15)</f>
        <v>0</v>
      </c>
      <c r="AU15" s="375">
        <f>SUMIFS('Gantt Chart Update'!BB:BB,'Gantt Chart Update'!$B:$B,'New summary'!$B15,'Gantt Chart Update'!$C:$C,'New summary'!$C15)</f>
        <v>0</v>
      </c>
      <c r="AV15" s="375">
        <f>SUMIFS('Gantt Chart Update'!BC:BC,'Gantt Chart Update'!$B:$B,'New summary'!$B15,'Gantt Chart Update'!$C:$C,'New summary'!$C15)</f>
        <v>0</v>
      </c>
      <c r="AW15" s="375">
        <f>SUMIFS('Gantt Chart Update'!BD:BD,'Gantt Chart Update'!$B:$B,'New summary'!$B15,'Gantt Chart Update'!$C:$C,'New summary'!$C15)</f>
        <v>0</v>
      </c>
      <c r="AX15" s="375">
        <f>SUMIFS('Gantt Chart Update'!BE:BE,'Gantt Chart Update'!$B:$B,'New summary'!$B15,'Gantt Chart Update'!$C:$C,'New summary'!$C15)</f>
        <v>0</v>
      </c>
      <c r="AY15" s="375">
        <f>SUMIFS('Gantt Chart Update'!BF:BF,'Gantt Chart Update'!$B:$B,'New summary'!$B15,'Gantt Chart Update'!$C:$C,'New summary'!$C15)</f>
        <v>0</v>
      </c>
      <c r="AZ15" s="375">
        <f>SUMIFS('Gantt Chart Update'!BG:BG,'Gantt Chart Update'!$B:$B,'New summary'!$B15,'Gantt Chart Update'!$C:$C,'New summary'!$C15)</f>
        <v>0</v>
      </c>
      <c r="BA15" s="375">
        <f>SUMIFS('Gantt Chart Update'!BH:BH,'Gantt Chart Update'!$B:$B,'New summary'!$B15,'Gantt Chart Update'!$C:$C,'New summary'!$C15)</f>
        <v>0</v>
      </c>
      <c r="BB15" s="375">
        <f>SUMIFS('Gantt Chart Update'!BI:BI,'Gantt Chart Update'!$B:$B,'New summary'!$B15,'Gantt Chart Update'!$C:$C,'New summary'!$C15)</f>
        <v>0</v>
      </c>
      <c r="BC15" s="375">
        <f>SUMIFS('Gantt Chart Update'!BJ:BJ,'Gantt Chart Update'!$B:$B,'New summary'!$B15,'Gantt Chart Update'!$C:$C,'New summary'!$C15)</f>
        <v>0</v>
      </c>
      <c r="BD15" s="375">
        <f>SUMIFS('Gantt Chart Update'!BK:BK,'Gantt Chart Update'!$B:$B,'New summary'!$B15,'Gantt Chart Update'!$C:$C,'New summary'!$C15)</f>
        <v>0</v>
      </c>
      <c r="BE15" s="375">
        <f>SUMIFS('Gantt Chart Update'!BL:BL,'Gantt Chart Update'!$B:$B,'New summary'!$B15,'Gantt Chart Update'!$C:$C,'New summary'!$C15)</f>
        <v>0</v>
      </c>
      <c r="BF15" s="375">
        <f>SUMIFS('Gantt Chart Update'!BM:BM,'Gantt Chart Update'!$B:$B,'New summary'!$B15,'Gantt Chart Update'!$C:$C,'New summary'!$C15)</f>
        <v>0</v>
      </c>
      <c r="BG15" s="375">
        <f>SUMIFS('Gantt Chart Update'!BN:BN,'Gantt Chart Update'!$B:$B,'New summary'!$B15,'Gantt Chart Update'!$C:$C,'New summary'!$C15)</f>
        <v>0</v>
      </c>
      <c r="BH15" s="375">
        <f>SUMIFS('Gantt Chart Update'!BO:BO,'Gantt Chart Update'!$B:$B,'New summary'!$B15,'Gantt Chart Update'!$C:$C,'New summary'!$C15)</f>
        <v>0</v>
      </c>
      <c r="BI15" s="375">
        <f>SUMIFS('Gantt Chart Update'!BP:BP,'Gantt Chart Update'!$B:$B,'New summary'!$B15,'Gantt Chart Update'!$C:$C,'New summary'!$C15)</f>
        <v>0</v>
      </c>
    </row>
    <row r="16" spans="2:61" x14ac:dyDescent="0.2">
      <c r="B16" s="873" t="s">
        <v>8</v>
      </c>
      <c r="C16" s="867" t="s">
        <v>789</v>
      </c>
      <c r="D16" s="530">
        <f t="shared" si="1"/>
        <v>1008</v>
      </c>
      <c r="E16" s="870">
        <f>SUMIFS('Gantt Chart Update'!L:L,'Gantt Chart Update'!$B:$B,'New summary'!$B16,'Gantt Chart Update'!$C:$C,'New summary'!$C16)</f>
        <v>0</v>
      </c>
      <c r="F16" s="375">
        <f>SUMIFS('Gantt Chart Update'!M:M,'Gantt Chart Update'!$B:$B,'New summary'!$B16,'Gantt Chart Update'!$C:$C,'New summary'!$C16)</f>
        <v>0</v>
      </c>
      <c r="G16" s="375">
        <f>SUMIFS('Gantt Chart Update'!N:N,'Gantt Chart Update'!$B:$B,'New summary'!$B16,'Gantt Chart Update'!$C:$C,'New summary'!$C16)</f>
        <v>0</v>
      </c>
      <c r="H16" s="375">
        <f>SUMIFS('Gantt Chart Update'!O:O,'Gantt Chart Update'!$B:$B,'New summary'!$B16,'Gantt Chart Update'!$C:$C,'New summary'!$C16)</f>
        <v>0</v>
      </c>
      <c r="I16" s="375">
        <f>SUMIFS('Gantt Chart Update'!P:P,'Gantt Chart Update'!$B:$B,'New summary'!$B16,'Gantt Chart Update'!$C:$C,'New summary'!$C16)</f>
        <v>0</v>
      </c>
      <c r="J16" s="375">
        <f>SUMIFS('Gantt Chart Update'!Q:Q,'Gantt Chart Update'!$B:$B,'New summary'!$B16,'Gantt Chart Update'!$C:$C,'New summary'!$C16)</f>
        <v>0</v>
      </c>
      <c r="K16" s="375">
        <f>SUMIFS('Gantt Chart Update'!R:R,'Gantt Chart Update'!$B:$B,'New summary'!$B16,'Gantt Chart Update'!$C:$C,'New summary'!$C16)</f>
        <v>0</v>
      </c>
      <c r="L16" s="375">
        <f>SUMIFS('Gantt Chart Update'!S:S,'Gantt Chart Update'!$B:$B,'New summary'!$B16,'Gantt Chart Update'!$C:$C,'New summary'!$C16)</f>
        <v>0</v>
      </c>
      <c r="M16" s="375">
        <f>SUMIFS('Gantt Chart Update'!T:T,'Gantt Chart Update'!$B:$B,'New summary'!$B16,'Gantt Chart Update'!$C:$C,'New summary'!$C16)</f>
        <v>0</v>
      </c>
      <c r="N16" s="375">
        <f>SUMIFS('Gantt Chart Update'!U:U,'Gantt Chart Update'!$B:$B,'New summary'!$B16,'Gantt Chart Update'!$C:$C,'New summary'!$C16)</f>
        <v>0</v>
      </c>
      <c r="O16" s="375">
        <f>SUMIFS('Gantt Chart Update'!V:V,'Gantt Chart Update'!$B:$B,'New summary'!$B16,'Gantt Chart Update'!$C:$C,'New summary'!$C16)</f>
        <v>0</v>
      </c>
      <c r="P16" s="375">
        <f>SUMIFS('Gantt Chart Update'!W:W,'Gantt Chart Update'!$B:$B,'New summary'!$B16,'Gantt Chart Update'!$C:$C,'New summary'!$C16)</f>
        <v>0</v>
      </c>
      <c r="Q16" s="375">
        <f>SUMIFS('Gantt Chart Update'!X:X,'Gantt Chart Update'!$B:$B,'New summary'!$B16,'Gantt Chart Update'!$C:$C,'New summary'!$C16)</f>
        <v>0</v>
      </c>
      <c r="R16" s="375">
        <f>SUMIFS('Gantt Chart Update'!Y:Y,'Gantt Chart Update'!$B:$B,'New summary'!$B16,'Gantt Chart Update'!$C:$C,'New summary'!$C16)</f>
        <v>0</v>
      </c>
      <c r="S16" s="375">
        <f>SUMIFS('Gantt Chart Update'!Z:Z,'Gantt Chart Update'!$B:$B,'New summary'!$B16,'Gantt Chart Update'!$C:$C,'New summary'!$C16)</f>
        <v>0</v>
      </c>
      <c r="T16" s="375">
        <f>SUMIFS('Gantt Chart Update'!AA:AA,'Gantt Chart Update'!$B:$B,'New summary'!$B16,'Gantt Chart Update'!$C:$C,'New summary'!$C16)</f>
        <v>0</v>
      </c>
      <c r="U16" s="375">
        <f>SUMIFS('Gantt Chart Update'!AB:AB,'Gantt Chart Update'!$B:$B,'New summary'!$B16,'Gantt Chart Update'!$C:$C,'New summary'!$C16)</f>
        <v>0</v>
      </c>
      <c r="V16" s="375">
        <f>SUMIFS('Gantt Chart Update'!AC:AC,'Gantt Chart Update'!$B:$B,'New summary'!$B16,'Gantt Chart Update'!$C:$C,'New summary'!$C16)</f>
        <v>0</v>
      </c>
      <c r="W16" s="375">
        <f>SUMIFS('Gantt Chart Update'!AD:AD,'Gantt Chart Update'!$B:$B,'New summary'!$B16,'Gantt Chart Update'!$C:$C,'New summary'!$C16)</f>
        <v>0</v>
      </c>
      <c r="X16" s="375">
        <f>SUMIFS('Gantt Chart Update'!AE:AE,'Gantt Chart Update'!$B:$B,'New summary'!$B16,'Gantt Chart Update'!$C:$C,'New summary'!$C16)</f>
        <v>0</v>
      </c>
      <c r="Y16" s="375">
        <f>SUMIFS('Gantt Chart Update'!AF:AF,'Gantt Chart Update'!$B:$B,'New summary'!$B16,'Gantt Chart Update'!$C:$C,'New summary'!$C16)</f>
        <v>0</v>
      </c>
      <c r="Z16" s="375">
        <f>SUMIFS('Gantt Chart Update'!AG:AG,'Gantt Chart Update'!$B:$B,'New summary'!$B16,'Gantt Chart Update'!$C:$C,'New summary'!$C16)</f>
        <v>0</v>
      </c>
      <c r="AA16" s="375">
        <f>SUMIFS('Gantt Chart Update'!AH:AH,'Gantt Chart Update'!$B:$B,'New summary'!$B16,'Gantt Chart Update'!$C:$C,'New summary'!$C16)</f>
        <v>0</v>
      </c>
      <c r="AB16" s="375">
        <f>SUMIFS('Gantt Chart Update'!AI:AI,'Gantt Chart Update'!$B:$B,'New summary'!$B16,'Gantt Chart Update'!$C:$C,'New summary'!$C16)</f>
        <v>0</v>
      </c>
      <c r="AC16" s="375">
        <f>SUMIFS('Gantt Chart Update'!AJ:AJ,'Gantt Chart Update'!$B:$B,'New summary'!$B16,'Gantt Chart Update'!$C:$C,'New summary'!$C16)</f>
        <v>0</v>
      </c>
      <c r="AD16" s="375">
        <f>SUMIFS('Gantt Chart Update'!AK:AK,'Gantt Chart Update'!$B:$B,'New summary'!$B16,'Gantt Chart Update'!$C:$C,'New summary'!$C16)</f>
        <v>0</v>
      </c>
      <c r="AE16" s="375">
        <f>SUMIFS('Gantt Chart Update'!AL:AL,'Gantt Chart Update'!$B:$B,'New summary'!$B16,'Gantt Chart Update'!$C:$C,'New summary'!$C16)</f>
        <v>0</v>
      </c>
      <c r="AF16" s="375">
        <f>SUMIFS('Gantt Chart Update'!AM:AM,'Gantt Chart Update'!$B:$B,'New summary'!$B16,'Gantt Chart Update'!$C:$C,'New summary'!$C16)</f>
        <v>0</v>
      </c>
      <c r="AG16" s="375">
        <f>SUMIFS('Gantt Chart Update'!AN:AN,'Gantt Chart Update'!$B:$B,'New summary'!$B16,'Gantt Chart Update'!$C:$C,'New summary'!$C16)</f>
        <v>0</v>
      </c>
      <c r="AH16" s="375">
        <f>SUMIFS('Gantt Chart Update'!AO:AO,'Gantt Chart Update'!$B:$B,'New summary'!$B16,'Gantt Chart Update'!$C:$C,'New summary'!$C16)</f>
        <v>0</v>
      </c>
      <c r="AI16" s="375">
        <f>SUMIFS('Gantt Chart Update'!AP:AP,'Gantt Chart Update'!$B:$B,'New summary'!$B16,'Gantt Chart Update'!$C:$C,'New summary'!$C16)</f>
        <v>0</v>
      </c>
      <c r="AJ16" s="375">
        <f>SUMIFS('Gantt Chart Update'!AQ:AQ,'Gantt Chart Update'!$B:$B,'New summary'!$B16,'Gantt Chart Update'!$C:$C,'New summary'!$C16)</f>
        <v>0</v>
      </c>
      <c r="AK16" s="375">
        <f>SUMIFS('Gantt Chart Update'!AR:AR,'Gantt Chart Update'!$B:$B,'New summary'!$B16,'Gantt Chart Update'!$C:$C,'New summary'!$C16)</f>
        <v>0</v>
      </c>
      <c r="AL16" s="375">
        <f>SUMIFS('Gantt Chart Update'!AS:AS,'Gantt Chart Update'!$B:$B,'New summary'!$B16,'Gantt Chart Update'!$C:$C,'New summary'!$C16)</f>
        <v>0</v>
      </c>
      <c r="AM16" s="375">
        <f>SUMIFS('Gantt Chart Update'!AT:AT,'Gantt Chart Update'!$B:$B,'New summary'!$B16,'Gantt Chart Update'!$C:$C,'New summary'!$C16)</f>
        <v>0</v>
      </c>
      <c r="AN16" s="375">
        <f>SUMIFS('Gantt Chart Update'!AU:AU,'Gantt Chart Update'!$B:$B,'New summary'!$B16,'Gantt Chart Update'!$C:$C,'New summary'!$C16)</f>
        <v>0</v>
      </c>
      <c r="AO16" s="375">
        <f>SUMIFS('Gantt Chart Update'!AV:AV,'Gantt Chart Update'!$B:$B,'New summary'!$B16,'Gantt Chart Update'!$C:$C,'New summary'!$C16)</f>
        <v>0</v>
      </c>
      <c r="AP16" s="375">
        <f>SUMIFS('Gantt Chart Update'!AW:AW,'Gantt Chart Update'!$B:$B,'New summary'!$B16,'Gantt Chart Update'!$C:$C,'New summary'!$C16)</f>
        <v>0</v>
      </c>
      <c r="AQ16" s="375">
        <f>SUMIFS('Gantt Chart Update'!AX:AX,'Gantt Chart Update'!$B:$B,'New summary'!$B16,'Gantt Chart Update'!$C:$C,'New summary'!$C16)</f>
        <v>0</v>
      </c>
      <c r="AR16" s="375">
        <f>SUMIFS('Gantt Chart Update'!AY:AY,'Gantt Chart Update'!$B:$B,'New summary'!$B16,'Gantt Chart Update'!$C:$C,'New summary'!$C16)</f>
        <v>1008</v>
      </c>
      <c r="AS16" s="375">
        <f>SUMIFS('Gantt Chart Update'!AZ:AZ,'Gantt Chart Update'!$B:$B,'New summary'!$B16,'Gantt Chart Update'!$C:$C,'New summary'!$C16)</f>
        <v>0</v>
      </c>
      <c r="AT16" s="375">
        <f>SUMIFS('Gantt Chart Update'!BA:BA,'Gantt Chart Update'!$B:$B,'New summary'!$B16,'Gantt Chart Update'!$C:$C,'New summary'!$C16)</f>
        <v>0</v>
      </c>
      <c r="AU16" s="375">
        <f>SUMIFS('Gantt Chart Update'!BB:BB,'Gantt Chart Update'!$B:$B,'New summary'!$B16,'Gantt Chart Update'!$C:$C,'New summary'!$C16)</f>
        <v>0</v>
      </c>
      <c r="AV16" s="375">
        <f>SUMIFS('Gantt Chart Update'!BC:BC,'Gantt Chart Update'!$B:$B,'New summary'!$B16,'Gantt Chart Update'!$C:$C,'New summary'!$C16)</f>
        <v>0</v>
      </c>
      <c r="AW16" s="375">
        <f>SUMIFS('Gantt Chart Update'!BD:BD,'Gantt Chart Update'!$B:$B,'New summary'!$B16,'Gantt Chart Update'!$C:$C,'New summary'!$C16)</f>
        <v>0</v>
      </c>
      <c r="AX16" s="375">
        <f>SUMIFS('Gantt Chart Update'!BE:BE,'Gantt Chart Update'!$B:$B,'New summary'!$B16,'Gantt Chart Update'!$C:$C,'New summary'!$C16)</f>
        <v>0</v>
      </c>
      <c r="AY16" s="375">
        <f>SUMIFS('Gantt Chart Update'!BF:BF,'Gantt Chart Update'!$B:$B,'New summary'!$B16,'Gantt Chart Update'!$C:$C,'New summary'!$C16)</f>
        <v>0</v>
      </c>
      <c r="AZ16" s="375">
        <f>SUMIFS('Gantt Chart Update'!BG:BG,'Gantt Chart Update'!$B:$B,'New summary'!$B16,'Gantt Chart Update'!$C:$C,'New summary'!$C16)</f>
        <v>0</v>
      </c>
      <c r="BA16" s="375">
        <f>SUMIFS('Gantt Chart Update'!BH:BH,'Gantt Chart Update'!$B:$B,'New summary'!$B16,'Gantt Chart Update'!$C:$C,'New summary'!$C16)</f>
        <v>0</v>
      </c>
      <c r="BB16" s="375">
        <f>SUMIFS('Gantt Chart Update'!BI:BI,'Gantt Chart Update'!$B:$B,'New summary'!$B16,'Gantt Chart Update'!$C:$C,'New summary'!$C16)</f>
        <v>0</v>
      </c>
      <c r="BC16" s="375">
        <f>SUMIFS('Gantt Chart Update'!BJ:BJ,'Gantt Chart Update'!$B:$B,'New summary'!$B16,'Gantt Chart Update'!$C:$C,'New summary'!$C16)</f>
        <v>0</v>
      </c>
      <c r="BD16" s="375">
        <f>SUMIFS('Gantt Chart Update'!BK:BK,'Gantt Chart Update'!$B:$B,'New summary'!$B16,'Gantt Chart Update'!$C:$C,'New summary'!$C16)</f>
        <v>0</v>
      </c>
      <c r="BE16" s="375">
        <f>SUMIFS('Gantt Chart Update'!BL:BL,'Gantt Chart Update'!$B:$B,'New summary'!$B16,'Gantt Chart Update'!$C:$C,'New summary'!$C16)</f>
        <v>0</v>
      </c>
      <c r="BF16" s="375">
        <f>SUMIFS('Gantt Chart Update'!BM:BM,'Gantt Chart Update'!$B:$B,'New summary'!$B16,'Gantt Chart Update'!$C:$C,'New summary'!$C16)</f>
        <v>0</v>
      </c>
      <c r="BG16" s="375">
        <f>SUMIFS('Gantt Chart Update'!BN:BN,'Gantt Chart Update'!$B:$B,'New summary'!$B16,'Gantt Chart Update'!$C:$C,'New summary'!$C16)</f>
        <v>0</v>
      </c>
      <c r="BH16" s="375">
        <f>SUMIFS('Gantt Chart Update'!BO:BO,'Gantt Chart Update'!$B:$B,'New summary'!$B16,'Gantt Chart Update'!$C:$C,'New summary'!$C16)</f>
        <v>0</v>
      </c>
      <c r="BI16" s="375">
        <f>SUMIFS('Gantt Chart Update'!BP:BP,'Gantt Chart Update'!$B:$B,'New summary'!$B16,'Gantt Chart Update'!$C:$C,'New summary'!$C16)</f>
        <v>0</v>
      </c>
    </row>
    <row r="17" spans="2:61" x14ac:dyDescent="0.2">
      <c r="B17" s="873" t="s">
        <v>8</v>
      </c>
      <c r="C17" s="867" t="s">
        <v>825</v>
      </c>
      <c r="D17" s="530">
        <f t="shared" si="1"/>
        <v>684</v>
      </c>
      <c r="E17" s="870">
        <f>SUMIFS('Gantt Chart Update'!L:L,'Gantt Chart Update'!$B:$B,'New summary'!$B17,'Gantt Chart Update'!$C:$C,'New summary'!$C17)</f>
        <v>0</v>
      </c>
      <c r="F17" s="375">
        <f>SUMIFS('Gantt Chart Update'!M:M,'Gantt Chart Update'!$B:$B,'New summary'!$B17,'Gantt Chart Update'!$C:$C,'New summary'!$C17)</f>
        <v>0</v>
      </c>
      <c r="G17" s="375">
        <f>SUMIFS('Gantt Chart Update'!N:N,'Gantt Chart Update'!$B:$B,'New summary'!$B17,'Gantt Chart Update'!$C:$C,'New summary'!$C17)</f>
        <v>0</v>
      </c>
      <c r="H17" s="375">
        <f>SUMIFS('Gantt Chart Update'!O:O,'Gantt Chart Update'!$B:$B,'New summary'!$B17,'Gantt Chart Update'!$C:$C,'New summary'!$C17)</f>
        <v>0</v>
      </c>
      <c r="I17" s="375">
        <f>SUMIFS('Gantt Chart Update'!P:P,'Gantt Chart Update'!$B:$B,'New summary'!$B17,'Gantt Chart Update'!$C:$C,'New summary'!$C17)</f>
        <v>0</v>
      </c>
      <c r="J17" s="375">
        <f>SUMIFS('Gantt Chart Update'!Q:Q,'Gantt Chart Update'!$B:$B,'New summary'!$B17,'Gantt Chart Update'!$C:$C,'New summary'!$C17)</f>
        <v>0</v>
      </c>
      <c r="K17" s="375">
        <f>SUMIFS('Gantt Chart Update'!R:R,'Gantt Chart Update'!$B:$B,'New summary'!$B17,'Gantt Chart Update'!$C:$C,'New summary'!$C17)</f>
        <v>0</v>
      </c>
      <c r="L17" s="375">
        <f>SUMIFS('Gantt Chart Update'!S:S,'Gantt Chart Update'!$B:$B,'New summary'!$B17,'Gantt Chart Update'!$C:$C,'New summary'!$C17)</f>
        <v>0</v>
      </c>
      <c r="M17" s="375">
        <f>SUMIFS('Gantt Chart Update'!T:T,'Gantt Chart Update'!$B:$B,'New summary'!$B17,'Gantt Chart Update'!$C:$C,'New summary'!$C17)</f>
        <v>0</v>
      </c>
      <c r="N17" s="375">
        <f>SUMIFS('Gantt Chart Update'!U:U,'Gantt Chart Update'!$B:$B,'New summary'!$B17,'Gantt Chart Update'!$C:$C,'New summary'!$C17)</f>
        <v>0</v>
      </c>
      <c r="O17" s="375">
        <f>SUMIFS('Gantt Chart Update'!V:V,'Gantt Chart Update'!$B:$B,'New summary'!$B17,'Gantt Chart Update'!$C:$C,'New summary'!$C17)</f>
        <v>0</v>
      </c>
      <c r="P17" s="375">
        <f>SUMIFS('Gantt Chart Update'!W:W,'Gantt Chart Update'!$B:$B,'New summary'!$B17,'Gantt Chart Update'!$C:$C,'New summary'!$C17)</f>
        <v>0</v>
      </c>
      <c r="Q17" s="375">
        <f>SUMIFS('Gantt Chart Update'!X:X,'Gantt Chart Update'!$B:$B,'New summary'!$B17,'Gantt Chart Update'!$C:$C,'New summary'!$C17)</f>
        <v>0</v>
      </c>
      <c r="R17" s="375">
        <f>SUMIFS('Gantt Chart Update'!Y:Y,'Gantt Chart Update'!$B:$B,'New summary'!$B17,'Gantt Chart Update'!$C:$C,'New summary'!$C17)</f>
        <v>0</v>
      </c>
      <c r="S17" s="375">
        <f>SUMIFS('Gantt Chart Update'!Z:Z,'Gantt Chart Update'!$B:$B,'New summary'!$B17,'Gantt Chart Update'!$C:$C,'New summary'!$C17)</f>
        <v>0</v>
      </c>
      <c r="T17" s="375">
        <f>SUMIFS('Gantt Chart Update'!AA:AA,'Gantt Chart Update'!$B:$B,'New summary'!$B17,'Gantt Chart Update'!$C:$C,'New summary'!$C17)</f>
        <v>0</v>
      </c>
      <c r="U17" s="375">
        <f>SUMIFS('Gantt Chart Update'!AB:AB,'Gantt Chart Update'!$B:$B,'New summary'!$B17,'Gantt Chart Update'!$C:$C,'New summary'!$C17)</f>
        <v>0</v>
      </c>
      <c r="V17" s="375">
        <f>SUMIFS('Gantt Chart Update'!AC:AC,'Gantt Chart Update'!$B:$B,'New summary'!$B17,'Gantt Chart Update'!$C:$C,'New summary'!$C17)</f>
        <v>0</v>
      </c>
      <c r="W17" s="375">
        <f>SUMIFS('Gantt Chart Update'!AD:AD,'Gantt Chart Update'!$B:$B,'New summary'!$B17,'Gantt Chart Update'!$C:$C,'New summary'!$C17)</f>
        <v>0</v>
      </c>
      <c r="X17" s="375">
        <f>SUMIFS('Gantt Chart Update'!AE:AE,'Gantt Chart Update'!$B:$B,'New summary'!$B17,'Gantt Chart Update'!$C:$C,'New summary'!$C17)</f>
        <v>0</v>
      </c>
      <c r="Y17" s="375">
        <f>SUMIFS('Gantt Chart Update'!AF:AF,'Gantt Chart Update'!$B:$B,'New summary'!$B17,'Gantt Chart Update'!$C:$C,'New summary'!$C17)</f>
        <v>0</v>
      </c>
      <c r="Z17" s="375">
        <f>SUMIFS('Gantt Chart Update'!AG:AG,'Gantt Chart Update'!$B:$B,'New summary'!$B17,'Gantt Chart Update'!$C:$C,'New summary'!$C17)</f>
        <v>0</v>
      </c>
      <c r="AA17" s="375">
        <f>SUMIFS('Gantt Chart Update'!AH:AH,'Gantt Chart Update'!$B:$B,'New summary'!$B17,'Gantt Chart Update'!$C:$C,'New summary'!$C17)</f>
        <v>0</v>
      </c>
      <c r="AB17" s="375">
        <f>SUMIFS('Gantt Chart Update'!AI:AI,'Gantt Chart Update'!$B:$B,'New summary'!$B17,'Gantt Chart Update'!$C:$C,'New summary'!$C17)</f>
        <v>0</v>
      </c>
      <c r="AC17" s="375">
        <f>SUMIFS('Gantt Chart Update'!AJ:AJ,'Gantt Chart Update'!$B:$B,'New summary'!$B17,'Gantt Chart Update'!$C:$C,'New summary'!$C17)</f>
        <v>0</v>
      </c>
      <c r="AD17" s="375">
        <f>SUMIFS('Gantt Chart Update'!AK:AK,'Gantt Chart Update'!$B:$B,'New summary'!$B17,'Gantt Chart Update'!$C:$C,'New summary'!$C17)</f>
        <v>0</v>
      </c>
      <c r="AE17" s="375">
        <f>SUMIFS('Gantt Chart Update'!AL:AL,'Gantt Chart Update'!$B:$B,'New summary'!$B17,'Gantt Chart Update'!$C:$C,'New summary'!$C17)</f>
        <v>0</v>
      </c>
      <c r="AF17" s="375">
        <f>SUMIFS('Gantt Chart Update'!AM:AM,'Gantt Chart Update'!$B:$B,'New summary'!$B17,'Gantt Chart Update'!$C:$C,'New summary'!$C17)</f>
        <v>0</v>
      </c>
      <c r="AG17" s="375">
        <f>SUMIFS('Gantt Chart Update'!AN:AN,'Gantt Chart Update'!$B:$B,'New summary'!$B17,'Gantt Chart Update'!$C:$C,'New summary'!$C17)</f>
        <v>0</v>
      </c>
      <c r="AH17" s="375">
        <f>SUMIFS('Gantt Chart Update'!AO:AO,'Gantt Chart Update'!$B:$B,'New summary'!$B17,'Gantt Chart Update'!$C:$C,'New summary'!$C17)</f>
        <v>0</v>
      </c>
      <c r="AI17" s="375">
        <f>SUMIFS('Gantt Chart Update'!AP:AP,'Gantt Chart Update'!$B:$B,'New summary'!$B17,'Gantt Chart Update'!$C:$C,'New summary'!$C17)</f>
        <v>0</v>
      </c>
      <c r="AJ17" s="375">
        <f>SUMIFS('Gantt Chart Update'!AQ:AQ,'Gantt Chart Update'!$B:$B,'New summary'!$B17,'Gantt Chart Update'!$C:$C,'New summary'!$C17)</f>
        <v>0</v>
      </c>
      <c r="AK17" s="375">
        <f>SUMIFS('Gantt Chart Update'!AR:AR,'Gantt Chart Update'!$B:$B,'New summary'!$B17,'Gantt Chart Update'!$C:$C,'New summary'!$C17)</f>
        <v>0</v>
      </c>
      <c r="AL17" s="375">
        <f>SUMIFS('Gantt Chart Update'!AS:AS,'Gantt Chart Update'!$B:$B,'New summary'!$B17,'Gantt Chart Update'!$C:$C,'New summary'!$C17)</f>
        <v>0</v>
      </c>
      <c r="AM17" s="375">
        <f>SUMIFS('Gantt Chart Update'!AT:AT,'Gantt Chart Update'!$B:$B,'New summary'!$B17,'Gantt Chart Update'!$C:$C,'New summary'!$C17)</f>
        <v>0</v>
      </c>
      <c r="AN17" s="375">
        <f>SUMIFS('Gantt Chart Update'!AU:AU,'Gantt Chart Update'!$B:$B,'New summary'!$B17,'Gantt Chart Update'!$C:$C,'New summary'!$C17)</f>
        <v>0</v>
      </c>
      <c r="AO17" s="375">
        <f>SUMIFS('Gantt Chart Update'!AV:AV,'Gantt Chart Update'!$B:$B,'New summary'!$B17,'Gantt Chart Update'!$C:$C,'New summary'!$C17)</f>
        <v>0</v>
      </c>
      <c r="AP17" s="375">
        <f>SUMIFS('Gantt Chart Update'!AW:AW,'Gantt Chart Update'!$B:$B,'New summary'!$B17,'Gantt Chart Update'!$C:$C,'New summary'!$C17)</f>
        <v>0</v>
      </c>
      <c r="AQ17" s="375">
        <f>SUMIFS('Gantt Chart Update'!AX:AX,'Gantt Chart Update'!$B:$B,'New summary'!$B17,'Gantt Chart Update'!$C:$C,'New summary'!$C17)</f>
        <v>0</v>
      </c>
      <c r="AR17" s="375">
        <f>SUMIFS('Gantt Chart Update'!AY:AY,'Gantt Chart Update'!$B:$B,'New summary'!$B17,'Gantt Chart Update'!$C:$C,'New summary'!$C17)</f>
        <v>684</v>
      </c>
      <c r="AS17" s="375">
        <f>SUMIFS('Gantt Chart Update'!AZ:AZ,'Gantt Chart Update'!$B:$B,'New summary'!$B17,'Gantt Chart Update'!$C:$C,'New summary'!$C17)</f>
        <v>0</v>
      </c>
      <c r="AT17" s="375">
        <f>SUMIFS('Gantt Chart Update'!BA:BA,'Gantt Chart Update'!$B:$B,'New summary'!$B17,'Gantt Chart Update'!$C:$C,'New summary'!$C17)</f>
        <v>0</v>
      </c>
      <c r="AU17" s="375">
        <f>SUMIFS('Gantt Chart Update'!BB:BB,'Gantt Chart Update'!$B:$B,'New summary'!$B17,'Gantt Chart Update'!$C:$C,'New summary'!$C17)</f>
        <v>0</v>
      </c>
      <c r="AV17" s="375">
        <f>SUMIFS('Gantt Chart Update'!BC:BC,'Gantt Chart Update'!$B:$B,'New summary'!$B17,'Gantt Chart Update'!$C:$C,'New summary'!$C17)</f>
        <v>0</v>
      </c>
      <c r="AW17" s="375">
        <f>SUMIFS('Gantt Chart Update'!BD:BD,'Gantt Chart Update'!$B:$B,'New summary'!$B17,'Gantt Chart Update'!$C:$C,'New summary'!$C17)</f>
        <v>0</v>
      </c>
      <c r="AX17" s="375">
        <f>SUMIFS('Gantt Chart Update'!BE:BE,'Gantt Chart Update'!$B:$B,'New summary'!$B17,'Gantt Chart Update'!$C:$C,'New summary'!$C17)</f>
        <v>0</v>
      </c>
      <c r="AY17" s="375">
        <f>SUMIFS('Gantt Chart Update'!BF:BF,'Gantt Chart Update'!$B:$B,'New summary'!$B17,'Gantt Chart Update'!$C:$C,'New summary'!$C17)</f>
        <v>0</v>
      </c>
      <c r="AZ17" s="375">
        <f>SUMIFS('Gantt Chart Update'!BG:BG,'Gantt Chart Update'!$B:$B,'New summary'!$B17,'Gantt Chart Update'!$C:$C,'New summary'!$C17)</f>
        <v>0</v>
      </c>
      <c r="BA17" s="375">
        <f>SUMIFS('Gantt Chart Update'!BH:BH,'Gantt Chart Update'!$B:$B,'New summary'!$B17,'Gantt Chart Update'!$C:$C,'New summary'!$C17)</f>
        <v>0</v>
      </c>
      <c r="BB17" s="375">
        <f>SUMIFS('Gantt Chart Update'!BI:BI,'Gantt Chart Update'!$B:$B,'New summary'!$B17,'Gantt Chart Update'!$C:$C,'New summary'!$C17)</f>
        <v>0</v>
      </c>
      <c r="BC17" s="375">
        <f>SUMIFS('Gantt Chart Update'!BJ:BJ,'Gantt Chart Update'!$B:$B,'New summary'!$B17,'Gantt Chart Update'!$C:$C,'New summary'!$C17)</f>
        <v>0</v>
      </c>
      <c r="BD17" s="375">
        <f>SUMIFS('Gantt Chart Update'!BK:BK,'Gantt Chart Update'!$B:$B,'New summary'!$B17,'Gantt Chart Update'!$C:$C,'New summary'!$C17)</f>
        <v>0</v>
      </c>
      <c r="BE17" s="375">
        <f>SUMIFS('Gantt Chart Update'!BL:BL,'Gantt Chart Update'!$B:$B,'New summary'!$B17,'Gantt Chart Update'!$C:$C,'New summary'!$C17)</f>
        <v>0</v>
      </c>
      <c r="BF17" s="375">
        <f>SUMIFS('Gantt Chart Update'!BM:BM,'Gantt Chart Update'!$B:$B,'New summary'!$B17,'Gantt Chart Update'!$C:$C,'New summary'!$C17)</f>
        <v>0</v>
      </c>
      <c r="BG17" s="375">
        <f>SUMIFS('Gantt Chart Update'!BN:BN,'Gantt Chart Update'!$B:$B,'New summary'!$B17,'Gantt Chart Update'!$C:$C,'New summary'!$C17)</f>
        <v>0</v>
      </c>
      <c r="BH17" s="375">
        <f>SUMIFS('Gantt Chart Update'!BO:BO,'Gantt Chart Update'!$B:$B,'New summary'!$B17,'Gantt Chart Update'!$C:$C,'New summary'!$C17)</f>
        <v>0</v>
      </c>
      <c r="BI17" s="375">
        <f>SUMIFS('Gantt Chart Update'!BP:BP,'Gantt Chart Update'!$B:$B,'New summary'!$B17,'Gantt Chart Update'!$C:$C,'New summary'!$C17)</f>
        <v>0</v>
      </c>
    </row>
    <row r="18" spans="2:61" x14ac:dyDescent="0.2">
      <c r="B18" s="873" t="s">
        <v>8</v>
      </c>
      <c r="C18" s="867" t="s">
        <v>385</v>
      </c>
      <c r="D18" s="530">
        <f t="shared" si="1"/>
        <v>4599</v>
      </c>
      <c r="E18" s="870">
        <f>'Gantt Chart Update'!L109+'Gantt Chart Update'!L125+'Gantt Chart Update'!L138+'Gantt Chart Update'!L150</f>
        <v>0</v>
      </c>
      <c r="F18" s="375">
        <f>'Gantt Chart Update'!M109+'Gantt Chart Update'!M125+'Gantt Chart Update'!M138+'Gantt Chart Update'!M150</f>
        <v>0</v>
      </c>
      <c r="G18" s="375">
        <f>'Gantt Chart Update'!N109+'Gantt Chart Update'!N125+'Gantt Chart Update'!N138+'Gantt Chart Update'!N150</f>
        <v>0</v>
      </c>
      <c r="H18" s="375">
        <f>'Gantt Chart Update'!O109+'Gantt Chart Update'!O125+'Gantt Chart Update'!O138+'Gantt Chart Update'!O150</f>
        <v>0</v>
      </c>
      <c r="I18" s="375">
        <f>'Gantt Chart Update'!P109+'Gantt Chart Update'!P125+'Gantt Chart Update'!P138+'Gantt Chart Update'!P150</f>
        <v>0</v>
      </c>
      <c r="J18" s="375">
        <f>'Gantt Chart Update'!Q109+'Gantt Chart Update'!Q125+'Gantt Chart Update'!Q138+'Gantt Chart Update'!Q150</f>
        <v>0</v>
      </c>
      <c r="K18" s="375">
        <f>'Gantt Chart Update'!R109+'Gantt Chart Update'!R125+'Gantt Chart Update'!R138+'Gantt Chart Update'!R150</f>
        <v>0</v>
      </c>
      <c r="L18" s="375">
        <f>'Gantt Chart Update'!S109+'Gantt Chart Update'!S125+'Gantt Chart Update'!S138+'Gantt Chart Update'!S150</f>
        <v>0</v>
      </c>
      <c r="M18" s="375">
        <f>'Gantt Chart Update'!T109+'Gantt Chart Update'!T125+'Gantt Chart Update'!T138+'Gantt Chart Update'!T150</f>
        <v>0</v>
      </c>
      <c r="N18" s="375">
        <f>'Gantt Chart Update'!U109+'Gantt Chart Update'!U125+'Gantt Chart Update'!U138+'Gantt Chart Update'!U150</f>
        <v>0</v>
      </c>
      <c r="O18" s="375">
        <f>'Gantt Chart Update'!V109+'Gantt Chart Update'!V125+'Gantt Chart Update'!V138+'Gantt Chart Update'!V150</f>
        <v>0</v>
      </c>
      <c r="P18" s="375">
        <f>'Gantt Chart Update'!W109+'Gantt Chart Update'!W125+'Gantt Chart Update'!W138+'Gantt Chart Update'!W150</f>
        <v>0</v>
      </c>
      <c r="Q18" s="375">
        <f>'Gantt Chart Update'!X109+'Gantt Chart Update'!X125+'Gantt Chart Update'!X138+'Gantt Chart Update'!X150</f>
        <v>0</v>
      </c>
      <c r="R18" s="375">
        <f>'Gantt Chart Update'!Y109+'Gantt Chart Update'!Y125+'Gantt Chart Update'!Y138+'Gantt Chart Update'!Y150</f>
        <v>0</v>
      </c>
      <c r="S18" s="375">
        <f>'Gantt Chart Update'!Z109+'Gantt Chart Update'!Z125+'Gantt Chart Update'!Z138+'Gantt Chart Update'!Z150</f>
        <v>0</v>
      </c>
      <c r="T18" s="375">
        <f>'Gantt Chart Update'!AA109+'Gantt Chart Update'!AA125+'Gantt Chart Update'!AA138+'Gantt Chart Update'!AA150</f>
        <v>0</v>
      </c>
      <c r="U18" s="375">
        <f>'Gantt Chart Update'!AB109+'Gantt Chart Update'!AB125+'Gantt Chart Update'!AB138+'Gantt Chart Update'!AB150</f>
        <v>0</v>
      </c>
      <c r="V18" s="375">
        <f>'Gantt Chart Update'!AC109+'Gantt Chart Update'!AC125+'Gantt Chart Update'!AC138+'Gantt Chart Update'!AC150</f>
        <v>0</v>
      </c>
      <c r="W18" s="375">
        <f>'Gantt Chart Update'!AD109+'Gantt Chart Update'!AD125+'Gantt Chart Update'!AD138+'Gantt Chart Update'!AD150</f>
        <v>0</v>
      </c>
      <c r="X18" s="375">
        <f>'Gantt Chart Update'!AE109+'Gantt Chart Update'!AE125+'Gantt Chart Update'!AE138+'Gantt Chart Update'!AE150</f>
        <v>0</v>
      </c>
      <c r="Y18" s="375">
        <f>'Gantt Chart Update'!AF109+'Gantt Chart Update'!AF125+'Gantt Chart Update'!AF138+'Gantt Chart Update'!AF150</f>
        <v>0</v>
      </c>
      <c r="Z18" s="375">
        <f>'Gantt Chart Update'!AG109+'Gantt Chart Update'!AG125+'Gantt Chart Update'!AG138+'Gantt Chart Update'!AG150</f>
        <v>0</v>
      </c>
      <c r="AA18" s="375">
        <f>'Gantt Chart Update'!AH109+'Gantt Chart Update'!AH125+'Gantt Chart Update'!AH138+'Gantt Chart Update'!AH150</f>
        <v>0</v>
      </c>
      <c r="AB18" s="375">
        <f>'Gantt Chart Update'!AI109+'Gantt Chart Update'!AI125+'Gantt Chart Update'!AI138+'Gantt Chart Update'!AI150</f>
        <v>0</v>
      </c>
      <c r="AC18" s="375">
        <f>'Gantt Chart Update'!AJ109+'Gantt Chart Update'!AJ125+'Gantt Chart Update'!AJ138+'Gantt Chart Update'!AJ150</f>
        <v>0</v>
      </c>
      <c r="AD18" s="375">
        <f>'Gantt Chart Update'!AK109+'Gantt Chart Update'!AK125+'Gantt Chart Update'!AK138+'Gantt Chart Update'!AK150</f>
        <v>0</v>
      </c>
      <c r="AE18" s="375">
        <f>'Gantt Chart Update'!AL109+'Gantt Chart Update'!AL125+'Gantt Chart Update'!AL138+'Gantt Chart Update'!AL150</f>
        <v>0</v>
      </c>
      <c r="AF18" s="375">
        <f>'Gantt Chart Update'!AM109+'Gantt Chart Update'!AM125+'Gantt Chart Update'!AM138+'Gantt Chart Update'!AM150</f>
        <v>0</v>
      </c>
      <c r="AG18" s="375">
        <f>'Gantt Chart Update'!AN109+'Gantt Chart Update'!AN125+'Gantt Chart Update'!AN138+'Gantt Chart Update'!AN150</f>
        <v>0</v>
      </c>
      <c r="AH18" s="375">
        <f>'Gantt Chart Update'!AO109+'Gantt Chart Update'!AO125+'Gantt Chart Update'!AO138+'Gantt Chart Update'!AO150</f>
        <v>0</v>
      </c>
      <c r="AI18" s="375">
        <f>'Gantt Chart Update'!AP109+'Gantt Chart Update'!AP125+'Gantt Chart Update'!AP138+'Gantt Chart Update'!AP150</f>
        <v>0</v>
      </c>
      <c r="AJ18" s="375">
        <f>'Gantt Chart Update'!AQ109+'Gantt Chart Update'!AQ125+'Gantt Chart Update'!AQ138+'Gantt Chart Update'!AQ150</f>
        <v>0</v>
      </c>
      <c r="AK18" s="375">
        <f>'Gantt Chart Update'!AR109+'Gantt Chart Update'!AR125+'Gantt Chart Update'!AR138+'Gantt Chart Update'!AR150</f>
        <v>0</v>
      </c>
      <c r="AL18" s="375">
        <f>'Gantt Chart Update'!AS109+'Gantt Chart Update'!AS125+'Gantt Chart Update'!AS138+'Gantt Chart Update'!AS150</f>
        <v>0</v>
      </c>
      <c r="AM18" s="375">
        <f>'Gantt Chart Update'!AT109+'Gantt Chart Update'!AT125+'Gantt Chart Update'!AT138+'Gantt Chart Update'!AT150</f>
        <v>0</v>
      </c>
      <c r="AN18" s="375">
        <f>'Gantt Chart Update'!AU109+'Gantt Chart Update'!AU125+'Gantt Chart Update'!AU138+'Gantt Chart Update'!AU150</f>
        <v>0</v>
      </c>
      <c r="AO18" s="375">
        <f>'Gantt Chart Update'!AV109+'Gantt Chart Update'!AV125+'Gantt Chart Update'!AV138+'Gantt Chart Update'!AV150</f>
        <v>0</v>
      </c>
      <c r="AP18" s="375">
        <f>'Gantt Chart Update'!AW109+'Gantt Chart Update'!AW125+'Gantt Chart Update'!AW138+'Gantt Chart Update'!AW150</f>
        <v>0</v>
      </c>
      <c r="AQ18" s="375">
        <f>'Gantt Chart Update'!AX109+'Gantt Chart Update'!AX125+'Gantt Chart Update'!AX138+'Gantt Chart Update'!AX150</f>
        <v>0</v>
      </c>
      <c r="AR18" s="375">
        <f>'Gantt Chart Update'!AY109+'Gantt Chart Update'!AY125+'Gantt Chart Update'!AY138+'Gantt Chart Update'!AY150</f>
        <v>0</v>
      </c>
      <c r="AS18" s="375">
        <f>'Gantt Chart Update'!AZ109+'Gantt Chart Update'!AZ125+'Gantt Chart Update'!AZ138+'Gantt Chart Update'!AZ150</f>
        <v>0</v>
      </c>
      <c r="AT18" s="375">
        <f>'Gantt Chart Update'!BA109+'Gantt Chart Update'!BA125+'Gantt Chart Update'!BA138+'Gantt Chart Update'!BA150</f>
        <v>0</v>
      </c>
      <c r="AU18" s="375">
        <f>'Gantt Chart Update'!BB109+'Gantt Chart Update'!BB125+'Gantt Chart Update'!BB138+'Gantt Chart Update'!BB150</f>
        <v>997</v>
      </c>
      <c r="AV18" s="375">
        <f>'Gantt Chart Update'!BC109+'Gantt Chart Update'!BC125+'Gantt Chart Update'!BC138+'Gantt Chart Update'!BC150</f>
        <v>0</v>
      </c>
      <c r="AW18" s="375">
        <f>'Gantt Chart Update'!BD109+'Gantt Chart Update'!BD125+'Gantt Chart Update'!BD138+'Gantt Chart Update'!BD150</f>
        <v>0</v>
      </c>
      <c r="AX18" s="375">
        <f>'Gantt Chart Update'!BE109+'Gantt Chart Update'!BE125+'Gantt Chart Update'!BE138+'Gantt Chart Update'!BE150</f>
        <v>0</v>
      </c>
      <c r="AY18" s="375">
        <f>'Gantt Chart Update'!BF109+'Gantt Chart Update'!BF125+'Gantt Chart Update'!BF138+'Gantt Chart Update'!BF150</f>
        <v>602</v>
      </c>
      <c r="AZ18" s="375">
        <f>'Gantt Chart Update'!BG109+'Gantt Chart Update'!BG125+'Gantt Chart Update'!BG138+'Gantt Chart Update'!BG150</f>
        <v>0</v>
      </c>
      <c r="BA18" s="375">
        <f>'Gantt Chart Update'!BH109+'Gantt Chart Update'!BH125+'Gantt Chart Update'!BH138+'Gantt Chart Update'!BH150</f>
        <v>0</v>
      </c>
      <c r="BB18" s="375">
        <f>'Gantt Chart Update'!BI109+'Gantt Chart Update'!BI125+'Gantt Chart Update'!BI138+'Gantt Chart Update'!BI150</f>
        <v>0</v>
      </c>
      <c r="BC18" s="375">
        <f>'Gantt Chart Update'!BJ109+'Gantt Chart Update'!BJ125+'Gantt Chart Update'!BJ138+'Gantt Chart Update'!BJ150</f>
        <v>0</v>
      </c>
      <c r="BD18" s="375">
        <f>'Gantt Chart Update'!BK109+'Gantt Chart Update'!BK125+'Gantt Chart Update'!BK138+'Gantt Chart Update'!BK150</f>
        <v>1000</v>
      </c>
      <c r="BE18" s="375">
        <f>'Gantt Chart Update'!BL109+'Gantt Chart Update'!BL125+'Gantt Chart Update'!BL138+'Gantt Chart Update'!BL150</f>
        <v>0</v>
      </c>
      <c r="BF18" s="375">
        <f>'Gantt Chart Update'!BM109+'Gantt Chart Update'!BM125+'Gantt Chart Update'!BM138+'Gantt Chart Update'!BM150</f>
        <v>0</v>
      </c>
      <c r="BG18" s="375">
        <f>'Gantt Chart Update'!BN109+'Gantt Chart Update'!BN125+'Gantt Chart Update'!BN138+'Gantt Chart Update'!BN150</f>
        <v>0</v>
      </c>
      <c r="BH18" s="375">
        <f>'Gantt Chart Update'!BO109+'Gantt Chart Update'!BO125+'Gantt Chart Update'!BO138+'Gantt Chart Update'!BO150</f>
        <v>1250</v>
      </c>
      <c r="BI18" s="375">
        <f>'Gantt Chart Update'!BP109+'Gantt Chart Update'!BP125+'Gantt Chart Update'!BP138+'Gantt Chart Update'!BP150</f>
        <v>750</v>
      </c>
    </row>
    <row r="19" spans="2:61" x14ac:dyDescent="0.2">
      <c r="B19" s="873" t="s">
        <v>15</v>
      </c>
      <c r="C19" s="867" t="s">
        <v>778</v>
      </c>
      <c r="D19" s="530">
        <f t="shared" si="1"/>
        <v>3938</v>
      </c>
      <c r="E19" s="870">
        <f>SUMIFS('Gantt Chart Update'!L:L,'Gantt Chart Update'!$B:$B,'New summary'!$B19,'Gantt Chart Update'!$C:$C,'New summary'!$C19)</f>
        <v>0</v>
      </c>
      <c r="F19" s="375">
        <f>SUMIFS('Gantt Chart Update'!M:M,'Gantt Chart Update'!$B:$B,'New summary'!$B19,'Gantt Chart Update'!$C:$C,'New summary'!$C19)</f>
        <v>0</v>
      </c>
      <c r="G19" s="375">
        <f>SUMIFS('Gantt Chart Update'!N:N,'Gantt Chart Update'!$B:$B,'New summary'!$B19,'Gantt Chart Update'!$C:$C,'New summary'!$C19)</f>
        <v>0</v>
      </c>
      <c r="H19" s="375">
        <f>SUMIFS('Gantt Chart Update'!O:O,'Gantt Chart Update'!$B:$B,'New summary'!$B19,'Gantt Chart Update'!$C:$C,'New summary'!$C19)</f>
        <v>0</v>
      </c>
      <c r="I19" s="375">
        <f>SUMIFS('Gantt Chart Update'!P:P,'Gantt Chart Update'!$B:$B,'New summary'!$B19,'Gantt Chart Update'!$C:$C,'New summary'!$C19)</f>
        <v>0</v>
      </c>
      <c r="J19" s="375">
        <f>SUMIFS('Gantt Chart Update'!Q:Q,'Gantt Chart Update'!$B:$B,'New summary'!$B19,'Gantt Chart Update'!$C:$C,'New summary'!$C19)</f>
        <v>0</v>
      </c>
      <c r="K19" s="375">
        <f>SUMIFS('Gantt Chart Update'!R:R,'Gantt Chart Update'!$B:$B,'New summary'!$B19,'Gantt Chart Update'!$C:$C,'New summary'!$C19)</f>
        <v>0</v>
      </c>
      <c r="L19" s="375">
        <f>SUMIFS('Gantt Chart Update'!S:S,'Gantt Chart Update'!$B:$B,'New summary'!$B19,'Gantt Chart Update'!$C:$C,'New summary'!$C19)</f>
        <v>0</v>
      </c>
      <c r="M19" s="375">
        <f>SUMIFS('Gantt Chart Update'!T:T,'Gantt Chart Update'!$B:$B,'New summary'!$B19,'Gantt Chart Update'!$C:$C,'New summary'!$C19)</f>
        <v>0</v>
      </c>
      <c r="N19" s="375">
        <f>SUMIFS('Gantt Chart Update'!U:U,'Gantt Chart Update'!$B:$B,'New summary'!$B19,'Gantt Chart Update'!$C:$C,'New summary'!$C19)</f>
        <v>0</v>
      </c>
      <c r="O19" s="375">
        <f>SUMIFS('Gantt Chart Update'!V:V,'Gantt Chart Update'!$B:$B,'New summary'!$B19,'Gantt Chart Update'!$C:$C,'New summary'!$C19)</f>
        <v>0</v>
      </c>
      <c r="P19" s="375">
        <f>SUMIFS('Gantt Chart Update'!W:W,'Gantt Chart Update'!$B:$B,'New summary'!$B19,'Gantt Chart Update'!$C:$C,'New summary'!$C19)</f>
        <v>0</v>
      </c>
      <c r="Q19" s="375">
        <f>SUMIFS('Gantt Chart Update'!X:X,'Gantt Chart Update'!$B:$B,'New summary'!$B19,'Gantt Chart Update'!$C:$C,'New summary'!$C19)</f>
        <v>0</v>
      </c>
      <c r="R19" s="375">
        <f>SUMIFS('Gantt Chart Update'!Y:Y,'Gantt Chart Update'!$B:$B,'New summary'!$B19,'Gantt Chart Update'!$C:$C,'New summary'!$C19)</f>
        <v>0</v>
      </c>
      <c r="S19" s="375">
        <f>SUMIFS('Gantt Chart Update'!Z:Z,'Gantt Chart Update'!$B:$B,'New summary'!$B19,'Gantt Chart Update'!$C:$C,'New summary'!$C19)</f>
        <v>0</v>
      </c>
      <c r="T19" s="375">
        <f>SUMIFS('Gantt Chart Update'!AA:AA,'Gantt Chart Update'!$B:$B,'New summary'!$B19,'Gantt Chart Update'!$C:$C,'New summary'!$C19)</f>
        <v>0</v>
      </c>
      <c r="U19" s="375">
        <f>SUMIFS('Gantt Chart Update'!AB:AB,'Gantt Chart Update'!$B:$B,'New summary'!$B19,'Gantt Chart Update'!$C:$C,'New summary'!$C19)</f>
        <v>0</v>
      </c>
      <c r="V19" s="375">
        <f>SUMIFS('Gantt Chart Update'!AC:AC,'Gantt Chart Update'!$B:$B,'New summary'!$B19,'Gantt Chart Update'!$C:$C,'New summary'!$C19)</f>
        <v>0</v>
      </c>
      <c r="W19" s="375">
        <f>SUMIFS('Gantt Chart Update'!AD:AD,'Gantt Chart Update'!$B:$B,'New summary'!$B19,'Gantt Chart Update'!$C:$C,'New summary'!$C19)</f>
        <v>0</v>
      </c>
      <c r="X19" s="375">
        <f>SUMIFS('Gantt Chart Update'!AE:AE,'Gantt Chart Update'!$B:$B,'New summary'!$B19,'Gantt Chart Update'!$C:$C,'New summary'!$C19)</f>
        <v>0</v>
      </c>
      <c r="Y19" s="375">
        <f>SUMIFS('Gantt Chart Update'!AF:AF,'Gantt Chart Update'!$B:$B,'New summary'!$B19,'Gantt Chart Update'!$C:$C,'New summary'!$C19)</f>
        <v>0</v>
      </c>
      <c r="Z19" s="375">
        <f>SUMIFS('Gantt Chart Update'!AG:AG,'Gantt Chart Update'!$B:$B,'New summary'!$B19,'Gantt Chart Update'!$C:$C,'New summary'!$C19)</f>
        <v>0</v>
      </c>
      <c r="AA19" s="375">
        <f>SUMIFS('Gantt Chart Update'!AH:AH,'Gantt Chart Update'!$B:$B,'New summary'!$B19,'Gantt Chart Update'!$C:$C,'New summary'!$C19)</f>
        <v>0</v>
      </c>
      <c r="AB19" s="375">
        <f>SUMIFS('Gantt Chart Update'!AI:AI,'Gantt Chart Update'!$B:$B,'New summary'!$B19,'Gantt Chart Update'!$C:$C,'New summary'!$C19)</f>
        <v>0</v>
      </c>
      <c r="AC19" s="375">
        <f>SUMIFS('Gantt Chart Update'!AJ:AJ,'Gantt Chart Update'!$B:$B,'New summary'!$B19,'Gantt Chart Update'!$C:$C,'New summary'!$C19)</f>
        <v>0</v>
      </c>
      <c r="AD19" s="375">
        <f>SUMIFS('Gantt Chart Update'!AK:AK,'Gantt Chart Update'!$B:$B,'New summary'!$B19,'Gantt Chart Update'!$C:$C,'New summary'!$C19)</f>
        <v>0</v>
      </c>
      <c r="AE19" s="375">
        <f>SUMIFS('Gantt Chart Update'!AL:AL,'Gantt Chart Update'!$B:$B,'New summary'!$B19,'Gantt Chart Update'!$C:$C,'New summary'!$C19)</f>
        <v>0</v>
      </c>
      <c r="AF19" s="375">
        <f>SUMIFS('Gantt Chart Update'!AM:AM,'Gantt Chart Update'!$B:$B,'New summary'!$B19,'Gantt Chart Update'!$C:$C,'New summary'!$C19)</f>
        <v>0</v>
      </c>
      <c r="AG19" s="375">
        <f>SUMIFS('Gantt Chart Update'!AN:AN,'Gantt Chart Update'!$B:$B,'New summary'!$B19,'Gantt Chart Update'!$C:$C,'New summary'!$C19)</f>
        <v>0</v>
      </c>
      <c r="AH19" s="375">
        <f>SUMIFS('Gantt Chart Update'!AO:AO,'Gantt Chart Update'!$B:$B,'New summary'!$B19,'Gantt Chart Update'!$C:$C,'New summary'!$C19)</f>
        <v>0</v>
      </c>
      <c r="AI19" s="375">
        <f>SUMIFS('Gantt Chart Update'!AP:AP,'Gantt Chart Update'!$B:$B,'New summary'!$B19,'Gantt Chart Update'!$C:$C,'New summary'!$C19)</f>
        <v>0</v>
      </c>
      <c r="AJ19" s="375">
        <f>SUMIFS('Gantt Chart Update'!AQ:AQ,'Gantt Chart Update'!$B:$B,'New summary'!$B19,'Gantt Chart Update'!$C:$C,'New summary'!$C19)</f>
        <v>0</v>
      </c>
      <c r="AK19" s="375">
        <f>SUMIFS('Gantt Chart Update'!AR:AR,'Gantt Chart Update'!$B:$B,'New summary'!$B19,'Gantt Chart Update'!$C:$C,'New summary'!$C19)</f>
        <v>0</v>
      </c>
      <c r="AL19" s="375">
        <f>SUMIFS('Gantt Chart Update'!AS:AS,'Gantt Chart Update'!$B:$B,'New summary'!$B19,'Gantt Chart Update'!$C:$C,'New summary'!$C19)</f>
        <v>0</v>
      </c>
      <c r="AM19" s="375">
        <f>SUMIFS('Gantt Chart Update'!AT:AT,'Gantt Chart Update'!$B:$B,'New summary'!$B19,'Gantt Chart Update'!$C:$C,'New summary'!$C19)</f>
        <v>0</v>
      </c>
      <c r="AN19" s="375">
        <f>SUMIFS('Gantt Chart Update'!AU:AU,'Gantt Chart Update'!$B:$B,'New summary'!$B19,'Gantt Chart Update'!$C:$C,'New summary'!$C19)</f>
        <v>1038</v>
      </c>
      <c r="AO19" s="375">
        <f>SUMIFS('Gantt Chart Update'!AV:AV,'Gantt Chart Update'!$B:$B,'New summary'!$B19,'Gantt Chart Update'!$C:$C,'New summary'!$C19)</f>
        <v>0</v>
      </c>
      <c r="AP19" s="375">
        <f>SUMIFS('Gantt Chart Update'!AW:AW,'Gantt Chart Update'!$B:$B,'New summary'!$B19,'Gantt Chart Update'!$C:$C,'New summary'!$C19)</f>
        <v>0</v>
      </c>
      <c r="AQ19" s="375">
        <f>SUMIFS('Gantt Chart Update'!AX:AX,'Gantt Chart Update'!$B:$B,'New summary'!$B19,'Gantt Chart Update'!$C:$C,'New summary'!$C19)</f>
        <v>0</v>
      </c>
      <c r="AR19" s="375">
        <f>SUMIFS('Gantt Chart Update'!AY:AY,'Gantt Chart Update'!$B:$B,'New summary'!$B19,'Gantt Chart Update'!$C:$C,'New summary'!$C19)</f>
        <v>0</v>
      </c>
      <c r="AS19" s="375">
        <f>SUMIFS('Gantt Chart Update'!AZ:AZ,'Gantt Chart Update'!$B:$B,'New summary'!$B19,'Gantt Chart Update'!$C:$C,'New summary'!$C19)</f>
        <v>0</v>
      </c>
      <c r="AT19" s="375">
        <f>SUMIFS('Gantt Chart Update'!BA:BA,'Gantt Chart Update'!$B:$B,'New summary'!$B19,'Gantt Chart Update'!$C:$C,'New summary'!$C19)</f>
        <v>0</v>
      </c>
      <c r="AU19" s="375">
        <f>SUMIFS('Gantt Chart Update'!BB:BB,'Gantt Chart Update'!$B:$B,'New summary'!$B19,'Gantt Chart Update'!$C:$C,'New summary'!$C19)</f>
        <v>0</v>
      </c>
      <c r="AV19" s="375">
        <f>SUMIFS('Gantt Chart Update'!BC:BC,'Gantt Chart Update'!$B:$B,'New summary'!$B19,'Gantt Chart Update'!$C:$C,'New summary'!$C19)</f>
        <v>0</v>
      </c>
      <c r="AW19" s="375">
        <f>SUMIFS('Gantt Chart Update'!BD:BD,'Gantt Chart Update'!$B:$B,'New summary'!$B19,'Gantt Chart Update'!$C:$C,'New summary'!$C19)</f>
        <v>0</v>
      </c>
      <c r="AX19" s="375">
        <f>SUMIFS('Gantt Chart Update'!BE:BE,'Gantt Chart Update'!$B:$B,'New summary'!$B19,'Gantt Chart Update'!$C:$C,'New summary'!$C19)</f>
        <v>1900</v>
      </c>
      <c r="AY19" s="375">
        <f>SUMIFS('Gantt Chart Update'!BF:BF,'Gantt Chart Update'!$B:$B,'New summary'!$B19,'Gantt Chart Update'!$C:$C,'New summary'!$C19)</f>
        <v>1000</v>
      </c>
      <c r="AZ19" s="375">
        <f>SUMIFS('Gantt Chart Update'!BG:BG,'Gantt Chart Update'!$B:$B,'New summary'!$B19,'Gantt Chart Update'!$C:$C,'New summary'!$C19)</f>
        <v>0</v>
      </c>
      <c r="BA19" s="375">
        <f>SUMIFS('Gantt Chart Update'!BH:BH,'Gantt Chart Update'!$B:$B,'New summary'!$B19,'Gantt Chart Update'!$C:$C,'New summary'!$C19)</f>
        <v>0</v>
      </c>
      <c r="BB19" s="375">
        <f>SUMIFS('Gantt Chart Update'!BI:BI,'Gantt Chart Update'!$B:$B,'New summary'!$B19,'Gantt Chart Update'!$C:$C,'New summary'!$C19)</f>
        <v>0</v>
      </c>
      <c r="BC19" s="375">
        <f>SUMIFS('Gantt Chart Update'!BJ:BJ,'Gantt Chart Update'!$B:$B,'New summary'!$B19,'Gantt Chart Update'!$C:$C,'New summary'!$C19)</f>
        <v>0</v>
      </c>
      <c r="BD19" s="375">
        <f>SUMIFS('Gantt Chart Update'!BK:BK,'Gantt Chart Update'!$B:$B,'New summary'!$B19,'Gantt Chart Update'!$C:$C,'New summary'!$C19)</f>
        <v>0</v>
      </c>
      <c r="BE19" s="375">
        <f>SUMIFS('Gantt Chart Update'!BL:BL,'Gantt Chart Update'!$B:$B,'New summary'!$B19,'Gantt Chart Update'!$C:$C,'New summary'!$C19)</f>
        <v>0</v>
      </c>
      <c r="BF19" s="375">
        <f>SUMIFS('Gantt Chart Update'!BM:BM,'Gantt Chart Update'!$B:$B,'New summary'!$B19,'Gantt Chart Update'!$C:$C,'New summary'!$C19)</f>
        <v>0</v>
      </c>
      <c r="BG19" s="375">
        <f>SUMIFS('Gantt Chart Update'!BN:BN,'Gantt Chart Update'!$B:$B,'New summary'!$B19,'Gantt Chart Update'!$C:$C,'New summary'!$C19)</f>
        <v>0</v>
      </c>
      <c r="BH19" s="375">
        <f>SUMIFS('Gantt Chart Update'!BO:BO,'Gantt Chart Update'!$B:$B,'New summary'!$B19,'Gantt Chart Update'!$C:$C,'New summary'!$C19)</f>
        <v>0</v>
      </c>
      <c r="BI19" s="375">
        <f>SUMIFS('Gantt Chart Update'!BP:BP,'Gantt Chart Update'!$B:$B,'New summary'!$B19,'Gantt Chart Update'!$C:$C,'New summary'!$C19)</f>
        <v>0</v>
      </c>
    </row>
    <row r="20" spans="2:61" x14ac:dyDescent="0.2">
      <c r="B20" s="873" t="s">
        <v>15</v>
      </c>
      <c r="C20" s="867" t="s">
        <v>820</v>
      </c>
      <c r="D20" s="530">
        <f t="shared" si="1"/>
        <v>18420</v>
      </c>
      <c r="E20" s="870">
        <f>SUMIFS('Gantt Chart Update'!L:L,'Gantt Chart Update'!$B:$B,'New summary'!$B20,'Gantt Chart Update'!$C:$C,'New summary'!$C20)</f>
        <v>0</v>
      </c>
      <c r="F20" s="375">
        <f>SUMIFS('Gantt Chart Update'!M:M,'Gantt Chart Update'!$B:$B,'New summary'!$B20,'Gantt Chart Update'!$C:$C,'New summary'!$C20)</f>
        <v>160</v>
      </c>
      <c r="G20" s="375">
        <f>SUMIFS('Gantt Chart Update'!N:N,'Gantt Chart Update'!$B:$B,'New summary'!$B20,'Gantt Chart Update'!$C:$C,'New summary'!$C20)</f>
        <v>1814</v>
      </c>
      <c r="H20" s="375">
        <f>SUMIFS('Gantt Chart Update'!O:O,'Gantt Chart Update'!$B:$B,'New summary'!$B20,'Gantt Chart Update'!$C:$C,'New summary'!$C20)</f>
        <v>0</v>
      </c>
      <c r="I20" s="375">
        <f>SUMIFS('Gantt Chart Update'!P:P,'Gantt Chart Update'!$B:$B,'New summary'!$B20,'Gantt Chart Update'!$C:$C,'New summary'!$C20)</f>
        <v>0</v>
      </c>
      <c r="J20" s="375">
        <f>SUMIFS('Gantt Chart Update'!Q:Q,'Gantt Chart Update'!$B:$B,'New summary'!$B20,'Gantt Chart Update'!$C:$C,'New summary'!$C20)</f>
        <v>0</v>
      </c>
      <c r="K20" s="375">
        <f>SUMIFS('Gantt Chart Update'!R:R,'Gantt Chart Update'!$B:$B,'New summary'!$B20,'Gantt Chart Update'!$C:$C,'New summary'!$C20)</f>
        <v>420</v>
      </c>
      <c r="L20" s="375">
        <f>SUMIFS('Gantt Chart Update'!S:S,'Gantt Chart Update'!$B:$B,'New summary'!$B20,'Gantt Chart Update'!$C:$C,'New summary'!$C20)</f>
        <v>0</v>
      </c>
      <c r="M20" s="375">
        <f>SUMIFS('Gantt Chart Update'!T:T,'Gantt Chart Update'!$B:$B,'New summary'!$B20,'Gantt Chart Update'!$C:$C,'New summary'!$C20)</f>
        <v>0</v>
      </c>
      <c r="N20" s="375">
        <f>SUMIFS('Gantt Chart Update'!U:U,'Gantt Chart Update'!$B:$B,'New summary'!$B20,'Gantt Chart Update'!$C:$C,'New summary'!$C20)</f>
        <v>0</v>
      </c>
      <c r="O20" s="375">
        <f>SUMIFS('Gantt Chart Update'!V:V,'Gantt Chart Update'!$B:$B,'New summary'!$B20,'Gantt Chart Update'!$C:$C,'New summary'!$C20)</f>
        <v>0</v>
      </c>
      <c r="P20" s="375">
        <f>SUMIFS('Gantt Chart Update'!W:W,'Gantt Chart Update'!$B:$B,'New summary'!$B20,'Gantt Chart Update'!$C:$C,'New summary'!$C20)</f>
        <v>696</v>
      </c>
      <c r="Q20" s="375">
        <f>SUMIFS('Gantt Chart Update'!X:X,'Gantt Chart Update'!$B:$B,'New summary'!$B20,'Gantt Chart Update'!$C:$C,'New summary'!$C20)</f>
        <v>624</v>
      </c>
      <c r="R20" s="375">
        <f>SUMIFS('Gantt Chart Update'!Y:Y,'Gantt Chart Update'!$B:$B,'New summary'!$B20,'Gantt Chart Update'!$C:$C,'New summary'!$C20)</f>
        <v>0</v>
      </c>
      <c r="S20" s="375">
        <f>SUMIFS('Gantt Chart Update'!Z:Z,'Gantt Chart Update'!$B:$B,'New summary'!$B20,'Gantt Chart Update'!$C:$C,'New summary'!$C20)</f>
        <v>0</v>
      </c>
      <c r="T20" s="375">
        <f>SUMIFS('Gantt Chart Update'!AA:AA,'Gantt Chart Update'!$B:$B,'New summary'!$B20,'Gantt Chart Update'!$C:$C,'New summary'!$C20)</f>
        <v>0</v>
      </c>
      <c r="U20" s="375">
        <f>SUMIFS('Gantt Chart Update'!AB:AB,'Gantt Chart Update'!$B:$B,'New summary'!$B20,'Gantt Chart Update'!$C:$C,'New summary'!$C20)</f>
        <v>200</v>
      </c>
      <c r="V20" s="375">
        <f>SUMIFS('Gantt Chart Update'!AC:AC,'Gantt Chart Update'!$B:$B,'New summary'!$B20,'Gantt Chart Update'!$C:$C,'New summary'!$C20)</f>
        <v>1018</v>
      </c>
      <c r="W20" s="375">
        <f>SUMIFS('Gantt Chart Update'!AD:AD,'Gantt Chart Update'!$B:$B,'New summary'!$B20,'Gantt Chart Update'!$C:$C,'New summary'!$C20)</f>
        <v>0</v>
      </c>
      <c r="X20" s="375">
        <f>SUMIFS('Gantt Chart Update'!AE:AE,'Gantt Chart Update'!$B:$B,'New summary'!$B20,'Gantt Chart Update'!$C:$C,'New summary'!$C20)</f>
        <v>0</v>
      </c>
      <c r="Y20" s="375">
        <f>SUMIFS('Gantt Chart Update'!AF:AF,'Gantt Chart Update'!$B:$B,'New summary'!$B20,'Gantt Chart Update'!$C:$C,'New summary'!$C20)</f>
        <v>0</v>
      </c>
      <c r="Z20" s="375">
        <f>SUMIFS('Gantt Chart Update'!AG:AG,'Gantt Chart Update'!$B:$B,'New summary'!$B20,'Gantt Chart Update'!$C:$C,'New summary'!$C20)</f>
        <v>0</v>
      </c>
      <c r="AA20" s="375">
        <f>SUMIFS('Gantt Chart Update'!AH:AH,'Gantt Chart Update'!$B:$B,'New summary'!$B20,'Gantt Chart Update'!$C:$C,'New summary'!$C20)</f>
        <v>1666</v>
      </c>
      <c r="AB20" s="375">
        <f>SUMIFS('Gantt Chart Update'!AI:AI,'Gantt Chart Update'!$B:$B,'New summary'!$B20,'Gantt Chart Update'!$C:$C,'New summary'!$C20)</f>
        <v>2242</v>
      </c>
      <c r="AC20" s="375">
        <f>SUMIFS('Gantt Chart Update'!AJ:AJ,'Gantt Chart Update'!$B:$B,'New summary'!$B20,'Gantt Chart Update'!$C:$C,'New summary'!$C20)</f>
        <v>340</v>
      </c>
      <c r="AD20" s="375">
        <f>SUMIFS('Gantt Chart Update'!AK:AK,'Gantt Chart Update'!$B:$B,'New summary'!$B20,'Gantt Chart Update'!$C:$C,'New summary'!$C20)</f>
        <v>0</v>
      </c>
      <c r="AE20" s="375">
        <f>SUMIFS('Gantt Chart Update'!AL:AL,'Gantt Chart Update'!$B:$B,'New summary'!$B20,'Gantt Chart Update'!$C:$C,'New summary'!$C20)</f>
        <v>0</v>
      </c>
      <c r="AF20" s="375">
        <f>SUMIFS('Gantt Chart Update'!AM:AM,'Gantt Chart Update'!$B:$B,'New summary'!$B20,'Gantt Chart Update'!$C:$C,'New summary'!$C20)</f>
        <v>1572</v>
      </c>
      <c r="AG20" s="375">
        <f>SUMIFS('Gantt Chart Update'!AN:AN,'Gantt Chart Update'!$B:$B,'New summary'!$B20,'Gantt Chart Update'!$C:$C,'New summary'!$C20)</f>
        <v>0</v>
      </c>
      <c r="AH20" s="375">
        <f>SUMIFS('Gantt Chart Update'!AO:AO,'Gantt Chart Update'!$B:$B,'New summary'!$B20,'Gantt Chart Update'!$C:$C,'New summary'!$C20)</f>
        <v>0</v>
      </c>
      <c r="AI20" s="375">
        <f>SUMIFS('Gantt Chart Update'!AP:AP,'Gantt Chart Update'!$B:$B,'New summary'!$B20,'Gantt Chart Update'!$C:$C,'New summary'!$C20)</f>
        <v>0</v>
      </c>
      <c r="AJ20" s="375">
        <f>SUMIFS('Gantt Chart Update'!AQ:AQ,'Gantt Chart Update'!$B:$B,'New summary'!$B20,'Gantt Chart Update'!$C:$C,'New summary'!$C20)</f>
        <v>0</v>
      </c>
      <c r="AK20" s="375">
        <f>SUMIFS('Gantt Chart Update'!AR:AR,'Gantt Chart Update'!$B:$B,'New summary'!$B20,'Gantt Chart Update'!$C:$C,'New summary'!$C20)</f>
        <v>0</v>
      </c>
      <c r="AL20" s="375">
        <f>SUMIFS('Gantt Chart Update'!AS:AS,'Gantt Chart Update'!$B:$B,'New summary'!$B20,'Gantt Chart Update'!$C:$C,'New summary'!$C20)</f>
        <v>0</v>
      </c>
      <c r="AM20" s="375">
        <f>SUMIFS('Gantt Chart Update'!AT:AT,'Gantt Chart Update'!$B:$B,'New summary'!$B20,'Gantt Chart Update'!$C:$C,'New summary'!$C20)</f>
        <v>1560</v>
      </c>
      <c r="AN20" s="375">
        <f>SUMIFS('Gantt Chart Update'!AU:AU,'Gantt Chart Update'!$B:$B,'New summary'!$B20,'Gantt Chart Update'!$C:$C,'New summary'!$C20)</f>
        <v>0</v>
      </c>
      <c r="AO20" s="375">
        <f>SUMIFS('Gantt Chart Update'!AV:AV,'Gantt Chart Update'!$B:$B,'New summary'!$B20,'Gantt Chart Update'!$C:$C,'New summary'!$C20)</f>
        <v>1548</v>
      </c>
      <c r="AP20" s="375">
        <f>SUMIFS('Gantt Chart Update'!AW:AW,'Gantt Chart Update'!$B:$B,'New summary'!$B20,'Gantt Chart Update'!$C:$C,'New summary'!$C20)</f>
        <v>0</v>
      </c>
      <c r="AQ20" s="375">
        <f>SUMIFS('Gantt Chart Update'!AX:AX,'Gantt Chart Update'!$B:$B,'New summary'!$B20,'Gantt Chart Update'!$C:$C,'New summary'!$C20)</f>
        <v>0</v>
      </c>
      <c r="AR20" s="375">
        <f>SUMIFS('Gantt Chart Update'!AY:AY,'Gantt Chart Update'!$B:$B,'New summary'!$B20,'Gantt Chart Update'!$C:$C,'New summary'!$C20)</f>
        <v>0</v>
      </c>
      <c r="AS20" s="375">
        <f>SUMIFS('Gantt Chart Update'!AZ:AZ,'Gantt Chart Update'!$B:$B,'New summary'!$B20,'Gantt Chart Update'!$C:$C,'New summary'!$C20)</f>
        <v>400</v>
      </c>
      <c r="AT20" s="375">
        <f>SUMIFS('Gantt Chart Update'!BA:BA,'Gantt Chart Update'!$B:$B,'New summary'!$B20,'Gantt Chart Update'!$C:$C,'New summary'!$C20)</f>
        <v>710</v>
      </c>
      <c r="AU20" s="375">
        <f>SUMIFS('Gantt Chart Update'!BB:BB,'Gantt Chart Update'!$B:$B,'New summary'!$B20,'Gantt Chart Update'!$C:$C,'New summary'!$C20)</f>
        <v>0</v>
      </c>
      <c r="AV20" s="375">
        <f>SUMIFS('Gantt Chart Update'!BC:BC,'Gantt Chart Update'!$B:$B,'New summary'!$B20,'Gantt Chart Update'!$C:$C,'New summary'!$C20)</f>
        <v>0</v>
      </c>
      <c r="AW20" s="375">
        <f>SUMIFS('Gantt Chart Update'!BD:BD,'Gantt Chart Update'!$B:$B,'New summary'!$B20,'Gantt Chart Update'!$C:$C,'New summary'!$C20)</f>
        <v>0</v>
      </c>
      <c r="AX20" s="375">
        <f>SUMIFS('Gantt Chart Update'!BE:BE,'Gantt Chart Update'!$B:$B,'New summary'!$B20,'Gantt Chart Update'!$C:$C,'New summary'!$C20)</f>
        <v>0</v>
      </c>
      <c r="AY20" s="375">
        <f>SUMIFS('Gantt Chart Update'!BF:BF,'Gantt Chart Update'!$B:$B,'New summary'!$B20,'Gantt Chart Update'!$C:$C,'New summary'!$C20)</f>
        <v>0</v>
      </c>
      <c r="AZ20" s="375">
        <f>SUMIFS('Gantt Chart Update'!BG:BG,'Gantt Chart Update'!$B:$B,'New summary'!$B20,'Gantt Chart Update'!$C:$C,'New summary'!$C20)</f>
        <v>0</v>
      </c>
      <c r="BA20" s="375">
        <f>SUMIFS('Gantt Chart Update'!BH:BH,'Gantt Chart Update'!$B:$B,'New summary'!$B20,'Gantt Chart Update'!$C:$C,'New summary'!$C20)</f>
        <v>0</v>
      </c>
      <c r="BB20" s="375">
        <f>SUMIFS('Gantt Chart Update'!BI:BI,'Gantt Chart Update'!$B:$B,'New summary'!$B20,'Gantt Chart Update'!$C:$C,'New summary'!$C20)</f>
        <v>300</v>
      </c>
      <c r="BC20" s="375">
        <f>SUMIFS('Gantt Chart Update'!BJ:BJ,'Gantt Chart Update'!$B:$B,'New summary'!$B20,'Gantt Chart Update'!$C:$C,'New summary'!$C20)</f>
        <v>2664</v>
      </c>
      <c r="BD20" s="375">
        <f>SUMIFS('Gantt Chart Update'!BK:BK,'Gantt Chart Update'!$B:$B,'New summary'!$B20,'Gantt Chart Update'!$C:$C,'New summary'!$C20)</f>
        <v>0</v>
      </c>
      <c r="BE20" s="375">
        <f>SUMIFS('Gantt Chart Update'!BL:BL,'Gantt Chart Update'!$B:$B,'New summary'!$B20,'Gantt Chart Update'!$C:$C,'New summary'!$C20)</f>
        <v>0</v>
      </c>
      <c r="BF20" s="375">
        <f>SUMIFS('Gantt Chart Update'!BM:BM,'Gantt Chart Update'!$B:$B,'New summary'!$B20,'Gantt Chart Update'!$C:$C,'New summary'!$C20)</f>
        <v>60</v>
      </c>
      <c r="BG20" s="375">
        <f>SUMIFS('Gantt Chart Update'!BN:BN,'Gantt Chart Update'!$B:$B,'New summary'!$B20,'Gantt Chart Update'!$C:$C,'New summary'!$C20)</f>
        <v>2400</v>
      </c>
      <c r="BH20" s="375">
        <f>SUMIFS('Gantt Chart Update'!BO:BO,'Gantt Chart Update'!$B:$B,'New summary'!$B20,'Gantt Chart Update'!$C:$C,'New summary'!$C20)</f>
        <v>0</v>
      </c>
      <c r="BI20" s="375">
        <f>SUMIFS('Gantt Chart Update'!BP:BP,'Gantt Chart Update'!$B:$B,'New summary'!$B20,'Gantt Chart Update'!$C:$C,'New summary'!$C20)</f>
        <v>0</v>
      </c>
    </row>
    <row r="21" spans="2:61" x14ac:dyDescent="0.2">
      <c r="B21" s="873" t="s">
        <v>60</v>
      </c>
      <c r="C21" s="867" t="s">
        <v>300</v>
      </c>
      <c r="D21" s="530">
        <f t="shared" si="1"/>
        <v>600</v>
      </c>
      <c r="E21" s="870">
        <f>SUMIFS('Gantt Chart Update'!L:L,'Gantt Chart Update'!$B:$B,'New summary'!$B21,'Gantt Chart Update'!$C:$C,'New summary'!$C21)</f>
        <v>0</v>
      </c>
      <c r="F21" s="375">
        <f>SUMIFS('Gantt Chart Update'!M:M,'Gantt Chart Update'!$B:$B,'New summary'!$B21,'Gantt Chart Update'!$C:$C,'New summary'!$C21)</f>
        <v>0</v>
      </c>
      <c r="G21" s="375">
        <f>SUMIFS('Gantt Chart Update'!N:N,'Gantt Chart Update'!$B:$B,'New summary'!$B21,'Gantt Chart Update'!$C:$C,'New summary'!$C21)</f>
        <v>0</v>
      </c>
      <c r="H21" s="375">
        <f>SUMIFS('Gantt Chart Update'!O:O,'Gantt Chart Update'!$B:$B,'New summary'!$B21,'Gantt Chart Update'!$C:$C,'New summary'!$C21)</f>
        <v>0</v>
      </c>
      <c r="I21" s="375">
        <f>SUMIFS('Gantt Chart Update'!P:P,'Gantt Chart Update'!$B:$B,'New summary'!$B21,'Gantt Chart Update'!$C:$C,'New summary'!$C21)</f>
        <v>0</v>
      </c>
      <c r="J21" s="375">
        <f>SUMIFS('Gantt Chart Update'!Q:Q,'Gantt Chart Update'!$B:$B,'New summary'!$B21,'Gantt Chart Update'!$C:$C,'New summary'!$C21)</f>
        <v>0</v>
      </c>
      <c r="K21" s="375">
        <f>SUMIFS('Gantt Chart Update'!R:R,'Gantt Chart Update'!$B:$B,'New summary'!$B21,'Gantt Chart Update'!$C:$C,'New summary'!$C21)</f>
        <v>0</v>
      </c>
      <c r="L21" s="375">
        <f>SUMIFS('Gantt Chart Update'!S:S,'Gantt Chart Update'!$B:$B,'New summary'!$B21,'Gantt Chart Update'!$C:$C,'New summary'!$C21)</f>
        <v>0</v>
      </c>
      <c r="M21" s="375">
        <f>SUMIFS('Gantt Chart Update'!T:T,'Gantt Chart Update'!$B:$B,'New summary'!$B21,'Gantt Chart Update'!$C:$C,'New summary'!$C21)</f>
        <v>0</v>
      </c>
      <c r="N21" s="375">
        <f>SUMIFS('Gantt Chart Update'!U:U,'Gantt Chart Update'!$B:$B,'New summary'!$B21,'Gantt Chart Update'!$C:$C,'New summary'!$C21)</f>
        <v>0</v>
      </c>
      <c r="O21" s="375">
        <f>SUMIFS('Gantt Chart Update'!V:V,'Gantt Chart Update'!$B:$B,'New summary'!$B21,'Gantt Chart Update'!$C:$C,'New summary'!$C21)</f>
        <v>0</v>
      </c>
      <c r="P21" s="375">
        <f>SUMIFS('Gantt Chart Update'!W:W,'Gantt Chart Update'!$B:$B,'New summary'!$B21,'Gantt Chart Update'!$C:$C,'New summary'!$C21)</f>
        <v>0</v>
      </c>
      <c r="Q21" s="375">
        <f>SUMIFS('Gantt Chart Update'!X:X,'Gantt Chart Update'!$B:$B,'New summary'!$B21,'Gantt Chart Update'!$C:$C,'New summary'!$C21)</f>
        <v>0</v>
      </c>
      <c r="R21" s="375">
        <f>SUMIFS('Gantt Chart Update'!Y:Y,'Gantt Chart Update'!$B:$B,'New summary'!$B21,'Gantt Chart Update'!$C:$C,'New summary'!$C21)</f>
        <v>0</v>
      </c>
      <c r="S21" s="375">
        <f>SUMIFS('Gantt Chart Update'!Z:Z,'Gantt Chart Update'!$B:$B,'New summary'!$B21,'Gantt Chart Update'!$C:$C,'New summary'!$C21)</f>
        <v>0</v>
      </c>
      <c r="T21" s="375">
        <f>SUMIFS('Gantt Chart Update'!AA:AA,'Gantt Chart Update'!$B:$B,'New summary'!$B21,'Gantt Chart Update'!$C:$C,'New summary'!$C21)</f>
        <v>0</v>
      </c>
      <c r="U21" s="375">
        <f>SUMIFS('Gantt Chart Update'!AB:AB,'Gantt Chart Update'!$B:$B,'New summary'!$B21,'Gantt Chart Update'!$C:$C,'New summary'!$C21)</f>
        <v>0</v>
      </c>
      <c r="V21" s="375">
        <f>SUMIFS('Gantt Chart Update'!AC:AC,'Gantt Chart Update'!$B:$B,'New summary'!$B21,'Gantt Chart Update'!$C:$C,'New summary'!$C21)</f>
        <v>0</v>
      </c>
      <c r="W21" s="375">
        <f>SUMIFS('Gantt Chart Update'!AD:AD,'Gantt Chart Update'!$B:$B,'New summary'!$B21,'Gantt Chart Update'!$C:$C,'New summary'!$C21)</f>
        <v>0</v>
      </c>
      <c r="X21" s="375">
        <f>SUMIFS('Gantt Chart Update'!AE:AE,'Gantt Chart Update'!$B:$B,'New summary'!$B21,'Gantt Chart Update'!$C:$C,'New summary'!$C21)</f>
        <v>0</v>
      </c>
      <c r="Y21" s="375">
        <f>SUMIFS('Gantt Chart Update'!AF:AF,'Gantt Chart Update'!$B:$B,'New summary'!$B21,'Gantt Chart Update'!$C:$C,'New summary'!$C21)</f>
        <v>0</v>
      </c>
      <c r="Z21" s="375">
        <f>SUMIFS('Gantt Chart Update'!AG:AG,'Gantt Chart Update'!$B:$B,'New summary'!$B21,'Gantt Chart Update'!$C:$C,'New summary'!$C21)</f>
        <v>0</v>
      </c>
      <c r="AA21" s="375">
        <f>SUMIFS('Gantt Chart Update'!AH:AH,'Gantt Chart Update'!$B:$B,'New summary'!$B21,'Gantt Chart Update'!$C:$C,'New summary'!$C21)</f>
        <v>0</v>
      </c>
      <c r="AB21" s="375">
        <f>SUMIFS('Gantt Chart Update'!AI:AI,'Gantt Chart Update'!$B:$B,'New summary'!$B21,'Gantt Chart Update'!$C:$C,'New summary'!$C21)</f>
        <v>0</v>
      </c>
      <c r="AC21" s="375">
        <f>SUMIFS('Gantt Chart Update'!AJ:AJ,'Gantt Chart Update'!$B:$B,'New summary'!$B21,'Gantt Chart Update'!$C:$C,'New summary'!$C21)</f>
        <v>0</v>
      </c>
      <c r="AD21" s="375">
        <f>SUMIFS('Gantt Chart Update'!AK:AK,'Gantt Chart Update'!$B:$B,'New summary'!$B21,'Gantt Chart Update'!$C:$C,'New summary'!$C21)</f>
        <v>0</v>
      </c>
      <c r="AE21" s="375">
        <f>SUMIFS('Gantt Chart Update'!AL:AL,'Gantt Chart Update'!$B:$B,'New summary'!$B21,'Gantt Chart Update'!$C:$C,'New summary'!$C21)</f>
        <v>0</v>
      </c>
      <c r="AF21" s="375">
        <f>SUMIFS('Gantt Chart Update'!AM:AM,'Gantt Chart Update'!$B:$B,'New summary'!$B21,'Gantt Chart Update'!$C:$C,'New summary'!$C21)</f>
        <v>0</v>
      </c>
      <c r="AG21" s="375">
        <f>SUMIFS('Gantt Chart Update'!AN:AN,'Gantt Chart Update'!$B:$B,'New summary'!$B21,'Gantt Chart Update'!$C:$C,'New summary'!$C21)</f>
        <v>0</v>
      </c>
      <c r="AH21" s="375">
        <f>SUMIFS('Gantt Chart Update'!AO:AO,'Gantt Chart Update'!$B:$B,'New summary'!$B21,'Gantt Chart Update'!$C:$C,'New summary'!$C21)</f>
        <v>0</v>
      </c>
      <c r="AI21" s="375">
        <f>SUMIFS('Gantt Chart Update'!AP:AP,'Gantt Chart Update'!$B:$B,'New summary'!$B21,'Gantt Chart Update'!$C:$C,'New summary'!$C21)</f>
        <v>0</v>
      </c>
      <c r="AJ21" s="375">
        <f>SUMIFS('Gantt Chart Update'!AQ:AQ,'Gantt Chart Update'!$B:$B,'New summary'!$B21,'Gantt Chart Update'!$C:$C,'New summary'!$C21)</f>
        <v>0</v>
      </c>
      <c r="AK21" s="375">
        <f>SUMIFS('Gantt Chart Update'!AR:AR,'Gantt Chart Update'!$B:$B,'New summary'!$B21,'Gantt Chart Update'!$C:$C,'New summary'!$C21)</f>
        <v>600</v>
      </c>
      <c r="AL21" s="375">
        <f>SUMIFS('Gantt Chart Update'!AS:AS,'Gantt Chart Update'!$B:$B,'New summary'!$B21,'Gantt Chart Update'!$C:$C,'New summary'!$C21)</f>
        <v>0</v>
      </c>
      <c r="AM21" s="375">
        <f>SUMIFS('Gantt Chart Update'!AT:AT,'Gantt Chart Update'!$B:$B,'New summary'!$B21,'Gantt Chart Update'!$C:$C,'New summary'!$C21)</f>
        <v>0</v>
      </c>
      <c r="AN21" s="375">
        <f>SUMIFS('Gantt Chart Update'!AU:AU,'Gantt Chart Update'!$B:$B,'New summary'!$B21,'Gantt Chart Update'!$C:$C,'New summary'!$C21)</f>
        <v>0</v>
      </c>
      <c r="AO21" s="375">
        <f>SUMIFS('Gantt Chart Update'!AV:AV,'Gantt Chart Update'!$B:$B,'New summary'!$B21,'Gantt Chart Update'!$C:$C,'New summary'!$C21)</f>
        <v>0</v>
      </c>
      <c r="AP21" s="375">
        <f>SUMIFS('Gantt Chart Update'!AW:AW,'Gantt Chart Update'!$B:$B,'New summary'!$B21,'Gantt Chart Update'!$C:$C,'New summary'!$C21)</f>
        <v>0</v>
      </c>
      <c r="AQ21" s="375">
        <f>SUMIFS('Gantt Chart Update'!AX:AX,'Gantt Chart Update'!$B:$B,'New summary'!$B21,'Gantt Chart Update'!$C:$C,'New summary'!$C21)</f>
        <v>0</v>
      </c>
      <c r="AR21" s="375">
        <f>SUMIFS('Gantt Chart Update'!AY:AY,'Gantt Chart Update'!$B:$B,'New summary'!$B21,'Gantt Chart Update'!$C:$C,'New summary'!$C21)</f>
        <v>0</v>
      </c>
      <c r="AS21" s="375">
        <f>SUMIFS('Gantt Chart Update'!AZ:AZ,'Gantt Chart Update'!$B:$B,'New summary'!$B21,'Gantt Chart Update'!$C:$C,'New summary'!$C21)</f>
        <v>0</v>
      </c>
      <c r="AT21" s="375">
        <f>SUMIFS('Gantt Chart Update'!BA:BA,'Gantt Chart Update'!$B:$B,'New summary'!$B21,'Gantt Chart Update'!$C:$C,'New summary'!$C21)</f>
        <v>0</v>
      </c>
      <c r="AU21" s="375">
        <f>SUMIFS('Gantt Chart Update'!BB:BB,'Gantt Chart Update'!$B:$B,'New summary'!$B21,'Gantt Chart Update'!$C:$C,'New summary'!$C21)</f>
        <v>0</v>
      </c>
      <c r="AV21" s="375">
        <f>SUMIFS('Gantt Chart Update'!BC:BC,'Gantt Chart Update'!$B:$B,'New summary'!$B21,'Gantt Chart Update'!$C:$C,'New summary'!$C21)</f>
        <v>0</v>
      </c>
      <c r="AW21" s="375">
        <f>SUMIFS('Gantt Chart Update'!BD:BD,'Gantt Chart Update'!$B:$B,'New summary'!$B21,'Gantt Chart Update'!$C:$C,'New summary'!$C21)</f>
        <v>0</v>
      </c>
      <c r="AX21" s="375">
        <f>SUMIFS('Gantt Chart Update'!BE:BE,'Gantt Chart Update'!$B:$B,'New summary'!$B21,'Gantt Chart Update'!$C:$C,'New summary'!$C21)</f>
        <v>0</v>
      </c>
      <c r="AY21" s="375">
        <f>SUMIFS('Gantt Chart Update'!BF:BF,'Gantt Chart Update'!$B:$B,'New summary'!$B21,'Gantt Chart Update'!$C:$C,'New summary'!$C21)</f>
        <v>0</v>
      </c>
      <c r="AZ21" s="375">
        <f>SUMIFS('Gantt Chart Update'!BG:BG,'Gantt Chart Update'!$B:$B,'New summary'!$B21,'Gantt Chart Update'!$C:$C,'New summary'!$C21)</f>
        <v>0</v>
      </c>
      <c r="BA21" s="375">
        <f>SUMIFS('Gantt Chart Update'!BH:BH,'Gantt Chart Update'!$B:$B,'New summary'!$B21,'Gantt Chart Update'!$C:$C,'New summary'!$C21)</f>
        <v>0</v>
      </c>
      <c r="BB21" s="375">
        <f>SUMIFS('Gantt Chart Update'!BI:BI,'Gantt Chart Update'!$B:$B,'New summary'!$B21,'Gantt Chart Update'!$C:$C,'New summary'!$C21)</f>
        <v>0</v>
      </c>
      <c r="BC21" s="375">
        <f>SUMIFS('Gantt Chart Update'!BJ:BJ,'Gantt Chart Update'!$B:$B,'New summary'!$B21,'Gantt Chart Update'!$C:$C,'New summary'!$C21)</f>
        <v>0</v>
      </c>
      <c r="BD21" s="375">
        <f>SUMIFS('Gantt Chart Update'!BK:BK,'Gantt Chart Update'!$B:$B,'New summary'!$B21,'Gantt Chart Update'!$C:$C,'New summary'!$C21)</f>
        <v>0</v>
      </c>
      <c r="BE21" s="375">
        <f>SUMIFS('Gantt Chart Update'!BL:BL,'Gantt Chart Update'!$B:$B,'New summary'!$B21,'Gantt Chart Update'!$C:$C,'New summary'!$C21)</f>
        <v>0</v>
      </c>
      <c r="BF21" s="375">
        <f>SUMIFS('Gantt Chart Update'!BM:BM,'Gantt Chart Update'!$B:$B,'New summary'!$B21,'Gantt Chart Update'!$C:$C,'New summary'!$C21)</f>
        <v>0</v>
      </c>
      <c r="BG21" s="375">
        <f>SUMIFS('Gantt Chart Update'!BN:BN,'Gantt Chart Update'!$B:$B,'New summary'!$B21,'Gantt Chart Update'!$C:$C,'New summary'!$C21)</f>
        <v>0</v>
      </c>
      <c r="BH21" s="375">
        <f>SUMIFS('Gantt Chart Update'!BO:BO,'Gantt Chart Update'!$B:$B,'New summary'!$B21,'Gantt Chart Update'!$C:$C,'New summary'!$C21)</f>
        <v>0</v>
      </c>
      <c r="BI21" s="375">
        <f>SUMIFS('Gantt Chart Update'!BP:BP,'Gantt Chart Update'!$B:$B,'New summary'!$B21,'Gantt Chart Update'!$C:$C,'New summary'!$C21)</f>
        <v>0</v>
      </c>
    </row>
    <row r="22" spans="2:61" x14ac:dyDescent="0.2">
      <c r="B22" s="873" t="s">
        <v>60</v>
      </c>
      <c r="C22" s="867" t="s">
        <v>434</v>
      </c>
      <c r="D22" s="530">
        <f t="shared" si="0"/>
        <v>12329</v>
      </c>
      <c r="E22" s="870">
        <f>SUMIFS('Gantt Chart Update'!L:L,'Gantt Chart Update'!$B:$B,'New summary'!$B22)-SUMIFS('Gantt Chart Update'!L:L,'Gantt Chart Update'!$B:$B,'New summary'!$B22,'Gantt Chart Update'!$C:$C,"Dane")</f>
        <v>0</v>
      </c>
      <c r="F22" s="375">
        <f>SUMIFS('Gantt Chart Update'!M:M,'Gantt Chart Update'!$B:$B,'New summary'!$B22)-SUMIFS('Gantt Chart Update'!M:M,'Gantt Chart Update'!$B:$B,'New summary'!$B22,'Gantt Chart Update'!$C:$C,"Dane")</f>
        <v>729</v>
      </c>
      <c r="G22" s="375">
        <f>SUMIFS('Gantt Chart Update'!N:N,'Gantt Chart Update'!$B:$B,'New summary'!$B22)-SUMIFS('Gantt Chart Update'!N:N,'Gantt Chart Update'!$B:$B,'New summary'!$B22,'Gantt Chart Update'!$C:$C,"Dane")</f>
        <v>0</v>
      </c>
      <c r="H22" s="375">
        <f>SUMIFS('Gantt Chart Update'!O:O,'Gantt Chart Update'!$B:$B,'New summary'!$B22)-SUMIFS('Gantt Chart Update'!O:O,'Gantt Chart Update'!$B:$B,'New summary'!$B22,'Gantt Chart Update'!$C:$C,"Dane")</f>
        <v>0</v>
      </c>
      <c r="I22" s="375">
        <f>SUMIFS('Gantt Chart Update'!P:P,'Gantt Chart Update'!$B:$B,'New summary'!$B22)-SUMIFS('Gantt Chart Update'!P:P,'Gantt Chart Update'!$B:$B,'New summary'!$B22,'Gantt Chart Update'!$C:$C,"Dane")</f>
        <v>0</v>
      </c>
      <c r="J22" s="375">
        <f>SUMIFS('Gantt Chart Update'!Q:Q,'Gantt Chart Update'!$B:$B,'New summary'!$B22)-SUMIFS('Gantt Chart Update'!Q:Q,'Gantt Chart Update'!$B:$B,'New summary'!$B22,'Gantt Chart Update'!$C:$C,"Dane")</f>
        <v>2161</v>
      </c>
      <c r="K22" s="375">
        <f>SUMIFS('Gantt Chart Update'!R:R,'Gantt Chart Update'!$B:$B,'New summary'!$B22)-SUMIFS('Gantt Chart Update'!R:R,'Gantt Chart Update'!$B:$B,'New summary'!$B22,'Gantt Chart Update'!$C:$C,"Dane")</f>
        <v>643</v>
      </c>
      <c r="L22" s="375">
        <f>SUMIFS('Gantt Chart Update'!S:S,'Gantt Chart Update'!$B:$B,'New summary'!$B22)-SUMIFS('Gantt Chart Update'!S:S,'Gantt Chart Update'!$B:$B,'New summary'!$B22,'Gantt Chart Update'!$C:$C,"Dane")</f>
        <v>0</v>
      </c>
      <c r="M22" s="375">
        <f>SUMIFS('Gantt Chart Update'!T:T,'Gantt Chart Update'!$B:$B,'New summary'!$B22)-SUMIFS('Gantt Chart Update'!T:T,'Gantt Chart Update'!$B:$B,'New summary'!$B22,'Gantt Chart Update'!$C:$C,"Dane")</f>
        <v>0</v>
      </c>
      <c r="N22" s="375">
        <f>SUMIFS('Gantt Chart Update'!U:U,'Gantt Chart Update'!$B:$B,'New summary'!$B22)-SUMIFS('Gantt Chart Update'!U:U,'Gantt Chart Update'!$B:$B,'New summary'!$B22,'Gantt Chart Update'!$C:$C,"Dane")</f>
        <v>600</v>
      </c>
      <c r="O22" s="375">
        <f>SUMIFS('Gantt Chart Update'!V:V,'Gantt Chart Update'!$B:$B,'New summary'!$B22)-SUMIFS('Gantt Chart Update'!V:V,'Gantt Chart Update'!$B:$B,'New summary'!$B22,'Gantt Chart Update'!$C:$C,"Dane")</f>
        <v>0</v>
      </c>
      <c r="P22" s="375">
        <f>SUMIFS('Gantt Chart Update'!W:W,'Gantt Chart Update'!$B:$B,'New summary'!$B22)-SUMIFS('Gantt Chart Update'!W:W,'Gantt Chart Update'!$B:$B,'New summary'!$B22,'Gantt Chart Update'!$C:$C,"Dane")</f>
        <v>0</v>
      </c>
      <c r="Q22" s="375">
        <f>SUMIFS('Gantt Chart Update'!X:X,'Gantt Chart Update'!$B:$B,'New summary'!$B22)-SUMIFS('Gantt Chart Update'!X:X,'Gantt Chart Update'!$B:$B,'New summary'!$B22,'Gantt Chart Update'!$C:$C,"Dane")</f>
        <v>200</v>
      </c>
      <c r="R22" s="375">
        <f>SUMIFS('Gantt Chart Update'!Y:Y,'Gantt Chart Update'!$B:$B,'New summary'!$B22)-SUMIFS('Gantt Chart Update'!Y:Y,'Gantt Chart Update'!$B:$B,'New summary'!$B22,'Gantt Chart Update'!$C:$C,"Dane")</f>
        <v>118</v>
      </c>
      <c r="S22" s="375">
        <f>SUMIFS('Gantt Chart Update'!Z:Z,'Gantt Chart Update'!$B:$B,'New summary'!$B22)-SUMIFS('Gantt Chart Update'!Z:Z,'Gantt Chart Update'!$B:$B,'New summary'!$B22,'Gantt Chart Update'!$C:$C,"Dane")</f>
        <v>0</v>
      </c>
      <c r="T22" s="375">
        <f>SUMIFS('Gantt Chart Update'!AA:AA,'Gantt Chart Update'!$B:$B,'New summary'!$B22)-SUMIFS('Gantt Chart Update'!AA:AA,'Gantt Chart Update'!$B:$B,'New summary'!$B22,'Gantt Chart Update'!$C:$C,"Dane")</f>
        <v>0</v>
      </c>
      <c r="U22" s="375">
        <f>SUMIFS('Gantt Chart Update'!AB:AB,'Gantt Chart Update'!$B:$B,'New summary'!$B22)-SUMIFS('Gantt Chart Update'!AB:AB,'Gantt Chart Update'!$B:$B,'New summary'!$B22,'Gantt Chart Update'!$C:$C,"Dane")</f>
        <v>0</v>
      </c>
      <c r="V22" s="375">
        <f>SUMIFS('Gantt Chart Update'!AC:AC,'Gantt Chart Update'!$B:$B,'New summary'!$B22)-SUMIFS('Gantt Chart Update'!AC:AC,'Gantt Chart Update'!$B:$B,'New summary'!$B22,'Gantt Chart Update'!$C:$C,"Dane")</f>
        <v>82</v>
      </c>
      <c r="W22" s="375">
        <f>SUMIFS('Gantt Chart Update'!AD:AD,'Gantt Chart Update'!$B:$B,'New summary'!$B22)-SUMIFS('Gantt Chart Update'!AD:AD,'Gantt Chart Update'!$B:$B,'New summary'!$B22,'Gantt Chart Update'!$C:$C,"Dane")</f>
        <v>164</v>
      </c>
      <c r="X22" s="375">
        <f>SUMIFS('Gantt Chart Update'!AE:AE,'Gantt Chart Update'!$B:$B,'New summary'!$B22)-SUMIFS('Gantt Chart Update'!AE:AE,'Gantt Chart Update'!$B:$B,'New summary'!$B22,'Gantt Chart Update'!$C:$C,"Dane")</f>
        <v>0</v>
      </c>
      <c r="Y22" s="375">
        <f>SUMIFS('Gantt Chart Update'!AF:AF,'Gantt Chart Update'!$B:$B,'New summary'!$B22)-SUMIFS('Gantt Chart Update'!AF:AF,'Gantt Chart Update'!$B:$B,'New summary'!$B22,'Gantt Chart Update'!$C:$C,"Dane")</f>
        <v>661</v>
      </c>
      <c r="Z22" s="375">
        <f>SUMIFS('Gantt Chart Update'!AG:AG,'Gantt Chart Update'!$B:$B,'New summary'!$B22)-SUMIFS('Gantt Chart Update'!AG:AG,'Gantt Chart Update'!$B:$B,'New summary'!$B22,'Gantt Chart Update'!$C:$C,"Dane")</f>
        <v>0</v>
      </c>
      <c r="AA22" s="375">
        <f>SUMIFS('Gantt Chart Update'!AH:AH,'Gantt Chart Update'!$B:$B,'New summary'!$B22)-SUMIFS('Gantt Chart Update'!AH:AH,'Gantt Chart Update'!$B:$B,'New summary'!$B22,'Gantt Chart Update'!$C:$C,"Dane")</f>
        <v>0</v>
      </c>
      <c r="AB22" s="375">
        <f>SUMIFS('Gantt Chart Update'!AI:AI,'Gantt Chart Update'!$B:$B,'New summary'!$B22)-SUMIFS('Gantt Chart Update'!AI:AI,'Gantt Chart Update'!$B:$B,'New summary'!$B22,'Gantt Chart Update'!$C:$C,"Dane")</f>
        <v>0</v>
      </c>
      <c r="AC22" s="375">
        <f>SUMIFS('Gantt Chart Update'!AJ:AJ,'Gantt Chart Update'!$B:$B,'New summary'!$B22)-SUMIFS('Gantt Chart Update'!AJ:AJ,'Gantt Chart Update'!$B:$B,'New summary'!$B22,'Gantt Chart Update'!$C:$C,"Dane")</f>
        <v>1200</v>
      </c>
      <c r="AD22" s="375">
        <f>SUMIFS('Gantt Chart Update'!AK:AK,'Gantt Chart Update'!$B:$B,'New summary'!$B22)-SUMIFS('Gantt Chart Update'!AK:AK,'Gantt Chart Update'!$B:$B,'New summary'!$B22,'Gantt Chart Update'!$C:$C,"Dane")</f>
        <v>0</v>
      </c>
      <c r="AE22" s="375">
        <f>SUMIFS('Gantt Chart Update'!AL:AL,'Gantt Chart Update'!$B:$B,'New summary'!$B22)-SUMIFS('Gantt Chart Update'!AL:AL,'Gantt Chart Update'!$B:$B,'New summary'!$B22,'Gantt Chart Update'!$C:$C,"Dane")</f>
        <v>0</v>
      </c>
      <c r="AF22" s="375">
        <f>SUMIFS('Gantt Chart Update'!AM:AM,'Gantt Chart Update'!$B:$B,'New summary'!$B22)-SUMIFS('Gantt Chart Update'!AM:AM,'Gantt Chart Update'!$B:$B,'New summary'!$B22,'Gantt Chart Update'!$C:$C,"Dane")</f>
        <v>0</v>
      </c>
      <c r="AG22" s="375">
        <f>SUMIFS('Gantt Chart Update'!AN:AN,'Gantt Chart Update'!$B:$B,'New summary'!$B22)-SUMIFS('Gantt Chart Update'!AN:AN,'Gantt Chart Update'!$B:$B,'New summary'!$B22,'Gantt Chart Update'!$C:$C,"Dane")</f>
        <v>0</v>
      </c>
      <c r="AH22" s="375">
        <f>SUMIFS('Gantt Chart Update'!AO:AO,'Gantt Chart Update'!$B:$B,'New summary'!$B22)-SUMIFS('Gantt Chart Update'!AO:AO,'Gantt Chart Update'!$B:$B,'New summary'!$B22,'Gantt Chart Update'!$C:$C,"Dane")</f>
        <v>0</v>
      </c>
      <c r="AI22" s="375">
        <f>SUMIFS('Gantt Chart Update'!AP:AP,'Gantt Chart Update'!$B:$B,'New summary'!$B22)-SUMIFS('Gantt Chart Update'!AP:AP,'Gantt Chart Update'!$B:$B,'New summary'!$B22,'Gantt Chart Update'!$C:$C,"Dane")</f>
        <v>1650</v>
      </c>
      <c r="AJ22" s="375">
        <f>SUMIFS('Gantt Chart Update'!AQ:AQ,'Gantt Chart Update'!$B:$B,'New summary'!$B22)-SUMIFS('Gantt Chart Update'!AQ:AQ,'Gantt Chart Update'!$B:$B,'New summary'!$B22,'Gantt Chart Update'!$C:$C,"Dane")</f>
        <v>250</v>
      </c>
      <c r="AK22" s="375">
        <f>SUMIFS('Gantt Chart Update'!AR:AR,'Gantt Chart Update'!$B:$B,'New summary'!$B22)-SUMIFS('Gantt Chart Update'!AR:AR,'Gantt Chart Update'!$B:$B,'New summary'!$B22,'Gantt Chart Update'!$C:$C,"Dane")</f>
        <v>200</v>
      </c>
      <c r="AL22" s="375">
        <f>SUMIFS('Gantt Chart Update'!AS:AS,'Gantt Chart Update'!$B:$B,'New summary'!$B22)-SUMIFS('Gantt Chart Update'!AS:AS,'Gantt Chart Update'!$B:$B,'New summary'!$B22,'Gantt Chart Update'!$C:$C,"Dane")</f>
        <v>0</v>
      </c>
      <c r="AM22" s="375">
        <f>SUMIFS('Gantt Chart Update'!AT:AT,'Gantt Chart Update'!$B:$B,'New summary'!$B22)-SUMIFS('Gantt Chart Update'!AT:AT,'Gantt Chart Update'!$B:$B,'New summary'!$B22,'Gantt Chart Update'!$C:$C,"Dane")</f>
        <v>600</v>
      </c>
      <c r="AN22" s="375">
        <f>SUMIFS('Gantt Chart Update'!AU:AU,'Gantt Chart Update'!$B:$B,'New summary'!$B22)-SUMIFS('Gantt Chart Update'!AU:AU,'Gantt Chart Update'!$B:$B,'New summary'!$B22,'Gantt Chart Update'!$C:$C,"Dane")</f>
        <v>0</v>
      </c>
      <c r="AO22" s="375">
        <f>SUMIFS('Gantt Chart Update'!AV:AV,'Gantt Chart Update'!$B:$B,'New summary'!$B22)-SUMIFS('Gantt Chart Update'!AV:AV,'Gantt Chart Update'!$B:$B,'New summary'!$B22,'Gantt Chart Update'!$C:$C,"Dane")</f>
        <v>0</v>
      </c>
      <c r="AP22" s="375">
        <f>SUMIFS('Gantt Chart Update'!AW:AW,'Gantt Chart Update'!$B:$B,'New summary'!$B22)-SUMIFS('Gantt Chart Update'!AW:AW,'Gantt Chart Update'!$B:$B,'New summary'!$B22,'Gantt Chart Update'!$C:$C,"Dane")</f>
        <v>0</v>
      </c>
      <c r="AQ22" s="375">
        <f>SUMIFS('Gantt Chart Update'!AX:AX,'Gantt Chart Update'!$B:$B,'New summary'!$B22)-SUMIFS('Gantt Chart Update'!AX:AX,'Gantt Chart Update'!$B:$B,'New summary'!$B22,'Gantt Chart Update'!$C:$C,"Dane")</f>
        <v>0</v>
      </c>
      <c r="AR22" s="375">
        <f>SUMIFS('Gantt Chart Update'!AY:AY,'Gantt Chart Update'!$B:$B,'New summary'!$B22)-SUMIFS('Gantt Chart Update'!AY:AY,'Gantt Chart Update'!$B:$B,'New summary'!$B22,'Gantt Chart Update'!$C:$C,"Dane")</f>
        <v>400</v>
      </c>
      <c r="AS22" s="375">
        <f>SUMIFS('Gantt Chart Update'!AZ:AZ,'Gantt Chart Update'!$B:$B,'New summary'!$B22)-SUMIFS('Gantt Chart Update'!AZ:AZ,'Gantt Chart Update'!$B:$B,'New summary'!$B22,'Gantt Chart Update'!$C:$C,"Dane")</f>
        <v>0</v>
      </c>
      <c r="AT22" s="375">
        <f>SUMIFS('Gantt Chart Update'!BA:BA,'Gantt Chart Update'!$B:$B,'New summary'!$B22)-SUMIFS('Gantt Chart Update'!BA:BA,'Gantt Chart Update'!$B:$B,'New summary'!$B22,'Gantt Chart Update'!$C:$C,"Dane")</f>
        <v>0</v>
      </c>
      <c r="AU22" s="375">
        <f>SUMIFS('Gantt Chart Update'!BB:BB,'Gantt Chart Update'!$B:$B,'New summary'!$B22)-SUMIFS('Gantt Chart Update'!BB:BB,'Gantt Chart Update'!$B:$B,'New summary'!$B22,'Gantt Chart Update'!$C:$C,"Dane")</f>
        <v>900</v>
      </c>
      <c r="AV22" s="375">
        <f>SUMIFS('Gantt Chart Update'!BC:BC,'Gantt Chart Update'!$B:$B,'New summary'!$B22)-SUMIFS('Gantt Chart Update'!BC:BC,'Gantt Chart Update'!$B:$B,'New summary'!$B22,'Gantt Chart Update'!$C:$C,"Dane")</f>
        <v>0</v>
      </c>
      <c r="AW22" s="375">
        <f>SUMIFS('Gantt Chart Update'!BD:BD,'Gantt Chart Update'!$B:$B,'New summary'!$B22)-SUMIFS('Gantt Chart Update'!BD:BD,'Gantt Chart Update'!$B:$B,'New summary'!$B22,'Gantt Chart Update'!$C:$C,"Dane")</f>
        <v>0</v>
      </c>
      <c r="AX22" s="375">
        <f>SUMIFS('Gantt Chart Update'!BE:BE,'Gantt Chart Update'!$B:$B,'New summary'!$B22)-SUMIFS('Gantt Chart Update'!BE:BE,'Gantt Chart Update'!$B:$B,'New summary'!$B22,'Gantt Chart Update'!$C:$C,"Dane")</f>
        <v>600</v>
      </c>
      <c r="AY22" s="375">
        <f>SUMIFS('Gantt Chart Update'!BF:BF,'Gantt Chart Update'!$B:$B,'New summary'!$B22)-SUMIFS('Gantt Chart Update'!BF:BF,'Gantt Chart Update'!$B:$B,'New summary'!$B22,'Gantt Chart Update'!$C:$C,"Dane")</f>
        <v>0</v>
      </c>
      <c r="AZ22" s="375">
        <f>SUMIFS('Gantt Chart Update'!BG:BG,'Gantt Chart Update'!$B:$B,'New summary'!$B22)-SUMIFS('Gantt Chart Update'!BG:BG,'Gantt Chart Update'!$B:$B,'New summary'!$B22,'Gantt Chart Update'!$C:$C,"Dane")</f>
        <v>0</v>
      </c>
      <c r="BA22" s="375">
        <f>SUMIFS('Gantt Chart Update'!BH:BH,'Gantt Chart Update'!$B:$B,'New summary'!$B22)-SUMIFS('Gantt Chart Update'!BH:BH,'Gantt Chart Update'!$B:$B,'New summary'!$B22,'Gantt Chart Update'!$C:$C,"Dane")</f>
        <v>0</v>
      </c>
      <c r="BB22" s="375">
        <f>SUMIFS('Gantt Chart Update'!BI:BI,'Gantt Chart Update'!$B:$B,'New summary'!$B22)-SUMIFS('Gantt Chart Update'!BI:BI,'Gantt Chart Update'!$B:$B,'New summary'!$B22,'Gantt Chart Update'!$C:$C,"Dane")</f>
        <v>0</v>
      </c>
      <c r="BC22" s="375">
        <f>SUMIFS('Gantt Chart Update'!BJ:BJ,'Gantt Chart Update'!$B:$B,'New summary'!$B22)-SUMIFS('Gantt Chart Update'!BJ:BJ,'Gantt Chart Update'!$B:$B,'New summary'!$B22,'Gantt Chart Update'!$C:$C,"Dane")</f>
        <v>0</v>
      </c>
      <c r="BD22" s="375">
        <f>SUMIFS('Gantt Chart Update'!BK:BK,'Gantt Chart Update'!$B:$B,'New summary'!$B22)-SUMIFS('Gantt Chart Update'!BK:BK,'Gantt Chart Update'!$B:$B,'New summary'!$B22,'Gantt Chart Update'!$C:$C,"Dane")</f>
        <v>0</v>
      </c>
      <c r="BE22" s="375">
        <f>SUMIFS('Gantt Chart Update'!BL:BL,'Gantt Chart Update'!$B:$B,'New summary'!$B22)-SUMIFS('Gantt Chart Update'!BL:BL,'Gantt Chart Update'!$B:$B,'New summary'!$B22,'Gantt Chart Update'!$C:$C,"Dane")</f>
        <v>0</v>
      </c>
      <c r="BF22" s="375">
        <f>SUMIFS('Gantt Chart Update'!BM:BM,'Gantt Chart Update'!$B:$B,'New summary'!$B22)-SUMIFS('Gantt Chart Update'!BM:BM,'Gantt Chart Update'!$B:$B,'New summary'!$B22,'Gantt Chart Update'!$C:$C,"Dane")</f>
        <v>0</v>
      </c>
      <c r="BG22" s="375">
        <f>SUMIFS('Gantt Chart Update'!BN:BN,'Gantt Chart Update'!$B:$B,'New summary'!$B22)-SUMIFS('Gantt Chart Update'!BN:BN,'Gantt Chart Update'!$B:$B,'New summary'!$B22,'Gantt Chart Update'!$C:$C,"Dane")</f>
        <v>0</v>
      </c>
      <c r="BH22" s="375">
        <f>SUMIFS('Gantt Chart Update'!BO:BO,'Gantt Chart Update'!$B:$B,'New summary'!$B22)-SUMIFS('Gantt Chart Update'!BO:BO,'Gantt Chart Update'!$B:$B,'New summary'!$B22,'Gantt Chart Update'!$C:$C,"Dane")</f>
        <v>400</v>
      </c>
      <c r="BI22" s="375">
        <f>SUMIFS('Gantt Chart Update'!BP:BP,'Gantt Chart Update'!$B:$B,'New summary'!$B22)-SUMIFS('Gantt Chart Update'!BP:BP,'Gantt Chart Update'!$B:$B,'New summary'!$B22,'Gantt Chart Update'!$C:$C,"Dane")</f>
        <v>1500</v>
      </c>
    </row>
    <row r="23" spans="2:61" x14ac:dyDescent="0.2">
      <c r="B23" s="873" t="s">
        <v>29</v>
      </c>
      <c r="C23" s="867" t="s">
        <v>311</v>
      </c>
      <c r="D23" s="530">
        <f>SUM(J23:BI23)</f>
        <v>8811</v>
      </c>
      <c r="E23" s="870">
        <f>SUMIFS('Gantt Chart Update'!L:L,'Gantt Chart Update'!$B:$B,'New summary'!$B23,'Gantt Chart Update'!$C:$C,'New summary'!$C23)</f>
        <v>0</v>
      </c>
      <c r="F23" s="375">
        <f>SUMIFS('Gantt Chart Update'!M:M,'Gantt Chart Update'!$B:$B,'New summary'!$B23,'Gantt Chart Update'!$C:$C,'New summary'!$C23)</f>
        <v>0</v>
      </c>
      <c r="G23" s="375">
        <f>SUMIFS('Gantt Chart Update'!N:N,'Gantt Chart Update'!$B:$B,'New summary'!$B23,'Gantt Chart Update'!$C:$C,'New summary'!$C23)</f>
        <v>0</v>
      </c>
      <c r="H23" s="375">
        <f>SUMIFS('Gantt Chart Update'!O:O,'Gantt Chart Update'!$B:$B,'New summary'!$B23,'Gantt Chart Update'!$C:$C,'New summary'!$C23)</f>
        <v>0</v>
      </c>
      <c r="I23" s="375">
        <f>SUMIFS('Gantt Chart Update'!P:P,'Gantt Chart Update'!$B:$B,'New summary'!$B23,'Gantt Chart Update'!$C:$C,'New summary'!$C23)</f>
        <v>0</v>
      </c>
      <c r="J23" s="375">
        <f>SUMIFS('Gantt Chart Update'!Q:Q,'Gantt Chart Update'!$B:$B,'New summary'!$B23,'Gantt Chart Update'!$C:$C,'New summary'!$C23)</f>
        <v>0</v>
      </c>
      <c r="K23" s="375">
        <f>SUMIFS('Gantt Chart Update'!R:R,'Gantt Chart Update'!$B:$B,'New summary'!$B23,'Gantt Chart Update'!$C:$C,'New summary'!$C23)</f>
        <v>0</v>
      </c>
      <c r="L23" s="375">
        <f>SUMIFS('Gantt Chart Update'!S:S,'Gantt Chart Update'!$B:$B,'New summary'!$B23,'Gantt Chart Update'!$C:$C,'New summary'!$C23)</f>
        <v>0</v>
      </c>
      <c r="M23" s="375">
        <f>SUMIFS('Gantt Chart Update'!T:T,'Gantt Chart Update'!$B:$B,'New summary'!$B23,'Gantt Chart Update'!$C:$C,'New summary'!$C23)</f>
        <v>0</v>
      </c>
      <c r="N23" s="375">
        <f>SUMIFS('Gantt Chart Update'!U:U,'Gantt Chart Update'!$B:$B,'New summary'!$B23,'Gantt Chart Update'!$C:$C,'New summary'!$C23)</f>
        <v>0</v>
      </c>
      <c r="O23" s="375">
        <f>SUMIFS('Gantt Chart Update'!V:V,'Gantt Chart Update'!$B:$B,'New summary'!$B23,'Gantt Chart Update'!$C:$C,'New summary'!$C23)</f>
        <v>700</v>
      </c>
      <c r="P23" s="375">
        <f>SUMIFS('Gantt Chart Update'!W:W,'Gantt Chart Update'!$B:$B,'New summary'!$B23,'Gantt Chart Update'!$C:$C,'New summary'!$C23)</f>
        <v>0</v>
      </c>
      <c r="Q23" s="375">
        <f>SUMIFS('Gantt Chart Update'!X:X,'Gantt Chart Update'!$B:$B,'New summary'!$B23,'Gantt Chart Update'!$C:$C,'New summary'!$C23)</f>
        <v>792</v>
      </c>
      <c r="R23" s="375">
        <f>SUMIFS('Gantt Chart Update'!Y:Y,'Gantt Chart Update'!$B:$B,'New summary'!$B23,'Gantt Chart Update'!$C:$C,'New summary'!$C23)</f>
        <v>0</v>
      </c>
      <c r="S23" s="375">
        <f>SUMIFS('Gantt Chart Update'!Z:Z,'Gantt Chart Update'!$B:$B,'New summary'!$B23,'Gantt Chart Update'!$C:$C,'New summary'!$C23)</f>
        <v>0</v>
      </c>
      <c r="T23" s="375">
        <f>SUMIFS('Gantt Chart Update'!AA:AA,'Gantt Chart Update'!$B:$B,'New summary'!$B23,'Gantt Chart Update'!$C:$C,'New summary'!$C23)</f>
        <v>0</v>
      </c>
      <c r="U23" s="375">
        <f>SUMIFS('Gantt Chart Update'!AB:AB,'Gantt Chart Update'!$B:$B,'New summary'!$B23,'Gantt Chart Update'!$C:$C,'New summary'!$C23)</f>
        <v>488</v>
      </c>
      <c r="V23" s="375">
        <f>SUMIFS('Gantt Chart Update'!AC:AC,'Gantt Chart Update'!$B:$B,'New summary'!$B23,'Gantt Chart Update'!$C:$C,'New summary'!$C23)</f>
        <v>0</v>
      </c>
      <c r="W23" s="375">
        <f>SUMIFS('Gantt Chart Update'!AD:AD,'Gantt Chart Update'!$B:$B,'New summary'!$B23,'Gantt Chart Update'!$C:$C,'New summary'!$C23)</f>
        <v>0</v>
      </c>
      <c r="X23" s="375">
        <f>SUMIFS('Gantt Chart Update'!AE:AE,'Gantt Chart Update'!$B:$B,'New summary'!$B23,'Gantt Chart Update'!$C:$C,'New summary'!$C23)</f>
        <v>0</v>
      </c>
      <c r="Y23" s="375">
        <f>SUMIFS('Gantt Chart Update'!AF:AF,'Gantt Chart Update'!$B:$B,'New summary'!$B23,'Gantt Chart Update'!$C:$C,'New summary'!$C23)</f>
        <v>0</v>
      </c>
      <c r="Z23" s="375">
        <f>SUMIFS('Gantt Chart Update'!AG:AG,'Gantt Chart Update'!$B:$B,'New summary'!$B23,'Gantt Chart Update'!$C:$C,'New summary'!$C23)</f>
        <v>600</v>
      </c>
      <c r="AA23" s="375">
        <f>SUMIFS('Gantt Chart Update'!AH:AH,'Gantt Chart Update'!$B:$B,'New summary'!$B23,'Gantt Chart Update'!$C:$C,'New summary'!$C23)</f>
        <v>584</v>
      </c>
      <c r="AB23" s="375">
        <f>SUMIFS('Gantt Chart Update'!AI:AI,'Gantt Chart Update'!$B:$B,'New summary'!$B23,'Gantt Chart Update'!$C:$C,'New summary'!$C23)</f>
        <v>0</v>
      </c>
      <c r="AC23" s="375">
        <f>SUMIFS('Gantt Chart Update'!AJ:AJ,'Gantt Chart Update'!$B:$B,'New summary'!$B23,'Gantt Chart Update'!$C:$C,'New summary'!$C23)</f>
        <v>0</v>
      </c>
      <c r="AD23" s="375">
        <f>SUMIFS('Gantt Chart Update'!AK:AK,'Gantt Chart Update'!$B:$B,'New summary'!$B23,'Gantt Chart Update'!$C:$C,'New summary'!$C23)</f>
        <v>0</v>
      </c>
      <c r="AE23" s="375">
        <f>SUMIFS('Gantt Chart Update'!AL:AL,'Gantt Chart Update'!$B:$B,'New summary'!$B23,'Gantt Chart Update'!$C:$C,'New summary'!$C23)</f>
        <v>0</v>
      </c>
      <c r="AF23" s="375">
        <f>SUMIFS('Gantt Chart Update'!AM:AM,'Gantt Chart Update'!$B:$B,'New summary'!$B23,'Gantt Chart Update'!$C:$C,'New summary'!$C23)</f>
        <v>0</v>
      </c>
      <c r="AG23" s="375">
        <f>SUMIFS('Gantt Chart Update'!AN:AN,'Gantt Chart Update'!$B:$B,'New summary'!$B23,'Gantt Chart Update'!$C:$C,'New summary'!$C23)</f>
        <v>0</v>
      </c>
      <c r="AH23" s="375">
        <f>SUMIFS('Gantt Chart Update'!AO:AO,'Gantt Chart Update'!$B:$B,'New summary'!$B23,'Gantt Chart Update'!$C:$C,'New summary'!$C23)</f>
        <v>0</v>
      </c>
      <c r="AI23" s="375">
        <f>SUMIFS('Gantt Chart Update'!AP:AP,'Gantt Chart Update'!$B:$B,'New summary'!$B23,'Gantt Chart Update'!$C:$C,'New summary'!$C23)</f>
        <v>0</v>
      </c>
      <c r="AJ23" s="375">
        <f>SUMIFS('Gantt Chart Update'!AQ:AQ,'Gantt Chart Update'!$B:$B,'New summary'!$B23,'Gantt Chart Update'!$C:$C,'New summary'!$C23)</f>
        <v>0</v>
      </c>
      <c r="AK23" s="375">
        <f>SUMIFS('Gantt Chart Update'!AR:AR,'Gantt Chart Update'!$B:$B,'New summary'!$B23,'Gantt Chart Update'!$C:$C,'New summary'!$C23)</f>
        <v>0</v>
      </c>
      <c r="AL23" s="375">
        <f>SUMIFS('Gantt Chart Update'!AS:AS,'Gantt Chart Update'!$B:$B,'New summary'!$B23,'Gantt Chart Update'!$C:$C,'New summary'!$C23)</f>
        <v>0</v>
      </c>
      <c r="AM23" s="375">
        <f>SUMIFS('Gantt Chart Update'!AT:AT,'Gantt Chart Update'!$B:$B,'New summary'!$B23,'Gantt Chart Update'!$C:$C,'New summary'!$C23)</f>
        <v>350</v>
      </c>
      <c r="AN23" s="375">
        <f>SUMIFS('Gantt Chart Update'!AU:AU,'Gantt Chart Update'!$B:$B,'New summary'!$B23,'Gantt Chart Update'!$C:$C,'New summary'!$C23)</f>
        <v>652</v>
      </c>
      <c r="AO23" s="375">
        <f>SUMIFS('Gantt Chart Update'!AV:AV,'Gantt Chart Update'!$B:$B,'New summary'!$B23,'Gantt Chart Update'!$C:$C,'New summary'!$C23)</f>
        <v>1150</v>
      </c>
      <c r="AP23" s="375">
        <f>SUMIFS('Gantt Chart Update'!AW:AW,'Gantt Chart Update'!$B:$B,'New summary'!$B23,'Gantt Chart Update'!$C:$C,'New summary'!$C23)</f>
        <v>0</v>
      </c>
      <c r="AQ23" s="375">
        <f>SUMIFS('Gantt Chart Update'!AX:AX,'Gantt Chart Update'!$B:$B,'New summary'!$B23,'Gantt Chart Update'!$C:$C,'New summary'!$C23)</f>
        <v>0</v>
      </c>
      <c r="AR23" s="375">
        <f>SUMIFS('Gantt Chart Update'!AY:AY,'Gantt Chart Update'!$B:$B,'New summary'!$B23,'Gantt Chart Update'!$C:$C,'New summary'!$C23)</f>
        <v>0</v>
      </c>
      <c r="AS23" s="375">
        <f>SUMIFS('Gantt Chart Update'!AZ:AZ,'Gantt Chart Update'!$B:$B,'New summary'!$B23,'Gantt Chart Update'!$C:$C,'New summary'!$C23)</f>
        <v>400</v>
      </c>
      <c r="AT23" s="375">
        <f>SUMIFS('Gantt Chart Update'!BA:BA,'Gantt Chart Update'!$B:$B,'New summary'!$B23,'Gantt Chart Update'!$C:$C,'New summary'!$C23)</f>
        <v>392</v>
      </c>
      <c r="AU23" s="375">
        <f>SUMIFS('Gantt Chart Update'!BB:BB,'Gantt Chart Update'!$B:$B,'New summary'!$B23,'Gantt Chart Update'!$C:$C,'New summary'!$C23)</f>
        <v>0</v>
      </c>
      <c r="AV23" s="375">
        <f>SUMIFS('Gantt Chart Update'!BC:BC,'Gantt Chart Update'!$B:$B,'New summary'!$B23,'Gantt Chart Update'!$C:$C,'New summary'!$C23)</f>
        <v>0</v>
      </c>
      <c r="AW23" s="375">
        <f>SUMIFS('Gantt Chart Update'!BD:BD,'Gantt Chart Update'!$B:$B,'New summary'!$B23,'Gantt Chart Update'!$C:$C,'New summary'!$C23)</f>
        <v>0</v>
      </c>
      <c r="AX23" s="375">
        <f>SUMIFS('Gantt Chart Update'!BE:BE,'Gantt Chart Update'!$B:$B,'New summary'!$B23,'Gantt Chart Update'!$C:$C,'New summary'!$C23)</f>
        <v>0</v>
      </c>
      <c r="AY23" s="375">
        <f>SUMIFS('Gantt Chart Update'!BF:BF,'Gantt Chart Update'!$B:$B,'New summary'!$B23,'Gantt Chart Update'!$C:$C,'New summary'!$C23)</f>
        <v>1203</v>
      </c>
      <c r="AZ23" s="375">
        <f>SUMIFS('Gantt Chart Update'!BG:BG,'Gantt Chart Update'!$B:$B,'New summary'!$B23,'Gantt Chart Update'!$C:$C,'New summary'!$C23)</f>
        <v>0</v>
      </c>
      <c r="BA23" s="375">
        <f>SUMIFS('Gantt Chart Update'!BH:BH,'Gantt Chart Update'!$B:$B,'New summary'!$B23,'Gantt Chart Update'!$C:$C,'New summary'!$C23)</f>
        <v>0</v>
      </c>
      <c r="BB23" s="375">
        <f>SUMIFS('Gantt Chart Update'!BI:BI,'Gantt Chart Update'!$B:$B,'New summary'!$B23,'Gantt Chart Update'!$C:$C,'New summary'!$C23)</f>
        <v>0</v>
      </c>
      <c r="BC23" s="375">
        <f>SUMIFS('Gantt Chart Update'!BJ:BJ,'Gantt Chart Update'!$B:$B,'New summary'!$B23,'Gantt Chart Update'!$C:$C,'New summary'!$C23)</f>
        <v>750</v>
      </c>
      <c r="BD23" s="375">
        <f>SUMIFS('Gantt Chart Update'!BK:BK,'Gantt Chart Update'!$B:$B,'New summary'!$B23,'Gantt Chart Update'!$C:$C,'New summary'!$C23)</f>
        <v>0</v>
      </c>
      <c r="BE23" s="375">
        <f>SUMIFS('Gantt Chart Update'!BL:BL,'Gantt Chart Update'!$B:$B,'New summary'!$B23,'Gantt Chart Update'!$C:$C,'New summary'!$C23)</f>
        <v>0</v>
      </c>
      <c r="BF23" s="375">
        <f>SUMIFS('Gantt Chart Update'!BM:BM,'Gantt Chart Update'!$B:$B,'New summary'!$B23,'Gantt Chart Update'!$C:$C,'New summary'!$C23)</f>
        <v>0</v>
      </c>
      <c r="BG23" s="375">
        <f>SUMIFS('Gantt Chart Update'!BN:BN,'Gantt Chart Update'!$B:$B,'New summary'!$B23,'Gantt Chart Update'!$C:$C,'New summary'!$C23)</f>
        <v>600</v>
      </c>
      <c r="BH23" s="375">
        <f>SUMIFS('Gantt Chart Update'!BO:BO,'Gantt Chart Update'!$B:$B,'New summary'!$B23,'Gantt Chart Update'!$C:$C,'New summary'!$C23)</f>
        <v>150</v>
      </c>
      <c r="BI23" s="375">
        <f>SUMIFS('Gantt Chart Update'!BP:BP,'Gantt Chart Update'!$B:$B,'New summary'!$B23,'Gantt Chart Update'!$C:$C,'New summary'!$C23)</f>
        <v>0</v>
      </c>
    </row>
    <row r="24" spans="2:61" x14ac:dyDescent="0.2">
      <c r="B24" s="873" t="s">
        <v>201</v>
      </c>
      <c r="C24" s="867" t="s">
        <v>829</v>
      </c>
      <c r="D24" s="530">
        <f t="shared" si="0"/>
        <v>1080</v>
      </c>
      <c r="E24" s="870">
        <f>SUMIFS('Gantt Chart Update'!L:L,'Gantt Chart Update'!$B:$B,'New summary'!$B24,'Gantt Chart Update'!$C:$C,'New summary'!$C24)</f>
        <v>0</v>
      </c>
      <c r="F24" s="375">
        <f>SUMIFS('Gantt Chart Update'!M:M,'Gantt Chart Update'!$B:$B,'New summary'!$B24,'Gantt Chart Update'!$C:$C,'New summary'!$C24)</f>
        <v>0</v>
      </c>
      <c r="G24" s="375">
        <f>SUMIFS('Gantt Chart Update'!N:N,'Gantt Chart Update'!$B:$B,'New summary'!$B24,'Gantt Chart Update'!$C:$C,'New summary'!$C24)</f>
        <v>0</v>
      </c>
      <c r="H24" s="375">
        <f>SUMIFS('Gantt Chart Update'!O:O,'Gantt Chart Update'!$B:$B,'New summary'!$B24,'Gantt Chart Update'!$C:$C,'New summary'!$C24)</f>
        <v>0</v>
      </c>
      <c r="I24" s="375">
        <f>SUMIFS('Gantt Chart Update'!P:P,'Gantt Chart Update'!$B:$B,'New summary'!$B24,'Gantt Chart Update'!$C:$C,'New summary'!$C24)</f>
        <v>0</v>
      </c>
      <c r="J24" s="375">
        <f>SUMIFS('Gantt Chart Update'!Q:Q,'Gantt Chart Update'!$B:$B,'New summary'!$B24,'Gantt Chart Update'!$C:$C,'New summary'!$C24)</f>
        <v>0</v>
      </c>
      <c r="K24" s="375">
        <f>SUMIFS('Gantt Chart Update'!R:R,'Gantt Chart Update'!$B:$B,'New summary'!$B24,'Gantt Chart Update'!$C:$C,'New summary'!$C24)</f>
        <v>0</v>
      </c>
      <c r="L24" s="375">
        <f>SUMIFS('Gantt Chart Update'!S:S,'Gantt Chart Update'!$B:$B,'New summary'!$B24,'Gantt Chart Update'!$C:$C,'New summary'!$C24)</f>
        <v>0</v>
      </c>
      <c r="M24" s="375">
        <f>SUMIFS('Gantt Chart Update'!T:T,'Gantt Chart Update'!$B:$B,'New summary'!$B24,'Gantt Chart Update'!$C:$C,'New summary'!$C24)</f>
        <v>0</v>
      </c>
      <c r="N24" s="375">
        <f>SUMIFS('Gantt Chart Update'!U:U,'Gantt Chart Update'!$B:$B,'New summary'!$B24,'Gantt Chart Update'!$C:$C,'New summary'!$C24)</f>
        <v>0</v>
      </c>
      <c r="O24" s="375">
        <f>SUMIFS('Gantt Chart Update'!V:V,'Gantt Chart Update'!$B:$B,'New summary'!$B24,'Gantt Chart Update'!$C:$C,'New summary'!$C24)</f>
        <v>0</v>
      </c>
      <c r="P24" s="375">
        <f>SUMIFS('Gantt Chart Update'!W:W,'Gantt Chart Update'!$B:$B,'New summary'!$B24,'Gantt Chart Update'!$C:$C,'New summary'!$C24)</f>
        <v>0</v>
      </c>
      <c r="Q24" s="375">
        <f>SUMIFS('Gantt Chart Update'!X:X,'Gantt Chart Update'!$B:$B,'New summary'!$B24,'Gantt Chart Update'!$C:$C,'New summary'!$C24)</f>
        <v>0</v>
      </c>
      <c r="R24" s="375">
        <f>SUMIFS('Gantt Chart Update'!Y:Y,'Gantt Chart Update'!$B:$B,'New summary'!$B24,'Gantt Chart Update'!$C:$C,'New summary'!$C24)</f>
        <v>0</v>
      </c>
      <c r="S24" s="375">
        <f>SUMIFS('Gantt Chart Update'!Z:Z,'Gantt Chart Update'!$B:$B,'New summary'!$B24,'Gantt Chart Update'!$C:$C,'New summary'!$C24)</f>
        <v>200</v>
      </c>
      <c r="T24" s="375">
        <f>SUMIFS('Gantt Chart Update'!AA:AA,'Gantt Chart Update'!$B:$B,'New summary'!$B24,'Gantt Chart Update'!$C:$C,'New summary'!$C24)</f>
        <v>280</v>
      </c>
      <c r="U24" s="375">
        <f>SUMIFS('Gantt Chart Update'!AB:AB,'Gantt Chart Update'!$B:$B,'New summary'!$B24,'Gantt Chart Update'!$C:$C,'New summary'!$C24)</f>
        <v>0</v>
      </c>
      <c r="V24" s="375">
        <f>SUMIFS('Gantt Chart Update'!AC:AC,'Gantt Chart Update'!$B:$B,'New summary'!$B24,'Gantt Chart Update'!$C:$C,'New summary'!$C24)</f>
        <v>0</v>
      </c>
      <c r="W24" s="375">
        <f>SUMIFS('Gantt Chart Update'!AD:AD,'Gantt Chart Update'!$B:$B,'New summary'!$B24,'Gantt Chart Update'!$C:$C,'New summary'!$C24)</f>
        <v>0</v>
      </c>
      <c r="X24" s="375">
        <f>SUMIFS('Gantt Chart Update'!AE:AE,'Gantt Chart Update'!$B:$B,'New summary'!$B24,'Gantt Chart Update'!$C:$C,'New summary'!$C24)</f>
        <v>0</v>
      </c>
      <c r="Y24" s="375">
        <f>SUMIFS('Gantt Chart Update'!AF:AF,'Gantt Chart Update'!$B:$B,'New summary'!$B24,'Gantt Chart Update'!$C:$C,'New summary'!$C24)</f>
        <v>0</v>
      </c>
      <c r="Z24" s="375">
        <f>SUMIFS('Gantt Chart Update'!AG:AG,'Gantt Chart Update'!$B:$B,'New summary'!$B24,'Gantt Chart Update'!$C:$C,'New summary'!$C24)</f>
        <v>0</v>
      </c>
      <c r="AA24" s="375">
        <f>SUMIFS('Gantt Chart Update'!AH:AH,'Gantt Chart Update'!$B:$B,'New summary'!$B24,'Gantt Chart Update'!$C:$C,'New summary'!$C24)</f>
        <v>0</v>
      </c>
      <c r="AB24" s="375">
        <f>SUMIFS('Gantt Chart Update'!AI:AI,'Gantt Chart Update'!$B:$B,'New summary'!$B24,'Gantt Chart Update'!$C:$C,'New summary'!$C24)</f>
        <v>0</v>
      </c>
      <c r="AC24" s="375">
        <f>SUMIFS('Gantt Chart Update'!AJ:AJ,'Gantt Chart Update'!$B:$B,'New summary'!$B24,'Gantt Chart Update'!$C:$C,'New summary'!$C24)</f>
        <v>0</v>
      </c>
      <c r="AD24" s="375">
        <f>SUMIFS('Gantt Chart Update'!AK:AK,'Gantt Chart Update'!$B:$B,'New summary'!$B24,'Gantt Chart Update'!$C:$C,'New summary'!$C24)</f>
        <v>0</v>
      </c>
      <c r="AE24" s="375">
        <f>SUMIFS('Gantt Chart Update'!AL:AL,'Gantt Chart Update'!$B:$B,'New summary'!$B24,'Gantt Chart Update'!$C:$C,'New summary'!$C24)</f>
        <v>0</v>
      </c>
      <c r="AF24" s="375">
        <f>SUMIFS('Gantt Chart Update'!AM:AM,'Gantt Chart Update'!$B:$B,'New summary'!$B24,'Gantt Chart Update'!$C:$C,'New summary'!$C24)</f>
        <v>0</v>
      </c>
      <c r="AG24" s="375">
        <f>SUMIFS('Gantt Chart Update'!AN:AN,'Gantt Chart Update'!$B:$B,'New summary'!$B24,'Gantt Chart Update'!$C:$C,'New summary'!$C24)</f>
        <v>0</v>
      </c>
      <c r="AH24" s="375">
        <f>SUMIFS('Gantt Chart Update'!AO:AO,'Gantt Chart Update'!$B:$B,'New summary'!$B24,'Gantt Chart Update'!$C:$C,'New summary'!$C24)</f>
        <v>0</v>
      </c>
      <c r="AI24" s="375">
        <f>SUMIFS('Gantt Chart Update'!AP:AP,'Gantt Chart Update'!$B:$B,'New summary'!$B24,'Gantt Chart Update'!$C:$C,'New summary'!$C24)</f>
        <v>0</v>
      </c>
      <c r="AJ24" s="375">
        <f>SUMIFS('Gantt Chart Update'!AQ:AQ,'Gantt Chart Update'!$B:$B,'New summary'!$B24,'Gantt Chart Update'!$C:$C,'New summary'!$C24)</f>
        <v>0</v>
      </c>
      <c r="AK24" s="375">
        <f>SUMIFS('Gantt Chart Update'!AR:AR,'Gantt Chart Update'!$B:$B,'New summary'!$B24,'Gantt Chart Update'!$C:$C,'New summary'!$C24)</f>
        <v>0</v>
      </c>
      <c r="AL24" s="375">
        <f>SUMIFS('Gantt Chart Update'!AS:AS,'Gantt Chart Update'!$B:$B,'New summary'!$B24,'Gantt Chart Update'!$C:$C,'New summary'!$C24)</f>
        <v>0</v>
      </c>
      <c r="AM24" s="375">
        <f>SUMIFS('Gantt Chart Update'!AT:AT,'Gantt Chart Update'!$B:$B,'New summary'!$B24,'Gantt Chart Update'!$C:$C,'New summary'!$C24)</f>
        <v>0</v>
      </c>
      <c r="AN24" s="375">
        <f>SUMIFS('Gantt Chart Update'!AU:AU,'Gantt Chart Update'!$B:$B,'New summary'!$B24,'Gantt Chart Update'!$C:$C,'New summary'!$C24)</f>
        <v>0</v>
      </c>
      <c r="AO24" s="375">
        <f>SUMIFS('Gantt Chart Update'!AV:AV,'Gantt Chart Update'!$B:$B,'New summary'!$B24,'Gantt Chart Update'!$C:$C,'New summary'!$C24)</f>
        <v>0</v>
      </c>
      <c r="AP24" s="375">
        <f>SUMIFS('Gantt Chart Update'!AW:AW,'Gantt Chart Update'!$B:$B,'New summary'!$B24,'Gantt Chart Update'!$C:$C,'New summary'!$C24)</f>
        <v>0</v>
      </c>
      <c r="AQ24" s="375">
        <f>SUMIFS('Gantt Chart Update'!AX:AX,'Gantt Chart Update'!$B:$B,'New summary'!$B24,'Gantt Chart Update'!$C:$C,'New summary'!$C24)</f>
        <v>0</v>
      </c>
      <c r="AR24" s="375">
        <f>SUMIFS('Gantt Chart Update'!AY:AY,'Gantt Chart Update'!$B:$B,'New summary'!$B24,'Gantt Chart Update'!$C:$C,'New summary'!$C24)</f>
        <v>0</v>
      </c>
      <c r="AS24" s="375">
        <f>SUMIFS('Gantt Chart Update'!AZ:AZ,'Gantt Chart Update'!$B:$B,'New summary'!$B24,'Gantt Chart Update'!$C:$C,'New summary'!$C24)</f>
        <v>0</v>
      </c>
      <c r="AT24" s="375">
        <f>SUMIFS('Gantt Chart Update'!BA:BA,'Gantt Chart Update'!$B:$B,'New summary'!$B24,'Gantt Chart Update'!$C:$C,'New summary'!$C24)</f>
        <v>0</v>
      </c>
      <c r="AU24" s="375">
        <f>SUMIFS('Gantt Chart Update'!BB:BB,'Gantt Chart Update'!$B:$B,'New summary'!$B24,'Gantt Chart Update'!$C:$C,'New summary'!$C24)</f>
        <v>0</v>
      </c>
      <c r="AV24" s="375">
        <f>SUMIFS('Gantt Chart Update'!BC:BC,'Gantt Chart Update'!$B:$B,'New summary'!$B24,'Gantt Chart Update'!$C:$C,'New summary'!$C24)</f>
        <v>0</v>
      </c>
      <c r="AW24" s="375">
        <f>SUMIFS('Gantt Chart Update'!BD:BD,'Gantt Chart Update'!$B:$B,'New summary'!$B24,'Gantt Chart Update'!$C:$C,'New summary'!$C24)</f>
        <v>0</v>
      </c>
      <c r="AX24" s="375">
        <f>SUMIFS('Gantt Chart Update'!BE:BE,'Gantt Chart Update'!$B:$B,'New summary'!$B24,'Gantt Chart Update'!$C:$C,'New summary'!$C24)</f>
        <v>0</v>
      </c>
      <c r="AY24" s="375">
        <f>SUMIFS('Gantt Chart Update'!BF:BF,'Gantt Chart Update'!$B:$B,'New summary'!$B24,'Gantt Chart Update'!$C:$C,'New summary'!$C24)</f>
        <v>600</v>
      </c>
      <c r="AZ24" s="375">
        <f>SUMIFS('Gantt Chart Update'!BG:BG,'Gantt Chart Update'!$B:$B,'New summary'!$B24,'Gantt Chart Update'!$C:$C,'New summary'!$C24)</f>
        <v>0</v>
      </c>
      <c r="BA24" s="375">
        <f>SUMIFS('Gantt Chart Update'!BH:BH,'Gantt Chart Update'!$B:$B,'New summary'!$B24,'Gantt Chart Update'!$C:$C,'New summary'!$C24)</f>
        <v>0</v>
      </c>
      <c r="BB24" s="375">
        <f>SUMIFS('Gantt Chart Update'!BI:BI,'Gantt Chart Update'!$B:$B,'New summary'!$B24,'Gantt Chart Update'!$C:$C,'New summary'!$C24)</f>
        <v>0</v>
      </c>
      <c r="BC24" s="375">
        <f>SUMIFS('Gantt Chart Update'!BJ:BJ,'Gantt Chart Update'!$B:$B,'New summary'!$B24,'Gantt Chart Update'!$C:$C,'New summary'!$C24)</f>
        <v>0</v>
      </c>
      <c r="BD24" s="375">
        <f>SUMIFS('Gantt Chart Update'!BK:BK,'Gantt Chart Update'!$B:$B,'New summary'!$B24,'Gantt Chart Update'!$C:$C,'New summary'!$C24)</f>
        <v>0</v>
      </c>
      <c r="BE24" s="375">
        <f>SUMIFS('Gantt Chart Update'!BL:BL,'Gantt Chart Update'!$B:$B,'New summary'!$B24,'Gantt Chart Update'!$C:$C,'New summary'!$C24)</f>
        <v>0</v>
      </c>
      <c r="BF24" s="375">
        <f>SUMIFS('Gantt Chart Update'!BM:BM,'Gantt Chart Update'!$B:$B,'New summary'!$B24,'Gantt Chart Update'!$C:$C,'New summary'!$C24)</f>
        <v>0</v>
      </c>
      <c r="BG24" s="375">
        <f>SUMIFS('Gantt Chart Update'!BN:BN,'Gantt Chart Update'!$B:$B,'New summary'!$B24,'Gantt Chart Update'!$C:$C,'New summary'!$C24)</f>
        <v>0</v>
      </c>
      <c r="BH24" s="375">
        <f>SUMIFS('Gantt Chart Update'!BO:BO,'Gantt Chart Update'!$B:$B,'New summary'!$B24,'Gantt Chart Update'!$C:$C,'New summary'!$C24)</f>
        <v>0</v>
      </c>
      <c r="BI24" s="375">
        <f>SUMIFS('Gantt Chart Update'!BP:BP,'Gantt Chart Update'!$B:$B,'New summary'!$B24,'Gantt Chart Update'!$C:$C,'New summary'!$C24)</f>
        <v>0</v>
      </c>
    </row>
    <row r="25" spans="2:61" x14ac:dyDescent="0.2">
      <c r="B25" s="873" t="s">
        <v>201</v>
      </c>
      <c r="C25" s="867" t="s">
        <v>830</v>
      </c>
      <c r="D25" s="530">
        <f t="shared" si="0"/>
        <v>1200</v>
      </c>
      <c r="E25" s="870">
        <f>SUMIFS('Gantt Chart Update'!L:L,'Gantt Chart Update'!$B:$B,'New summary'!$B25,'Gantt Chart Update'!$C:$C,'New summary'!$C25)</f>
        <v>0</v>
      </c>
      <c r="F25" s="375">
        <f>SUMIFS('Gantt Chart Update'!M:M,'Gantt Chart Update'!$B:$B,'New summary'!$B25,'Gantt Chart Update'!$C:$C,'New summary'!$C25)</f>
        <v>0</v>
      </c>
      <c r="G25" s="375">
        <f>SUMIFS('Gantt Chart Update'!N:N,'Gantt Chart Update'!$B:$B,'New summary'!$B25,'Gantt Chart Update'!$C:$C,'New summary'!$C25)</f>
        <v>0</v>
      </c>
      <c r="H25" s="375">
        <f>SUMIFS('Gantt Chart Update'!O:O,'Gantt Chart Update'!$B:$B,'New summary'!$B25,'Gantt Chart Update'!$C:$C,'New summary'!$C25)</f>
        <v>0</v>
      </c>
      <c r="I25" s="375">
        <f>SUMIFS('Gantt Chart Update'!P:P,'Gantt Chart Update'!$B:$B,'New summary'!$B25,'Gantt Chart Update'!$C:$C,'New summary'!$C25)</f>
        <v>0</v>
      </c>
      <c r="J25" s="375">
        <f>SUMIFS('Gantt Chart Update'!Q:Q,'Gantt Chart Update'!$B:$B,'New summary'!$B25,'Gantt Chart Update'!$C:$C,'New summary'!$C25)</f>
        <v>0</v>
      </c>
      <c r="K25" s="375">
        <f>SUMIFS('Gantt Chart Update'!R:R,'Gantt Chart Update'!$B:$B,'New summary'!$B25,'Gantt Chart Update'!$C:$C,'New summary'!$C25)</f>
        <v>0</v>
      </c>
      <c r="L25" s="375">
        <f>SUMIFS('Gantt Chart Update'!S:S,'Gantt Chart Update'!$B:$B,'New summary'!$B25,'Gantt Chart Update'!$C:$C,'New summary'!$C25)</f>
        <v>0</v>
      </c>
      <c r="M25" s="375">
        <f>SUMIFS('Gantt Chart Update'!T:T,'Gantt Chart Update'!$B:$B,'New summary'!$B25,'Gantt Chart Update'!$C:$C,'New summary'!$C25)</f>
        <v>0</v>
      </c>
      <c r="N25" s="375">
        <f>SUMIFS('Gantt Chart Update'!U:U,'Gantt Chart Update'!$B:$B,'New summary'!$B25,'Gantt Chart Update'!$C:$C,'New summary'!$C25)</f>
        <v>0</v>
      </c>
      <c r="O25" s="375">
        <f>SUMIFS('Gantt Chart Update'!V:V,'Gantt Chart Update'!$B:$B,'New summary'!$B25,'Gantt Chart Update'!$C:$C,'New summary'!$C25)</f>
        <v>0</v>
      </c>
      <c r="P25" s="375">
        <f>SUMIFS('Gantt Chart Update'!W:W,'Gantt Chart Update'!$B:$B,'New summary'!$B25,'Gantt Chart Update'!$C:$C,'New summary'!$C25)</f>
        <v>0</v>
      </c>
      <c r="Q25" s="375">
        <f>SUMIFS('Gantt Chart Update'!X:X,'Gantt Chart Update'!$B:$B,'New summary'!$B25,'Gantt Chart Update'!$C:$C,'New summary'!$C25)</f>
        <v>0</v>
      </c>
      <c r="R25" s="375">
        <f>SUMIFS('Gantt Chart Update'!Y:Y,'Gantt Chart Update'!$B:$B,'New summary'!$B25,'Gantt Chart Update'!$C:$C,'New summary'!$C25)</f>
        <v>0</v>
      </c>
      <c r="S25" s="375">
        <f>SUMIFS('Gantt Chart Update'!Z:Z,'Gantt Chart Update'!$B:$B,'New summary'!$B25,'Gantt Chart Update'!$C:$C,'New summary'!$C25)</f>
        <v>0</v>
      </c>
      <c r="T25" s="375">
        <f>SUMIFS('Gantt Chart Update'!AA:AA,'Gantt Chart Update'!$B:$B,'New summary'!$B25,'Gantt Chart Update'!$C:$C,'New summary'!$C25)</f>
        <v>600</v>
      </c>
      <c r="U25" s="375">
        <f>SUMIFS('Gantt Chart Update'!AB:AB,'Gantt Chart Update'!$B:$B,'New summary'!$B25,'Gantt Chart Update'!$C:$C,'New summary'!$C25)</f>
        <v>0</v>
      </c>
      <c r="V25" s="375">
        <f>SUMIFS('Gantt Chart Update'!AC:AC,'Gantt Chart Update'!$B:$B,'New summary'!$B25,'Gantt Chart Update'!$C:$C,'New summary'!$C25)</f>
        <v>0</v>
      </c>
      <c r="W25" s="375">
        <f>SUMIFS('Gantt Chart Update'!AD:AD,'Gantt Chart Update'!$B:$B,'New summary'!$B25,'Gantt Chart Update'!$C:$C,'New summary'!$C25)</f>
        <v>0</v>
      </c>
      <c r="X25" s="375">
        <f>SUMIFS('Gantt Chart Update'!AE:AE,'Gantt Chart Update'!$B:$B,'New summary'!$B25,'Gantt Chart Update'!$C:$C,'New summary'!$C25)</f>
        <v>0</v>
      </c>
      <c r="Y25" s="375">
        <f>SUMIFS('Gantt Chart Update'!AF:AF,'Gantt Chart Update'!$B:$B,'New summary'!$B25,'Gantt Chart Update'!$C:$C,'New summary'!$C25)</f>
        <v>0</v>
      </c>
      <c r="Z25" s="375">
        <f>SUMIFS('Gantt Chart Update'!AG:AG,'Gantt Chart Update'!$B:$B,'New summary'!$B25,'Gantt Chart Update'!$C:$C,'New summary'!$C25)</f>
        <v>0</v>
      </c>
      <c r="AA25" s="375">
        <f>SUMIFS('Gantt Chart Update'!AH:AH,'Gantt Chart Update'!$B:$B,'New summary'!$B25,'Gantt Chart Update'!$C:$C,'New summary'!$C25)</f>
        <v>0</v>
      </c>
      <c r="AB25" s="375">
        <f>SUMIFS('Gantt Chart Update'!AI:AI,'Gantt Chart Update'!$B:$B,'New summary'!$B25,'Gantt Chart Update'!$C:$C,'New summary'!$C25)</f>
        <v>0</v>
      </c>
      <c r="AC25" s="375">
        <f>SUMIFS('Gantt Chart Update'!AJ:AJ,'Gantt Chart Update'!$B:$B,'New summary'!$B25,'Gantt Chart Update'!$C:$C,'New summary'!$C25)</f>
        <v>0</v>
      </c>
      <c r="AD25" s="375">
        <f>SUMIFS('Gantt Chart Update'!AK:AK,'Gantt Chart Update'!$B:$B,'New summary'!$B25,'Gantt Chart Update'!$C:$C,'New summary'!$C25)</f>
        <v>0</v>
      </c>
      <c r="AE25" s="375">
        <f>SUMIFS('Gantt Chart Update'!AL:AL,'Gantt Chart Update'!$B:$B,'New summary'!$B25,'Gantt Chart Update'!$C:$C,'New summary'!$C25)</f>
        <v>0</v>
      </c>
      <c r="AF25" s="375">
        <f>SUMIFS('Gantt Chart Update'!AM:AM,'Gantt Chart Update'!$B:$B,'New summary'!$B25,'Gantt Chart Update'!$C:$C,'New summary'!$C25)</f>
        <v>0</v>
      </c>
      <c r="AG25" s="375">
        <f>SUMIFS('Gantt Chart Update'!AN:AN,'Gantt Chart Update'!$B:$B,'New summary'!$B25,'Gantt Chart Update'!$C:$C,'New summary'!$C25)</f>
        <v>0</v>
      </c>
      <c r="AH25" s="375">
        <f>SUMIFS('Gantt Chart Update'!AO:AO,'Gantt Chart Update'!$B:$B,'New summary'!$B25,'Gantt Chart Update'!$C:$C,'New summary'!$C25)</f>
        <v>0</v>
      </c>
      <c r="AI25" s="375">
        <f>SUMIFS('Gantt Chart Update'!AP:AP,'Gantt Chart Update'!$B:$B,'New summary'!$B25,'Gantt Chart Update'!$C:$C,'New summary'!$C25)</f>
        <v>0</v>
      </c>
      <c r="AJ25" s="375">
        <f>SUMIFS('Gantt Chart Update'!AQ:AQ,'Gantt Chart Update'!$B:$B,'New summary'!$B25,'Gantt Chart Update'!$C:$C,'New summary'!$C25)</f>
        <v>0</v>
      </c>
      <c r="AK25" s="375">
        <f>SUMIFS('Gantt Chart Update'!AR:AR,'Gantt Chart Update'!$B:$B,'New summary'!$B25,'Gantt Chart Update'!$C:$C,'New summary'!$C25)</f>
        <v>0</v>
      </c>
      <c r="AL25" s="375">
        <f>SUMIFS('Gantt Chart Update'!AS:AS,'Gantt Chart Update'!$B:$B,'New summary'!$B25,'Gantt Chart Update'!$C:$C,'New summary'!$C25)</f>
        <v>0</v>
      </c>
      <c r="AM25" s="375">
        <f>SUMIFS('Gantt Chart Update'!AT:AT,'Gantt Chart Update'!$B:$B,'New summary'!$B25,'Gantt Chart Update'!$C:$C,'New summary'!$C25)</f>
        <v>0</v>
      </c>
      <c r="AN25" s="375">
        <f>SUMIFS('Gantt Chart Update'!AU:AU,'Gantt Chart Update'!$B:$B,'New summary'!$B25,'Gantt Chart Update'!$C:$C,'New summary'!$C25)</f>
        <v>0</v>
      </c>
      <c r="AO25" s="375">
        <f>SUMIFS('Gantt Chart Update'!AV:AV,'Gantt Chart Update'!$B:$B,'New summary'!$B25,'Gantt Chart Update'!$C:$C,'New summary'!$C25)</f>
        <v>0</v>
      </c>
      <c r="AP25" s="375">
        <f>SUMIFS('Gantt Chart Update'!AW:AW,'Gantt Chart Update'!$B:$B,'New summary'!$B25,'Gantt Chart Update'!$C:$C,'New summary'!$C25)</f>
        <v>0</v>
      </c>
      <c r="AQ25" s="375">
        <f>SUMIFS('Gantt Chart Update'!AX:AX,'Gantt Chart Update'!$B:$B,'New summary'!$B25,'Gantt Chart Update'!$C:$C,'New summary'!$C25)</f>
        <v>0</v>
      </c>
      <c r="AR25" s="375">
        <f>SUMIFS('Gantt Chart Update'!AY:AY,'Gantt Chart Update'!$B:$B,'New summary'!$B25,'Gantt Chart Update'!$C:$C,'New summary'!$C25)</f>
        <v>0</v>
      </c>
      <c r="AS25" s="375">
        <f>SUMIFS('Gantt Chart Update'!AZ:AZ,'Gantt Chart Update'!$B:$B,'New summary'!$B25,'Gantt Chart Update'!$C:$C,'New summary'!$C25)</f>
        <v>0</v>
      </c>
      <c r="AT25" s="375">
        <f>SUMIFS('Gantt Chart Update'!BA:BA,'Gantt Chart Update'!$B:$B,'New summary'!$B25,'Gantt Chart Update'!$C:$C,'New summary'!$C25)</f>
        <v>0</v>
      </c>
      <c r="AU25" s="375">
        <f>SUMIFS('Gantt Chart Update'!BB:BB,'Gantt Chart Update'!$B:$B,'New summary'!$B25,'Gantt Chart Update'!$C:$C,'New summary'!$C25)</f>
        <v>0</v>
      </c>
      <c r="AV25" s="375">
        <f>SUMIFS('Gantt Chart Update'!BC:BC,'Gantt Chart Update'!$B:$B,'New summary'!$B25,'Gantt Chart Update'!$C:$C,'New summary'!$C25)</f>
        <v>600</v>
      </c>
      <c r="AW25" s="375">
        <f>SUMIFS('Gantt Chart Update'!BD:BD,'Gantt Chart Update'!$B:$B,'New summary'!$B25,'Gantt Chart Update'!$C:$C,'New summary'!$C25)</f>
        <v>0</v>
      </c>
      <c r="AX25" s="375">
        <f>SUMIFS('Gantt Chart Update'!BE:BE,'Gantt Chart Update'!$B:$B,'New summary'!$B25,'Gantt Chart Update'!$C:$C,'New summary'!$C25)</f>
        <v>0</v>
      </c>
      <c r="AY25" s="375">
        <f>SUMIFS('Gantt Chart Update'!BF:BF,'Gantt Chart Update'!$B:$B,'New summary'!$B25,'Gantt Chart Update'!$C:$C,'New summary'!$C25)</f>
        <v>0</v>
      </c>
      <c r="AZ25" s="375">
        <f>SUMIFS('Gantt Chart Update'!BG:BG,'Gantt Chart Update'!$B:$B,'New summary'!$B25,'Gantt Chart Update'!$C:$C,'New summary'!$C25)</f>
        <v>0</v>
      </c>
      <c r="BA25" s="375">
        <f>SUMIFS('Gantt Chart Update'!BH:BH,'Gantt Chart Update'!$B:$B,'New summary'!$B25,'Gantt Chart Update'!$C:$C,'New summary'!$C25)</f>
        <v>0</v>
      </c>
      <c r="BB25" s="375">
        <f>SUMIFS('Gantt Chart Update'!BI:BI,'Gantt Chart Update'!$B:$B,'New summary'!$B25,'Gantt Chart Update'!$C:$C,'New summary'!$C25)</f>
        <v>0</v>
      </c>
      <c r="BC25" s="375">
        <f>SUMIFS('Gantt Chart Update'!BJ:BJ,'Gantt Chart Update'!$B:$B,'New summary'!$B25,'Gantt Chart Update'!$C:$C,'New summary'!$C25)</f>
        <v>0</v>
      </c>
      <c r="BD25" s="375">
        <f>SUMIFS('Gantt Chart Update'!BK:BK,'Gantt Chart Update'!$B:$B,'New summary'!$B25,'Gantt Chart Update'!$C:$C,'New summary'!$C25)</f>
        <v>0</v>
      </c>
      <c r="BE25" s="375">
        <f>SUMIFS('Gantt Chart Update'!BL:BL,'Gantt Chart Update'!$B:$B,'New summary'!$B25,'Gantt Chart Update'!$C:$C,'New summary'!$C25)</f>
        <v>0</v>
      </c>
      <c r="BF25" s="375">
        <f>SUMIFS('Gantt Chart Update'!BM:BM,'Gantt Chart Update'!$B:$B,'New summary'!$B25,'Gantt Chart Update'!$C:$C,'New summary'!$C25)</f>
        <v>0</v>
      </c>
      <c r="BG25" s="375">
        <f>SUMIFS('Gantt Chart Update'!BN:BN,'Gantt Chart Update'!$B:$B,'New summary'!$B25,'Gantt Chart Update'!$C:$C,'New summary'!$C25)</f>
        <v>0</v>
      </c>
      <c r="BH25" s="375">
        <f>SUMIFS('Gantt Chart Update'!BO:BO,'Gantt Chart Update'!$B:$B,'New summary'!$B25,'Gantt Chart Update'!$C:$C,'New summary'!$C25)</f>
        <v>0</v>
      </c>
      <c r="BI25" s="375">
        <f>SUMIFS('Gantt Chart Update'!BP:BP,'Gantt Chart Update'!$B:$B,'New summary'!$B25,'Gantt Chart Update'!$C:$C,'New summary'!$C25)</f>
        <v>0</v>
      </c>
    </row>
    <row r="26" spans="2:61" x14ac:dyDescent="0.2">
      <c r="B26" s="873" t="s">
        <v>201</v>
      </c>
      <c r="C26" s="867" t="s">
        <v>871</v>
      </c>
      <c r="D26" s="530">
        <f t="shared" ref="D26:D33" si="2">SUM(J26:BI26)</f>
        <v>3642</v>
      </c>
      <c r="E26" s="870">
        <f>SUMIFS('Gantt Chart Update'!L:L,'Gantt Chart Update'!$B:$B,'New summary'!$B26,'Gantt Chart Update'!$C:$C,'New summary'!$C26)</f>
        <v>0</v>
      </c>
      <c r="F26" s="375">
        <f>SUMIFS('Gantt Chart Update'!M:M,'Gantt Chart Update'!$B:$B,'New summary'!$B26,'Gantt Chart Update'!$C:$C,'New summary'!$C26)</f>
        <v>0</v>
      </c>
      <c r="G26" s="375">
        <f>SUMIFS('Gantt Chart Update'!N:N,'Gantt Chart Update'!$B:$B,'New summary'!$B26,'Gantt Chart Update'!$C:$C,'New summary'!$C26)</f>
        <v>0</v>
      </c>
      <c r="H26" s="375">
        <f>SUMIFS('Gantt Chart Update'!O:O,'Gantt Chart Update'!$B:$B,'New summary'!$B26,'Gantt Chart Update'!$C:$C,'New summary'!$C26)</f>
        <v>0</v>
      </c>
      <c r="I26" s="375">
        <f>SUMIFS('Gantt Chart Update'!P:P,'Gantt Chart Update'!$B:$B,'New summary'!$B26,'Gantt Chart Update'!$C:$C,'New summary'!$C26)</f>
        <v>0</v>
      </c>
      <c r="J26" s="375">
        <f>SUMIFS('Gantt Chart Update'!Q:Q,'Gantt Chart Update'!$B:$B,'New summary'!$B26,'Gantt Chart Update'!$C:$C,'New summary'!$C26)</f>
        <v>0</v>
      </c>
      <c r="K26" s="375">
        <f>SUMIFS('Gantt Chart Update'!R:R,'Gantt Chart Update'!$B:$B,'New summary'!$B26,'Gantt Chart Update'!$C:$C,'New summary'!$C26)</f>
        <v>0</v>
      </c>
      <c r="L26" s="375">
        <f>SUMIFS('Gantt Chart Update'!S:S,'Gantt Chart Update'!$B:$B,'New summary'!$B26,'Gantt Chart Update'!$C:$C,'New summary'!$C26)</f>
        <v>0</v>
      </c>
      <c r="M26" s="375">
        <f>SUMIFS('Gantt Chart Update'!T:T,'Gantt Chart Update'!$B:$B,'New summary'!$B26,'Gantt Chart Update'!$C:$C,'New summary'!$C26)</f>
        <v>0</v>
      </c>
      <c r="N26" s="375">
        <f>SUMIFS('Gantt Chart Update'!U:U,'Gantt Chart Update'!$B:$B,'New summary'!$B26,'Gantt Chart Update'!$C:$C,'New summary'!$C26)</f>
        <v>0</v>
      </c>
      <c r="O26" s="375">
        <f>SUMIFS('Gantt Chart Update'!V:V,'Gantt Chart Update'!$B:$B,'New summary'!$B26,'Gantt Chart Update'!$C:$C,'New summary'!$C26)</f>
        <v>0</v>
      </c>
      <c r="P26" s="375">
        <f>SUMIFS('Gantt Chart Update'!W:W,'Gantt Chart Update'!$B:$B,'New summary'!$B26,'Gantt Chart Update'!$C:$C,'New summary'!$C26)</f>
        <v>0</v>
      </c>
      <c r="Q26" s="375">
        <f>SUMIFS('Gantt Chart Update'!X:X,'Gantt Chart Update'!$B:$B,'New summary'!$B26,'Gantt Chart Update'!$C:$C,'New summary'!$C26)</f>
        <v>0</v>
      </c>
      <c r="R26" s="375">
        <f>SUMIFS('Gantt Chart Update'!Y:Y,'Gantt Chart Update'!$B:$B,'New summary'!$B26,'Gantt Chart Update'!$C:$C,'New summary'!$C26)</f>
        <v>0</v>
      </c>
      <c r="S26" s="375">
        <f>SUMIFS('Gantt Chart Update'!Z:Z,'Gantt Chart Update'!$B:$B,'New summary'!$B26,'Gantt Chart Update'!$C:$C,'New summary'!$C26)</f>
        <v>0</v>
      </c>
      <c r="T26" s="375">
        <f>SUMIFS('Gantt Chart Update'!AA:AA,'Gantt Chart Update'!$B:$B,'New summary'!$B26,'Gantt Chart Update'!$C:$C,'New summary'!$C26)</f>
        <v>0</v>
      </c>
      <c r="U26" s="375">
        <f>SUMIFS('Gantt Chart Update'!AB:AB,'Gantt Chart Update'!$B:$B,'New summary'!$B26,'Gantt Chart Update'!$C:$C,'New summary'!$C26)</f>
        <v>0</v>
      </c>
      <c r="V26" s="375">
        <f>SUMIFS('Gantt Chart Update'!AC:AC,'Gantt Chart Update'!$B:$B,'New summary'!$B26,'Gantt Chart Update'!$C:$C,'New summary'!$C26)</f>
        <v>0</v>
      </c>
      <c r="W26" s="375">
        <f>SUMIFS('Gantt Chart Update'!AD:AD,'Gantt Chart Update'!$B:$B,'New summary'!$B26,'Gantt Chart Update'!$C:$C,'New summary'!$C26)</f>
        <v>0</v>
      </c>
      <c r="X26" s="375">
        <f>SUMIFS('Gantt Chart Update'!AE:AE,'Gantt Chart Update'!$B:$B,'New summary'!$B26,'Gantt Chart Update'!$C:$C,'New summary'!$C26)</f>
        <v>0</v>
      </c>
      <c r="Y26" s="375">
        <f>SUMIFS('Gantt Chart Update'!AF:AF,'Gantt Chart Update'!$B:$B,'New summary'!$B26,'Gantt Chart Update'!$C:$C,'New summary'!$C26)</f>
        <v>0</v>
      </c>
      <c r="Z26" s="375">
        <f>SUMIFS('Gantt Chart Update'!AG:AG,'Gantt Chart Update'!$B:$B,'New summary'!$B26,'Gantt Chart Update'!$C:$C,'New summary'!$C26)</f>
        <v>0</v>
      </c>
      <c r="AA26" s="375">
        <f>SUMIFS('Gantt Chart Update'!AH:AH,'Gantt Chart Update'!$B:$B,'New summary'!$B26,'Gantt Chart Update'!$C:$C,'New summary'!$C26)</f>
        <v>0</v>
      </c>
      <c r="AB26" s="375">
        <f>SUMIFS('Gantt Chart Update'!AI:AI,'Gantt Chart Update'!$B:$B,'New summary'!$B26,'Gantt Chart Update'!$C:$C,'New summary'!$C26)</f>
        <v>0</v>
      </c>
      <c r="AC26" s="375">
        <f>SUMIFS('Gantt Chart Update'!AJ:AJ,'Gantt Chart Update'!$B:$B,'New summary'!$B26,'Gantt Chart Update'!$C:$C,'New summary'!$C26)</f>
        <v>0</v>
      </c>
      <c r="AD26" s="375">
        <f>SUMIFS('Gantt Chart Update'!AK:AK,'Gantt Chart Update'!$B:$B,'New summary'!$B26,'Gantt Chart Update'!$C:$C,'New summary'!$C26)</f>
        <v>0</v>
      </c>
      <c r="AE26" s="375">
        <f>SUMIFS('Gantt Chart Update'!AL:AL,'Gantt Chart Update'!$B:$B,'New summary'!$B26,'Gantt Chart Update'!$C:$C,'New summary'!$C26)</f>
        <v>0</v>
      </c>
      <c r="AF26" s="375">
        <f>SUMIFS('Gantt Chart Update'!AM:AM,'Gantt Chart Update'!$B:$B,'New summary'!$B26,'Gantt Chart Update'!$C:$C,'New summary'!$C26)</f>
        <v>0</v>
      </c>
      <c r="AG26" s="375">
        <f>SUMIFS('Gantt Chart Update'!AN:AN,'Gantt Chart Update'!$B:$B,'New summary'!$B26,'Gantt Chart Update'!$C:$C,'New summary'!$C26)</f>
        <v>0</v>
      </c>
      <c r="AH26" s="375">
        <f>SUMIFS('Gantt Chart Update'!AO:AO,'Gantt Chart Update'!$B:$B,'New summary'!$B26,'Gantt Chart Update'!$C:$C,'New summary'!$C26)</f>
        <v>0</v>
      </c>
      <c r="AI26" s="375">
        <f>SUMIFS('Gantt Chart Update'!AP:AP,'Gantt Chart Update'!$B:$B,'New summary'!$B26,'Gantt Chart Update'!$C:$C,'New summary'!$C26)</f>
        <v>636</v>
      </c>
      <c r="AJ26" s="375">
        <f>SUMIFS('Gantt Chart Update'!AQ:AQ,'Gantt Chart Update'!$B:$B,'New summary'!$B26,'Gantt Chart Update'!$C:$C,'New summary'!$C26)</f>
        <v>0</v>
      </c>
      <c r="AK26" s="375">
        <f>SUMIFS('Gantt Chart Update'!AR:AR,'Gantt Chart Update'!$B:$B,'New summary'!$B26,'Gantt Chart Update'!$C:$C,'New summary'!$C26)</f>
        <v>0</v>
      </c>
      <c r="AL26" s="375">
        <f>SUMIFS('Gantt Chart Update'!AS:AS,'Gantt Chart Update'!$B:$B,'New summary'!$B26,'Gantt Chart Update'!$C:$C,'New summary'!$C26)</f>
        <v>2202</v>
      </c>
      <c r="AM26" s="375">
        <f>SUMIFS('Gantt Chart Update'!AT:AT,'Gantt Chart Update'!$B:$B,'New summary'!$B26,'Gantt Chart Update'!$C:$C,'New summary'!$C26)</f>
        <v>0</v>
      </c>
      <c r="AN26" s="375">
        <f>SUMIFS('Gantt Chart Update'!AU:AU,'Gantt Chart Update'!$B:$B,'New summary'!$B26,'Gantt Chart Update'!$C:$C,'New summary'!$C26)</f>
        <v>0</v>
      </c>
      <c r="AO26" s="375">
        <f>SUMIFS('Gantt Chart Update'!AV:AV,'Gantt Chart Update'!$B:$B,'New summary'!$B26,'Gantt Chart Update'!$C:$C,'New summary'!$C26)</f>
        <v>0</v>
      </c>
      <c r="AP26" s="375">
        <f>SUMIFS('Gantt Chart Update'!AW:AW,'Gantt Chart Update'!$B:$B,'New summary'!$B26,'Gantt Chart Update'!$C:$C,'New summary'!$C26)</f>
        <v>804</v>
      </c>
      <c r="AQ26" s="375">
        <f>SUMIFS('Gantt Chart Update'!AX:AX,'Gantt Chart Update'!$B:$B,'New summary'!$B26,'Gantt Chart Update'!$C:$C,'New summary'!$C26)</f>
        <v>0</v>
      </c>
      <c r="AR26" s="375">
        <f>SUMIFS('Gantt Chart Update'!AY:AY,'Gantt Chart Update'!$B:$B,'New summary'!$B26,'Gantt Chart Update'!$C:$C,'New summary'!$C26)</f>
        <v>0</v>
      </c>
      <c r="AS26" s="375">
        <f>SUMIFS('Gantt Chart Update'!AZ:AZ,'Gantt Chart Update'!$B:$B,'New summary'!$B26,'Gantt Chart Update'!$C:$C,'New summary'!$C26)</f>
        <v>0</v>
      </c>
      <c r="AT26" s="375">
        <f>SUMIFS('Gantt Chart Update'!BA:BA,'Gantt Chart Update'!$B:$B,'New summary'!$B26,'Gantt Chart Update'!$C:$C,'New summary'!$C26)</f>
        <v>0</v>
      </c>
      <c r="AU26" s="375">
        <f>SUMIFS('Gantt Chart Update'!BB:BB,'Gantt Chart Update'!$B:$B,'New summary'!$B26,'Gantt Chart Update'!$C:$C,'New summary'!$C26)</f>
        <v>0</v>
      </c>
      <c r="AV26" s="375">
        <f>SUMIFS('Gantt Chart Update'!BC:BC,'Gantt Chart Update'!$B:$B,'New summary'!$B26,'Gantt Chart Update'!$C:$C,'New summary'!$C26)</f>
        <v>0</v>
      </c>
      <c r="AW26" s="375">
        <f>SUMIFS('Gantt Chart Update'!BD:BD,'Gantt Chart Update'!$B:$B,'New summary'!$B26,'Gantt Chart Update'!$C:$C,'New summary'!$C26)</f>
        <v>0</v>
      </c>
      <c r="AX26" s="375">
        <f>SUMIFS('Gantt Chart Update'!BE:BE,'Gantt Chart Update'!$B:$B,'New summary'!$B26,'Gantt Chart Update'!$C:$C,'New summary'!$C26)</f>
        <v>0</v>
      </c>
      <c r="AY26" s="375">
        <f>SUMIFS('Gantt Chart Update'!BF:BF,'Gantt Chart Update'!$B:$B,'New summary'!$B26,'Gantt Chart Update'!$C:$C,'New summary'!$C26)</f>
        <v>0</v>
      </c>
      <c r="AZ26" s="375">
        <f>SUMIFS('Gantt Chart Update'!BG:BG,'Gantt Chart Update'!$B:$B,'New summary'!$B26,'Gantt Chart Update'!$C:$C,'New summary'!$C26)</f>
        <v>0</v>
      </c>
      <c r="BA26" s="375">
        <f>SUMIFS('Gantt Chart Update'!BH:BH,'Gantt Chart Update'!$B:$B,'New summary'!$B26,'Gantt Chart Update'!$C:$C,'New summary'!$C26)</f>
        <v>0</v>
      </c>
      <c r="BB26" s="375">
        <f>SUMIFS('Gantt Chart Update'!BI:BI,'Gantt Chart Update'!$B:$B,'New summary'!$B26,'Gantt Chart Update'!$C:$C,'New summary'!$C26)</f>
        <v>0</v>
      </c>
      <c r="BC26" s="375">
        <f>SUMIFS('Gantt Chart Update'!BJ:BJ,'Gantt Chart Update'!$B:$B,'New summary'!$B26,'Gantt Chart Update'!$C:$C,'New summary'!$C26)</f>
        <v>0</v>
      </c>
      <c r="BD26" s="375">
        <f>SUMIFS('Gantt Chart Update'!BK:BK,'Gantt Chart Update'!$B:$B,'New summary'!$B26,'Gantt Chart Update'!$C:$C,'New summary'!$C26)</f>
        <v>0</v>
      </c>
      <c r="BE26" s="375">
        <f>SUMIFS('Gantt Chart Update'!BL:BL,'Gantt Chart Update'!$B:$B,'New summary'!$B26,'Gantt Chart Update'!$C:$C,'New summary'!$C26)</f>
        <v>0</v>
      </c>
      <c r="BF26" s="375">
        <f>SUMIFS('Gantt Chart Update'!BM:BM,'Gantt Chart Update'!$B:$B,'New summary'!$B26,'Gantt Chart Update'!$C:$C,'New summary'!$C26)</f>
        <v>0</v>
      </c>
      <c r="BG26" s="375">
        <f>SUMIFS('Gantt Chart Update'!BN:BN,'Gantt Chart Update'!$B:$B,'New summary'!$B26,'Gantt Chart Update'!$C:$C,'New summary'!$C26)</f>
        <v>0</v>
      </c>
      <c r="BH26" s="375">
        <f>SUMIFS('Gantt Chart Update'!BO:BO,'Gantt Chart Update'!$B:$B,'New summary'!$B26,'Gantt Chart Update'!$C:$C,'New summary'!$C26)</f>
        <v>0</v>
      </c>
      <c r="BI26" s="375">
        <f>SUMIFS('Gantt Chart Update'!BP:BP,'Gantt Chart Update'!$B:$B,'New summary'!$B26,'Gantt Chart Update'!$C:$C,'New summary'!$C26)</f>
        <v>0</v>
      </c>
    </row>
    <row r="27" spans="2:61" x14ac:dyDescent="0.2">
      <c r="B27" s="873" t="s">
        <v>201</v>
      </c>
      <c r="C27" s="867" t="s">
        <v>870</v>
      </c>
      <c r="D27" s="530">
        <f t="shared" si="2"/>
        <v>1218</v>
      </c>
      <c r="E27" s="870">
        <f>SUMIFS('Gantt Chart Update'!L:L,'Gantt Chart Update'!$B:$B,'New summary'!$B27,'Gantt Chart Update'!$C:$C,'New summary'!$C27)</f>
        <v>0</v>
      </c>
      <c r="F27" s="375">
        <f>SUMIFS('Gantt Chart Update'!M:M,'Gantt Chart Update'!$B:$B,'New summary'!$B27,'Gantt Chart Update'!$C:$C,'New summary'!$C27)</f>
        <v>0</v>
      </c>
      <c r="G27" s="375">
        <f>SUMIFS('Gantt Chart Update'!N:N,'Gantt Chart Update'!$B:$B,'New summary'!$B27,'Gantt Chart Update'!$C:$C,'New summary'!$C27)</f>
        <v>0</v>
      </c>
      <c r="H27" s="375">
        <f>SUMIFS('Gantt Chart Update'!O:O,'Gantt Chart Update'!$B:$B,'New summary'!$B27,'Gantt Chart Update'!$C:$C,'New summary'!$C27)</f>
        <v>0</v>
      </c>
      <c r="I27" s="375">
        <f>SUMIFS('Gantt Chart Update'!P:P,'Gantt Chart Update'!$B:$B,'New summary'!$B27,'Gantt Chart Update'!$C:$C,'New summary'!$C27)</f>
        <v>0</v>
      </c>
      <c r="J27" s="375">
        <f>SUMIFS('Gantt Chart Update'!Q:Q,'Gantt Chart Update'!$B:$B,'New summary'!$B27,'Gantt Chart Update'!$C:$C,'New summary'!$C27)</f>
        <v>0</v>
      </c>
      <c r="K27" s="375">
        <f>SUMIFS('Gantt Chart Update'!R:R,'Gantt Chart Update'!$B:$B,'New summary'!$B27,'Gantt Chart Update'!$C:$C,'New summary'!$C27)</f>
        <v>0</v>
      </c>
      <c r="L27" s="375">
        <f>SUMIFS('Gantt Chart Update'!S:S,'Gantt Chart Update'!$B:$B,'New summary'!$B27,'Gantt Chart Update'!$C:$C,'New summary'!$C27)</f>
        <v>0</v>
      </c>
      <c r="M27" s="375">
        <f>SUMIFS('Gantt Chart Update'!T:T,'Gantt Chart Update'!$B:$B,'New summary'!$B27,'Gantt Chart Update'!$C:$C,'New summary'!$C27)</f>
        <v>0</v>
      </c>
      <c r="N27" s="375">
        <f>SUMIFS('Gantt Chart Update'!U:U,'Gantt Chart Update'!$B:$B,'New summary'!$B27,'Gantt Chart Update'!$C:$C,'New summary'!$C27)</f>
        <v>0</v>
      </c>
      <c r="O27" s="375">
        <f>SUMIFS('Gantt Chart Update'!V:V,'Gantt Chart Update'!$B:$B,'New summary'!$B27,'Gantt Chart Update'!$C:$C,'New summary'!$C27)</f>
        <v>0</v>
      </c>
      <c r="P27" s="375">
        <f>SUMIFS('Gantt Chart Update'!W:W,'Gantt Chart Update'!$B:$B,'New summary'!$B27,'Gantt Chart Update'!$C:$C,'New summary'!$C27)</f>
        <v>0</v>
      </c>
      <c r="Q27" s="375">
        <f>SUMIFS('Gantt Chart Update'!X:X,'Gantt Chart Update'!$B:$B,'New summary'!$B27,'Gantt Chart Update'!$C:$C,'New summary'!$C27)</f>
        <v>0</v>
      </c>
      <c r="R27" s="375">
        <f>SUMIFS('Gantt Chart Update'!Y:Y,'Gantt Chart Update'!$B:$B,'New summary'!$B27,'Gantt Chart Update'!$C:$C,'New summary'!$C27)</f>
        <v>0</v>
      </c>
      <c r="S27" s="375">
        <f>SUMIFS('Gantt Chart Update'!Z:Z,'Gantt Chart Update'!$B:$B,'New summary'!$B27,'Gantt Chart Update'!$C:$C,'New summary'!$C27)</f>
        <v>0</v>
      </c>
      <c r="T27" s="375">
        <f>SUMIFS('Gantt Chart Update'!AA:AA,'Gantt Chart Update'!$B:$B,'New summary'!$B27,'Gantt Chart Update'!$C:$C,'New summary'!$C27)</f>
        <v>0</v>
      </c>
      <c r="U27" s="375">
        <f>SUMIFS('Gantt Chart Update'!AB:AB,'Gantt Chart Update'!$B:$B,'New summary'!$B27,'Gantt Chart Update'!$C:$C,'New summary'!$C27)</f>
        <v>0</v>
      </c>
      <c r="V27" s="375">
        <f>SUMIFS('Gantt Chart Update'!AC:AC,'Gantt Chart Update'!$B:$B,'New summary'!$B27,'Gantt Chart Update'!$C:$C,'New summary'!$C27)</f>
        <v>0</v>
      </c>
      <c r="W27" s="375">
        <f>SUMIFS('Gantt Chart Update'!AD:AD,'Gantt Chart Update'!$B:$B,'New summary'!$B27,'Gantt Chart Update'!$C:$C,'New summary'!$C27)</f>
        <v>0</v>
      </c>
      <c r="X27" s="375">
        <f>SUMIFS('Gantt Chart Update'!AE:AE,'Gantt Chart Update'!$B:$B,'New summary'!$B27,'Gantt Chart Update'!$C:$C,'New summary'!$C27)</f>
        <v>0</v>
      </c>
      <c r="Y27" s="375">
        <f>SUMIFS('Gantt Chart Update'!AF:AF,'Gantt Chart Update'!$B:$B,'New summary'!$B27,'Gantt Chart Update'!$C:$C,'New summary'!$C27)</f>
        <v>0</v>
      </c>
      <c r="Z27" s="375">
        <f>SUMIFS('Gantt Chart Update'!AG:AG,'Gantt Chart Update'!$B:$B,'New summary'!$B27,'Gantt Chart Update'!$C:$C,'New summary'!$C27)</f>
        <v>0</v>
      </c>
      <c r="AA27" s="375">
        <f>SUMIFS('Gantt Chart Update'!AH:AH,'Gantt Chart Update'!$B:$B,'New summary'!$B27,'Gantt Chart Update'!$C:$C,'New summary'!$C27)</f>
        <v>0</v>
      </c>
      <c r="AB27" s="375">
        <f>SUMIFS('Gantt Chart Update'!AI:AI,'Gantt Chart Update'!$B:$B,'New summary'!$B27,'Gantt Chart Update'!$C:$C,'New summary'!$C27)</f>
        <v>0</v>
      </c>
      <c r="AC27" s="375">
        <f>SUMIFS('Gantt Chart Update'!AJ:AJ,'Gantt Chart Update'!$B:$B,'New summary'!$B27,'Gantt Chart Update'!$C:$C,'New summary'!$C27)</f>
        <v>0</v>
      </c>
      <c r="AD27" s="375">
        <f>SUMIFS('Gantt Chart Update'!AK:AK,'Gantt Chart Update'!$B:$B,'New summary'!$B27,'Gantt Chart Update'!$C:$C,'New summary'!$C27)</f>
        <v>0</v>
      </c>
      <c r="AE27" s="375">
        <f>SUMIFS('Gantt Chart Update'!AL:AL,'Gantt Chart Update'!$B:$B,'New summary'!$B27,'Gantt Chart Update'!$C:$C,'New summary'!$C27)</f>
        <v>0</v>
      </c>
      <c r="AF27" s="375">
        <f>SUMIFS('Gantt Chart Update'!AM:AM,'Gantt Chart Update'!$B:$B,'New summary'!$B27,'Gantt Chart Update'!$C:$C,'New summary'!$C27)</f>
        <v>0</v>
      </c>
      <c r="AG27" s="375">
        <f>SUMIFS('Gantt Chart Update'!AN:AN,'Gantt Chart Update'!$B:$B,'New summary'!$B27,'Gantt Chart Update'!$C:$C,'New summary'!$C27)</f>
        <v>0</v>
      </c>
      <c r="AH27" s="375">
        <f>SUMIFS('Gantt Chart Update'!AO:AO,'Gantt Chart Update'!$B:$B,'New summary'!$B27,'Gantt Chart Update'!$C:$C,'New summary'!$C27)</f>
        <v>1218</v>
      </c>
      <c r="AI27" s="375">
        <f>SUMIFS('Gantt Chart Update'!AP:AP,'Gantt Chart Update'!$B:$B,'New summary'!$B27,'Gantt Chart Update'!$C:$C,'New summary'!$C27)</f>
        <v>0</v>
      </c>
      <c r="AJ27" s="375">
        <f>SUMIFS('Gantt Chart Update'!AQ:AQ,'Gantt Chart Update'!$B:$B,'New summary'!$B27,'Gantt Chart Update'!$C:$C,'New summary'!$C27)</f>
        <v>0</v>
      </c>
      <c r="AK27" s="375">
        <f>SUMIFS('Gantt Chart Update'!AR:AR,'Gantt Chart Update'!$B:$B,'New summary'!$B27,'Gantt Chart Update'!$C:$C,'New summary'!$C27)</f>
        <v>0</v>
      </c>
      <c r="AL27" s="375">
        <f>SUMIFS('Gantt Chart Update'!AS:AS,'Gantt Chart Update'!$B:$B,'New summary'!$B27,'Gantt Chart Update'!$C:$C,'New summary'!$C27)</f>
        <v>0</v>
      </c>
      <c r="AM27" s="375">
        <f>SUMIFS('Gantt Chart Update'!AT:AT,'Gantt Chart Update'!$B:$B,'New summary'!$B27,'Gantt Chart Update'!$C:$C,'New summary'!$C27)</f>
        <v>0</v>
      </c>
      <c r="AN27" s="375">
        <f>SUMIFS('Gantt Chart Update'!AU:AU,'Gantt Chart Update'!$B:$B,'New summary'!$B27,'Gantt Chart Update'!$C:$C,'New summary'!$C27)</f>
        <v>0</v>
      </c>
      <c r="AO27" s="375">
        <f>SUMIFS('Gantt Chart Update'!AV:AV,'Gantt Chart Update'!$B:$B,'New summary'!$B27,'Gantt Chart Update'!$C:$C,'New summary'!$C27)</f>
        <v>0</v>
      </c>
      <c r="AP27" s="375">
        <f>SUMIFS('Gantt Chart Update'!AW:AW,'Gantt Chart Update'!$B:$B,'New summary'!$B27,'Gantt Chart Update'!$C:$C,'New summary'!$C27)</f>
        <v>0</v>
      </c>
      <c r="AQ27" s="375">
        <f>SUMIFS('Gantt Chart Update'!AX:AX,'Gantt Chart Update'!$B:$B,'New summary'!$B27,'Gantt Chart Update'!$C:$C,'New summary'!$C27)</f>
        <v>0</v>
      </c>
      <c r="AR27" s="375">
        <f>SUMIFS('Gantt Chart Update'!AY:AY,'Gantt Chart Update'!$B:$B,'New summary'!$B27,'Gantt Chart Update'!$C:$C,'New summary'!$C27)</f>
        <v>0</v>
      </c>
      <c r="AS27" s="375">
        <f>SUMIFS('Gantt Chart Update'!AZ:AZ,'Gantt Chart Update'!$B:$B,'New summary'!$B27,'Gantt Chart Update'!$C:$C,'New summary'!$C27)</f>
        <v>0</v>
      </c>
      <c r="AT27" s="375">
        <f>SUMIFS('Gantt Chart Update'!BA:BA,'Gantt Chart Update'!$B:$B,'New summary'!$B27,'Gantt Chart Update'!$C:$C,'New summary'!$C27)</f>
        <v>0</v>
      </c>
      <c r="AU27" s="375">
        <f>SUMIFS('Gantt Chart Update'!BB:BB,'Gantt Chart Update'!$B:$B,'New summary'!$B27,'Gantt Chart Update'!$C:$C,'New summary'!$C27)</f>
        <v>0</v>
      </c>
      <c r="AV27" s="375">
        <f>SUMIFS('Gantt Chart Update'!BC:BC,'Gantt Chart Update'!$B:$B,'New summary'!$B27,'Gantt Chart Update'!$C:$C,'New summary'!$C27)</f>
        <v>0</v>
      </c>
      <c r="AW27" s="375">
        <f>SUMIFS('Gantt Chart Update'!BD:BD,'Gantt Chart Update'!$B:$B,'New summary'!$B27,'Gantt Chart Update'!$C:$C,'New summary'!$C27)</f>
        <v>0</v>
      </c>
      <c r="AX27" s="375">
        <f>SUMIFS('Gantt Chart Update'!BE:BE,'Gantt Chart Update'!$B:$B,'New summary'!$B27,'Gantt Chart Update'!$C:$C,'New summary'!$C27)</f>
        <v>0</v>
      </c>
      <c r="AY27" s="375">
        <f>SUMIFS('Gantt Chart Update'!BF:BF,'Gantt Chart Update'!$B:$B,'New summary'!$B27,'Gantt Chart Update'!$C:$C,'New summary'!$C27)</f>
        <v>0</v>
      </c>
      <c r="AZ27" s="375">
        <f>SUMIFS('Gantt Chart Update'!BG:BG,'Gantt Chart Update'!$B:$B,'New summary'!$B27,'Gantt Chart Update'!$C:$C,'New summary'!$C27)</f>
        <v>0</v>
      </c>
      <c r="BA27" s="375">
        <f>SUMIFS('Gantt Chart Update'!BH:BH,'Gantt Chart Update'!$B:$B,'New summary'!$B27,'Gantt Chart Update'!$C:$C,'New summary'!$C27)</f>
        <v>0</v>
      </c>
      <c r="BB27" s="375">
        <f>SUMIFS('Gantt Chart Update'!BI:BI,'Gantt Chart Update'!$B:$B,'New summary'!$B27,'Gantt Chart Update'!$C:$C,'New summary'!$C27)</f>
        <v>0</v>
      </c>
      <c r="BC27" s="375">
        <f>SUMIFS('Gantt Chart Update'!BJ:BJ,'Gantt Chart Update'!$B:$B,'New summary'!$B27,'Gantt Chart Update'!$C:$C,'New summary'!$C27)</f>
        <v>0</v>
      </c>
      <c r="BD27" s="375">
        <f>SUMIFS('Gantt Chart Update'!BK:BK,'Gantt Chart Update'!$B:$B,'New summary'!$B27,'Gantt Chart Update'!$C:$C,'New summary'!$C27)</f>
        <v>0</v>
      </c>
      <c r="BE27" s="375">
        <f>SUMIFS('Gantt Chart Update'!BL:BL,'Gantt Chart Update'!$B:$B,'New summary'!$B27,'Gantt Chart Update'!$C:$C,'New summary'!$C27)</f>
        <v>0</v>
      </c>
      <c r="BF27" s="375">
        <f>SUMIFS('Gantt Chart Update'!BM:BM,'Gantt Chart Update'!$B:$B,'New summary'!$B27,'Gantt Chart Update'!$C:$C,'New summary'!$C27)</f>
        <v>0</v>
      </c>
      <c r="BG27" s="375">
        <f>SUMIFS('Gantt Chart Update'!BN:BN,'Gantt Chart Update'!$B:$B,'New summary'!$B27,'Gantt Chart Update'!$C:$C,'New summary'!$C27)</f>
        <v>0</v>
      </c>
      <c r="BH27" s="375">
        <f>SUMIFS('Gantt Chart Update'!BO:BO,'Gantt Chart Update'!$B:$B,'New summary'!$B27,'Gantt Chart Update'!$C:$C,'New summary'!$C27)</f>
        <v>0</v>
      </c>
      <c r="BI27" s="375">
        <f>SUMIFS('Gantt Chart Update'!BP:BP,'Gantt Chart Update'!$B:$B,'New summary'!$B27,'Gantt Chart Update'!$C:$C,'New summary'!$C27)</f>
        <v>0</v>
      </c>
    </row>
    <row r="28" spans="2:61" x14ac:dyDescent="0.2">
      <c r="B28" s="873" t="s">
        <v>201</v>
      </c>
      <c r="C28" s="867" t="s">
        <v>312</v>
      </c>
      <c r="D28" s="530">
        <f t="shared" si="2"/>
        <v>1800</v>
      </c>
      <c r="E28" s="870">
        <f>SUMIFS('Gantt Chart Update'!L:L,'Gantt Chart Update'!$B:$B,'New summary'!$B28,'Gantt Chart Update'!$C:$C,'New summary'!$C28)</f>
        <v>0</v>
      </c>
      <c r="F28" s="375">
        <f>SUMIFS('Gantt Chart Update'!M:M,'Gantt Chart Update'!$B:$B,'New summary'!$B28,'Gantt Chart Update'!$C:$C,'New summary'!$C28)</f>
        <v>0</v>
      </c>
      <c r="G28" s="375">
        <f>SUMIFS('Gantt Chart Update'!N:N,'Gantt Chart Update'!$B:$B,'New summary'!$B28,'Gantt Chart Update'!$C:$C,'New summary'!$C28)</f>
        <v>0</v>
      </c>
      <c r="H28" s="375">
        <f>SUMIFS('Gantt Chart Update'!O:O,'Gantt Chart Update'!$B:$B,'New summary'!$B28,'Gantt Chart Update'!$C:$C,'New summary'!$C28)</f>
        <v>0</v>
      </c>
      <c r="I28" s="375">
        <f>SUMIFS('Gantt Chart Update'!P:P,'Gantt Chart Update'!$B:$B,'New summary'!$B28,'Gantt Chart Update'!$C:$C,'New summary'!$C28)</f>
        <v>0</v>
      </c>
      <c r="J28" s="375">
        <f>SUMIFS('Gantt Chart Update'!Q:Q,'Gantt Chart Update'!$B:$B,'New summary'!$B28,'Gantt Chart Update'!$C:$C,'New summary'!$C28)</f>
        <v>0</v>
      </c>
      <c r="K28" s="375">
        <f>SUMIFS('Gantt Chart Update'!R:R,'Gantt Chart Update'!$B:$B,'New summary'!$B28,'Gantt Chart Update'!$C:$C,'New summary'!$C28)</f>
        <v>0</v>
      </c>
      <c r="L28" s="375">
        <f>SUMIFS('Gantt Chart Update'!S:S,'Gantt Chart Update'!$B:$B,'New summary'!$B28,'Gantt Chart Update'!$C:$C,'New summary'!$C28)</f>
        <v>0</v>
      </c>
      <c r="M28" s="375">
        <f>SUMIFS('Gantt Chart Update'!T:T,'Gantt Chart Update'!$B:$B,'New summary'!$B28,'Gantt Chart Update'!$C:$C,'New summary'!$C28)</f>
        <v>0</v>
      </c>
      <c r="N28" s="375">
        <f>SUMIFS('Gantt Chart Update'!U:U,'Gantt Chart Update'!$B:$B,'New summary'!$B28,'Gantt Chart Update'!$C:$C,'New summary'!$C28)</f>
        <v>0</v>
      </c>
      <c r="O28" s="375">
        <f>SUMIFS('Gantt Chart Update'!V:V,'Gantt Chart Update'!$B:$B,'New summary'!$B28,'Gantt Chart Update'!$C:$C,'New summary'!$C28)</f>
        <v>0</v>
      </c>
      <c r="P28" s="375">
        <f>SUMIFS('Gantt Chart Update'!W:W,'Gantt Chart Update'!$B:$B,'New summary'!$B28,'Gantt Chart Update'!$C:$C,'New summary'!$C28)</f>
        <v>0</v>
      </c>
      <c r="Q28" s="375">
        <f>SUMIFS('Gantt Chart Update'!X:X,'Gantt Chart Update'!$B:$B,'New summary'!$B28,'Gantt Chart Update'!$C:$C,'New summary'!$C28)</f>
        <v>0</v>
      </c>
      <c r="R28" s="375">
        <f>SUMIFS('Gantt Chart Update'!Y:Y,'Gantt Chart Update'!$B:$B,'New summary'!$B28,'Gantt Chart Update'!$C:$C,'New summary'!$C28)</f>
        <v>0</v>
      </c>
      <c r="S28" s="375">
        <f>SUMIFS('Gantt Chart Update'!Z:Z,'Gantt Chart Update'!$B:$B,'New summary'!$B28,'Gantt Chart Update'!$C:$C,'New summary'!$C28)</f>
        <v>0</v>
      </c>
      <c r="T28" s="375">
        <f>SUMIFS('Gantt Chart Update'!AA:AA,'Gantt Chart Update'!$B:$B,'New summary'!$B28,'Gantt Chart Update'!$C:$C,'New summary'!$C28)</f>
        <v>0</v>
      </c>
      <c r="U28" s="375">
        <f>SUMIFS('Gantt Chart Update'!AB:AB,'Gantt Chart Update'!$B:$B,'New summary'!$B28,'Gantt Chart Update'!$C:$C,'New summary'!$C28)</f>
        <v>0</v>
      </c>
      <c r="V28" s="375">
        <f>SUMIFS('Gantt Chart Update'!AC:AC,'Gantt Chart Update'!$B:$B,'New summary'!$B28,'Gantt Chart Update'!$C:$C,'New summary'!$C28)</f>
        <v>0</v>
      </c>
      <c r="W28" s="375">
        <f>SUMIFS('Gantt Chart Update'!AD:AD,'Gantt Chart Update'!$B:$B,'New summary'!$B28,'Gantt Chart Update'!$C:$C,'New summary'!$C28)</f>
        <v>0</v>
      </c>
      <c r="X28" s="375">
        <f>SUMIFS('Gantt Chart Update'!AE:AE,'Gantt Chart Update'!$B:$B,'New summary'!$B28,'Gantt Chart Update'!$C:$C,'New summary'!$C28)</f>
        <v>0</v>
      </c>
      <c r="Y28" s="375">
        <f>SUMIFS('Gantt Chart Update'!AF:AF,'Gantt Chart Update'!$B:$B,'New summary'!$B28,'Gantt Chart Update'!$C:$C,'New summary'!$C28)</f>
        <v>0</v>
      </c>
      <c r="Z28" s="375">
        <f>SUMIFS('Gantt Chart Update'!AG:AG,'Gantt Chart Update'!$B:$B,'New summary'!$B28,'Gantt Chart Update'!$C:$C,'New summary'!$C28)</f>
        <v>0</v>
      </c>
      <c r="AA28" s="375">
        <f>SUMIFS('Gantt Chart Update'!AH:AH,'Gantt Chart Update'!$B:$B,'New summary'!$B28,'Gantt Chart Update'!$C:$C,'New summary'!$C28)</f>
        <v>0</v>
      </c>
      <c r="AB28" s="375">
        <f>SUMIFS('Gantt Chart Update'!AI:AI,'Gantt Chart Update'!$B:$B,'New summary'!$B28,'Gantt Chart Update'!$C:$C,'New summary'!$C28)</f>
        <v>0</v>
      </c>
      <c r="AC28" s="375">
        <f>SUMIFS('Gantt Chart Update'!AJ:AJ,'Gantt Chart Update'!$B:$B,'New summary'!$B28,'Gantt Chart Update'!$C:$C,'New summary'!$C28)</f>
        <v>0</v>
      </c>
      <c r="AD28" s="375">
        <f>SUMIFS('Gantt Chart Update'!AK:AK,'Gantt Chart Update'!$B:$B,'New summary'!$B28,'Gantt Chart Update'!$C:$C,'New summary'!$C28)</f>
        <v>0</v>
      </c>
      <c r="AE28" s="375">
        <f>SUMIFS('Gantt Chart Update'!AL:AL,'Gantt Chart Update'!$B:$B,'New summary'!$B28,'Gantt Chart Update'!$C:$C,'New summary'!$C28)</f>
        <v>0</v>
      </c>
      <c r="AF28" s="375">
        <f>SUMIFS('Gantt Chart Update'!AM:AM,'Gantt Chart Update'!$B:$B,'New summary'!$B28,'Gantt Chart Update'!$C:$C,'New summary'!$C28)</f>
        <v>0</v>
      </c>
      <c r="AG28" s="375">
        <f>SUMIFS('Gantt Chart Update'!AN:AN,'Gantt Chart Update'!$B:$B,'New summary'!$B28,'Gantt Chart Update'!$C:$C,'New summary'!$C28)</f>
        <v>0</v>
      </c>
      <c r="AH28" s="375">
        <f>SUMIFS('Gantt Chart Update'!AO:AO,'Gantt Chart Update'!$B:$B,'New summary'!$B28,'Gantt Chart Update'!$C:$C,'New summary'!$C28)</f>
        <v>1800</v>
      </c>
      <c r="AI28" s="375">
        <f>SUMIFS('Gantt Chart Update'!AP:AP,'Gantt Chart Update'!$B:$B,'New summary'!$B28,'Gantt Chart Update'!$C:$C,'New summary'!$C28)</f>
        <v>0</v>
      </c>
      <c r="AJ28" s="375">
        <f>SUMIFS('Gantt Chart Update'!AQ:AQ,'Gantt Chart Update'!$B:$B,'New summary'!$B28,'Gantt Chart Update'!$C:$C,'New summary'!$C28)</f>
        <v>0</v>
      </c>
      <c r="AK28" s="375">
        <f>SUMIFS('Gantt Chart Update'!AR:AR,'Gantt Chart Update'!$B:$B,'New summary'!$B28,'Gantt Chart Update'!$C:$C,'New summary'!$C28)</f>
        <v>0</v>
      </c>
      <c r="AL28" s="375">
        <f>SUMIFS('Gantt Chart Update'!AS:AS,'Gantt Chart Update'!$B:$B,'New summary'!$B28,'Gantt Chart Update'!$C:$C,'New summary'!$C28)</f>
        <v>0</v>
      </c>
      <c r="AM28" s="375">
        <f>SUMIFS('Gantt Chart Update'!AT:AT,'Gantt Chart Update'!$B:$B,'New summary'!$B28,'Gantt Chart Update'!$C:$C,'New summary'!$C28)</f>
        <v>0</v>
      </c>
      <c r="AN28" s="375">
        <f>SUMIFS('Gantt Chart Update'!AU:AU,'Gantt Chart Update'!$B:$B,'New summary'!$B28,'Gantt Chart Update'!$C:$C,'New summary'!$C28)</f>
        <v>0</v>
      </c>
      <c r="AO28" s="375">
        <f>SUMIFS('Gantt Chart Update'!AV:AV,'Gantt Chart Update'!$B:$B,'New summary'!$B28,'Gantt Chart Update'!$C:$C,'New summary'!$C28)</f>
        <v>0</v>
      </c>
      <c r="AP28" s="375">
        <f>SUMIFS('Gantt Chart Update'!AW:AW,'Gantt Chart Update'!$B:$B,'New summary'!$B28,'Gantt Chart Update'!$C:$C,'New summary'!$C28)</f>
        <v>0</v>
      </c>
      <c r="AQ28" s="375">
        <f>SUMIFS('Gantt Chart Update'!AX:AX,'Gantt Chart Update'!$B:$B,'New summary'!$B28,'Gantt Chart Update'!$C:$C,'New summary'!$C28)</f>
        <v>0</v>
      </c>
      <c r="AR28" s="375">
        <f>SUMIFS('Gantt Chart Update'!AY:AY,'Gantt Chart Update'!$B:$B,'New summary'!$B28,'Gantt Chart Update'!$C:$C,'New summary'!$C28)</f>
        <v>0</v>
      </c>
      <c r="AS28" s="375">
        <f>SUMIFS('Gantt Chart Update'!AZ:AZ,'Gantt Chart Update'!$B:$B,'New summary'!$B28,'Gantt Chart Update'!$C:$C,'New summary'!$C28)</f>
        <v>0</v>
      </c>
      <c r="AT28" s="375">
        <f>SUMIFS('Gantt Chart Update'!BA:BA,'Gantt Chart Update'!$B:$B,'New summary'!$B28,'Gantt Chart Update'!$C:$C,'New summary'!$C28)</f>
        <v>0</v>
      </c>
      <c r="AU28" s="375">
        <f>SUMIFS('Gantt Chart Update'!BB:BB,'Gantt Chart Update'!$B:$B,'New summary'!$B28,'Gantt Chart Update'!$C:$C,'New summary'!$C28)</f>
        <v>0</v>
      </c>
      <c r="AV28" s="375">
        <f>SUMIFS('Gantt Chart Update'!BC:BC,'Gantt Chart Update'!$B:$B,'New summary'!$B28,'Gantt Chart Update'!$C:$C,'New summary'!$C28)</f>
        <v>0</v>
      </c>
      <c r="AW28" s="375">
        <f>SUMIFS('Gantt Chart Update'!BD:BD,'Gantt Chart Update'!$B:$B,'New summary'!$B28,'Gantt Chart Update'!$C:$C,'New summary'!$C28)</f>
        <v>0</v>
      </c>
      <c r="AX28" s="375">
        <f>SUMIFS('Gantt Chart Update'!BE:BE,'Gantt Chart Update'!$B:$B,'New summary'!$B28,'Gantt Chart Update'!$C:$C,'New summary'!$C28)</f>
        <v>0</v>
      </c>
      <c r="AY28" s="375">
        <f>SUMIFS('Gantt Chart Update'!BF:BF,'Gantt Chart Update'!$B:$B,'New summary'!$B28,'Gantt Chart Update'!$C:$C,'New summary'!$C28)</f>
        <v>0</v>
      </c>
      <c r="AZ28" s="375">
        <f>SUMIFS('Gantt Chart Update'!BG:BG,'Gantt Chart Update'!$B:$B,'New summary'!$B28,'Gantt Chart Update'!$C:$C,'New summary'!$C28)</f>
        <v>0</v>
      </c>
      <c r="BA28" s="375">
        <f>SUMIFS('Gantt Chart Update'!BH:BH,'Gantt Chart Update'!$B:$B,'New summary'!$B28,'Gantt Chart Update'!$C:$C,'New summary'!$C28)</f>
        <v>0</v>
      </c>
      <c r="BB28" s="375">
        <f>SUMIFS('Gantt Chart Update'!BI:BI,'Gantt Chart Update'!$B:$B,'New summary'!$B28,'Gantt Chart Update'!$C:$C,'New summary'!$C28)</f>
        <v>0</v>
      </c>
      <c r="BC28" s="375">
        <f>SUMIFS('Gantt Chart Update'!BJ:BJ,'Gantt Chart Update'!$B:$B,'New summary'!$B28,'Gantt Chart Update'!$C:$C,'New summary'!$C28)</f>
        <v>0</v>
      </c>
      <c r="BD28" s="375">
        <f>SUMIFS('Gantt Chart Update'!BK:BK,'Gantt Chart Update'!$B:$B,'New summary'!$B28,'Gantt Chart Update'!$C:$C,'New summary'!$C28)</f>
        <v>0</v>
      </c>
      <c r="BE28" s="375">
        <f>SUMIFS('Gantt Chart Update'!BL:BL,'Gantt Chart Update'!$B:$B,'New summary'!$B28,'Gantt Chart Update'!$C:$C,'New summary'!$C28)</f>
        <v>0</v>
      </c>
      <c r="BF28" s="375">
        <f>SUMIFS('Gantt Chart Update'!BM:BM,'Gantt Chart Update'!$B:$B,'New summary'!$B28,'Gantt Chart Update'!$C:$C,'New summary'!$C28)</f>
        <v>0</v>
      </c>
      <c r="BG28" s="375">
        <f>SUMIFS('Gantt Chart Update'!BN:BN,'Gantt Chart Update'!$B:$B,'New summary'!$B28,'Gantt Chart Update'!$C:$C,'New summary'!$C28)</f>
        <v>0</v>
      </c>
      <c r="BH28" s="375">
        <f>SUMIFS('Gantt Chart Update'!BO:BO,'Gantt Chart Update'!$B:$B,'New summary'!$B28,'Gantt Chart Update'!$C:$C,'New summary'!$C28)</f>
        <v>0</v>
      </c>
      <c r="BI28" s="375">
        <f>SUMIFS('Gantt Chart Update'!BP:BP,'Gantt Chart Update'!$B:$B,'New summary'!$B28,'Gantt Chart Update'!$C:$C,'New summary'!$C28)</f>
        <v>0</v>
      </c>
    </row>
    <row r="29" spans="2:61" x14ac:dyDescent="0.2">
      <c r="B29" s="873" t="s">
        <v>201</v>
      </c>
      <c r="C29" s="867" t="s">
        <v>392</v>
      </c>
      <c r="D29" s="530">
        <f t="shared" si="2"/>
        <v>942</v>
      </c>
      <c r="E29" s="870">
        <f>SUMIFS('Gantt Chart Update'!L:L,'Gantt Chart Update'!$B:$B,'New summary'!$B29,'Gantt Chart Update'!$C:$C,'New summary'!$C29)</f>
        <v>0</v>
      </c>
      <c r="F29" s="375">
        <f>SUMIFS('Gantt Chart Update'!M:M,'Gantt Chart Update'!$B:$B,'New summary'!$B29,'Gantt Chart Update'!$C:$C,'New summary'!$C29)</f>
        <v>0</v>
      </c>
      <c r="G29" s="375">
        <f>SUMIFS('Gantt Chart Update'!N:N,'Gantt Chart Update'!$B:$B,'New summary'!$B29,'Gantt Chart Update'!$C:$C,'New summary'!$C29)</f>
        <v>0</v>
      </c>
      <c r="H29" s="375">
        <f>SUMIFS('Gantt Chart Update'!O:O,'Gantt Chart Update'!$B:$B,'New summary'!$B29,'Gantt Chart Update'!$C:$C,'New summary'!$C29)</f>
        <v>0</v>
      </c>
      <c r="I29" s="375">
        <f>SUMIFS('Gantt Chart Update'!P:P,'Gantt Chart Update'!$B:$B,'New summary'!$B29,'Gantt Chart Update'!$C:$C,'New summary'!$C29)</f>
        <v>0</v>
      </c>
      <c r="J29" s="375">
        <f>SUMIFS('Gantt Chart Update'!Q:Q,'Gantt Chart Update'!$B:$B,'New summary'!$B29,'Gantt Chart Update'!$C:$C,'New summary'!$C29)</f>
        <v>0</v>
      </c>
      <c r="K29" s="375">
        <f>SUMIFS('Gantt Chart Update'!R:R,'Gantt Chart Update'!$B:$B,'New summary'!$B29,'Gantt Chart Update'!$C:$C,'New summary'!$C29)</f>
        <v>0</v>
      </c>
      <c r="L29" s="375">
        <f>SUMIFS('Gantt Chart Update'!S:S,'Gantt Chart Update'!$B:$B,'New summary'!$B29,'Gantt Chart Update'!$C:$C,'New summary'!$C29)</f>
        <v>0</v>
      </c>
      <c r="M29" s="375">
        <f>SUMIFS('Gantt Chart Update'!T:T,'Gantt Chart Update'!$B:$B,'New summary'!$B29,'Gantt Chart Update'!$C:$C,'New summary'!$C29)</f>
        <v>0</v>
      </c>
      <c r="N29" s="375">
        <f>SUMIFS('Gantt Chart Update'!U:U,'Gantt Chart Update'!$B:$B,'New summary'!$B29,'Gantt Chart Update'!$C:$C,'New summary'!$C29)</f>
        <v>0</v>
      </c>
      <c r="O29" s="375">
        <f>SUMIFS('Gantt Chart Update'!V:V,'Gantt Chart Update'!$B:$B,'New summary'!$B29,'Gantt Chart Update'!$C:$C,'New summary'!$C29)</f>
        <v>0</v>
      </c>
      <c r="P29" s="375">
        <f>SUMIFS('Gantt Chart Update'!W:W,'Gantt Chart Update'!$B:$B,'New summary'!$B29,'Gantt Chart Update'!$C:$C,'New summary'!$C29)</f>
        <v>0</v>
      </c>
      <c r="Q29" s="375">
        <f>SUMIFS('Gantt Chart Update'!X:X,'Gantt Chart Update'!$B:$B,'New summary'!$B29,'Gantt Chart Update'!$C:$C,'New summary'!$C29)</f>
        <v>0</v>
      </c>
      <c r="R29" s="375">
        <f>SUMIFS('Gantt Chart Update'!Y:Y,'Gantt Chart Update'!$B:$B,'New summary'!$B29,'Gantt Chart Update'!$C:$C,'New summary'!$C29)</f>
        <v>0</v>
      </c>
      <c r="S29" s="375">
        <f>SUMIFS('Gantt Chart Update'!Z:Z,'Gantt Chart Update'!$B:$B,'New summary'!$B29,'Gantt Chart Update'!$C:$C,'New summary'!$C29)</f>
        <v>0</v>
      </c>
      <c r="T29" s="375">
        <f>SUMIFS('Gantt Chart Update'!AA:AA,'Gantt Chart Update'!$B:$B,'New summary'!$B29,'Gantt Chart Update'!$C:$C,'New summary'!$C29)</f>
        <v>0</v>
      </c>
      <c r="U29" s="375">
        <f>SUMIFS('Gantt Chart Update'!AB:AB,'Gantt Chart Update'!$B:$B,'New summary'!$B29,'Gantt Chart Update'!$C:$C,'New summary'!$C29)</f>
        <v>0</v>
      </c>
      <c r="V29" s="375">
        <f>SUMIFS('Gantt Chart Update'!AC:AC,'Gantt Chart Update'!$B:$B,'New summary'!$B29,'Gantt Chart Update'!$C:$C,'New summary'!$C29)</f>
        <v>0</v>
      </c>
      <c r="W29" s="375">
        <f>SUMIFS('Gantt Chart Update'!AD:AD,'Gantt Chart Update'!$B:$B,'New summary'!$B29,'Gantt Chart Update'!$C:$C,'New summary'!$C29)</f>
        <v>0</v>
      </c>
      <c r="X29" s="375">
        <f>SUMIFS('Gantt Chart Update'!AE:AE,'Gantt Chart Update'!$B:$B,'New summary'!$B29,'Gantt Chart Update'!$C:$C,'New summary'!$C29)</f>
        <v>0</v>
      </c>
      <c r="Y29" s="375">
        <f>SUMIFS('Gantt Chart Update'!AF:AF,'Gantt Chart Update'!$B:$B,'New summary'!$B29,'Gantt Chart Update'!$C:$C,'New summary'!$C29)</f>
        <v>0</v>
      </c>
      <c r="Z29" s="375">
        <f>SUMIFS('Gantt Chart Update'!AG:AG,'Gantt Chart Update'!$B:$B,'New summary'!$B29,'Gantt Chart Update'!$C:$C,'New summary'!$C29)</f>
        <v>0</v>
      </c>
      <c r="AA29" s="375">
        <f>SUMIFS('Gantt Chart Update'!AH:AH,'Gantt Chart Update'!$B:$B,'New summary'!$B29,'Gantt Chart Update'!$C:$C,'New summary'!$C29)</f>
        <v>0</v>
      </c>
      <c r="AB29" s="375">
        <f>SUMIFS('Gantt Chart Update'!AI:AI,'Gantt Chart Update'!$B:$B,'New summary'!$B29,'Gantt Chart Update'!$C:$C,'New summary'!$C29)</f>
        <v>0</v>
      </c>
      <c r="AC29" s="375">
        <f>SUMIFS('Gantt Chart Update'!AJ:AJ,'Gantt Chart Update'!$B:$B,'New summary'!$B29,'Gantt Chart Update'!$C:$C,'New summary'!$C29)</f>
        <v>0</v>
      </c>
      <c r="AD29" s="375">
        <f>SUMIFS('Gantt Chart Update'!AK:AK,'Gantt Chart Update'!$B:$B,'New summary'!$B29,'Gantt Chart Update'!$C:$C,'New summary'!$C29)</f>
        <v>0</v>
      </c>
      <c r="AE29" s="375">
        <f>SUMIFS('Gantt Chart Update'!AL:AL,'Gantt Chart Update'!$B:$B,'New summary'!$B29,'Gantt Chart Update'!$C:$C,'New summary'!$C29)</f>
        <v>0</v>
      </c>
      <c r="AF29" s="375">
        <f>SUMIFS('Gantt Chart Update'!AM:AM,'Gantt Chart Update'!$B:$B,'New summary'!$B29,'Gantt Chart Update'!$C:$C,'New summary'!$C29)</f>
        <v>0</v>
      </c>
      <c r="AG29" s="375">
        <f>SUMIFS('Gantt Chart Update'!AN:AN,'Gantt Chart Update'!$B:$B,'New summary'!$B29,'Gantt Chart Update'!$C:$C,'New summary'!$C29)</f>
        <v>0</v>
      </c>
      <c r="AH29" s="375">
        <f>SUMIFS('Gantt Chart Update'!AO:AO,'Gantt Chart Update'!$B:$B,'New summary'!$B29,'Gantt Chart Update'!$C:$C,'New summary'!$C29)</f>
        <v>0</v>
      </c>
      <c r="AI29" s="375">
        <f>SUMIFS('Gantt Chart Update'!AP:AP,'Gantt Chart Update'!$B:$B,'New summary'!$B29,'Gantt Chart Update'!$C:$C,'New summary'!$C29)</f>
        <v>0</v>
      </c>
      <c r="AJ29" s="375">
        <f>SUMIFS('Gantt Chart Update'!AQ:AQ,'Gantt Chart Update'!$B:$B,'New summary'!$B29,'Gantt Chart Update'!$C:$C,'New summary'!$C29)</f>
        <v>0</v>
      </c>
      <c r="AK29" s="375">
        <f>SUMIFS('Gantt Chart Update'!AR:AR,'Gantt Chart Update'!$B:$B,'New summary'!$B29,'Gantt Chart Update'!$C:$C,'New summary'!$C29)</f>
        <v>0</v>
      </c>
      <c r="AL29" s="375">
        <f>SUMIFS('Gantt Chart Update'!AS:AS,'Gantt Chart Update'!$B:$B,'New summary'!$B29,'Gantt Chart Update'!$C:$C,'New summary'!$C29)</f>
        <v>0</v>
      </c>
      <c r="AM29" s="375">
        <f>SUMIFS('Gantt Chart Update'!AT:AT,'Gantt Chart Update'!$B:$B,'New summary'!$B29,'Gantt Chart Update'!$C:$C,'New summary'!$C29)</f>
        <v>0</v>
      </c>
      <c r="AN29" s="375">
        <f>SUMIFS('Gantt Chart Update'!AU:AU,'Gantt Chart Update'!$B:$B,'New summary'!$B29,'Gantt Chart Update'!$C:$C,'New summary'!$C29)</f>
        <v>0</v>
      </c>
      <c r="AO29" s="375">
        <f>SUMIFS('Gantt Chart Update'!AV:AV,'Gantt Chart Update'!$B:$B,'New summary'!$B29,'Gantt Chart Update'!$C:$C,'New summary'!$C29)</f>
        <v>0</v>
      </c>
      <c r="AP29" s="375">
        <f>SUMIFS('Gantt Chart Update'!AW:AW,'Gantt Chart Update'!$B:$B,'New summary'!$B29,'Gantt Chart Update'!$C:$C,'New summary'!$C29)</f>
        <v>0</v>
      </c>
      <c r="AQ29" s="375">
        <f>SUMIFS('Gantt Chart Update'!AX:AX,'Gantt Chart Update'!$B:$B,'New summary'!$B29,'Gantt Chart Update'!$C:$C,'New summary'!$C29)</f>
        <v>0</v>
      </c>
      <c r="AR29" s="375">
        <f>SUMIFS('Gantt Chart Update'!AY:AY,'Gantt Chart Update'!$B:$B,'New summary'!$B29,'Gantt Chart Update'!$C:$C,'New summary'!$C29)</f>
        <v>0</v>
      </c>
      <c r="AS29" s="375">
        <f>SUMIFS('Gantt Chart Update'!AZ:AZ,'Gantt Chart Update'!$B:$B,'New summary'!$B29,'Gantt Chart Update'!$C:$C,'New summary'!$C29)</f>
        <v>0</v>
      </c>
      <c r="AT29" s="375">
        <f>SUMIFS('Gantt Chart Update'!BA:BA,'Gantt Chart Update'!$B:$B,'New summary'!$B29,'Gantt Chart Update'!$C:$C,'New summary'!$C29)</f>
        <v>0</v>
      </c>
      <c r="AU29" s="375">
        <f>SUMIFS('Gantt Chart Update'!BB:BB,'Gantt Chart Update'!$B:$B,'New summary'!$B29,'Gantt Chart Update'!$C:$C,'New summary'!$C29)</f>
        <v>0</v>
      </c>
      <c r="AV29" s="375">
        <f>SUMIFS('Gantt Chart Update'!BC:BC,'Gantt Chart Update'!$B:$B,'New summary'!$B29,'Gantt Chart Update'!$C:$C,'New summary'!$C29)</f>
        <v>0</v>
      </c>
      <c r="AW29" s="375">
        <f>SUMIFS('Gantt Chart Update'!BD:BD,'Gantt Chart Update'!$B:$B,'New summary'!$B29,'Gantt Chart Update'!$C:$C,'New summary'!$C29)</f>
        <v>0</v>
      </c>
      <c r="AX29" s="375">
        <f>SUMIFS('Gantt Chart Update'!BE:BE,'Gantt Chart Update'!$B:$B,'New summary'!$B29,'Gantt Chart Update'!$C:$C,'New summary'!$C29)</f>
        <v>0</v>
      </c>
      <c r="AY29" s="375">
        <f>SUMIFS('Gantt Chart Update'!BF:BF,'Gantt Chart Update'!$B:$B,'New summary'!$B29,'Gantt Chart Update'!$C:$C,'New summary'!$C29)</f>
        <v>0</v>
      </c>
      <c r="AZ29" s="375">
        <f>SUMIFS('Gantt Chart Update'!BG:BG,'Gantt Chart Update'!$B:$B,'New summary'!$B29,'Gantt Chart Update'!$C:$C,'New summary'!$C29)</f>
        <v>942</v>
      </c>
      <c r="BA29" s="375">
        <f>SUMIFS('Gantt Chart Update'!BH:BH,'Gantt Chart Update'!$B:$B,'New summary'!$B29,'Gantt Chart Update'!$C:$C,'New summary'!$C29)</f>
        <v>0</v>
      </c>
      <c r="BB29" s="375">
        <f>SUMIFS('Gantt Chart Update'!BI:BI,'Gantt Chart Update'!$B:$B,'New summary'!$B29,'Gantt Chart Update'!$C:$C,'New summary'!$C29)</f>
        <v>0</v>
      </c>
      <c r="BC29" s="375">
        <f>SUMIFS('Gantt Chart Update'!BJ:BJ,'Gantt Chart Update'!$B:$B,'New summary'!$B29,'Gantt Chart Update'!$C:$C,'New summary'!$C29)</f>
        <v>0</v>
      </c>
      <c r="BD29" s="375">
        <f>SUMIFS('Gantt Chart Update'!BK:BK,'Gantt Chart Update'!$B:$B,'New summary'!$B29,'Gantt Chart Update'!$C:$C,'New summary'!$C29)</f>
        <v>0</v>
      </c>
      <c r="BE29" s="375">
        <f>SUMIFS('Gantt Chart Update'!BL:BL,'Gantt Chart Update'!$B:$B,'New summary'!$B29,'Gantt Chart Update'!$C:$C,'New summary'!$C29)</f>
        <v>0</v>
      </c>
      <c r="BF29" s="375">
        <f>SUMIFS('Gantt Chart Update'!BM:BM,'Gantt Chart Update'!$B:$B,'New summary'!$B29,'Gantt Chart Update'!$C:$C,'New summary'!$C29)</f>
        <v>0</v>
      </c>
      <c r="BG29" s="375">
        <f>SUMIFS('Gantt Chart Update'!BN:BN,'Gantt Chart Update'!$B:$B,'New summary'!$B29,'Gantt Chart Update'!$C:$C,'New summary'!$C29)</f>
        <v>0</v>
      </c>
      <c r="BH29" s="375">
        <f>SUMIFS('Gantt Chart Update'!BO:BO,'Gantt Chart Update'!$B:$B,'New summary'!$B29,'Gantt Chart Update'!$C:$C,'New summary'!$C29)</f>
        <v>0</v>
      </c>
      <c r="BI29" s="375">
        <f>SUMIFS('Gantt Chart Update'!BP:BP,'Gantt Chart Update'!$B:$B,'New summary'!$B29,'Gantt Chart Update'!$C:$C,'New summary'!$C29)</f>
        <v>0</v>
      </c>
    </row>
    <row r="30" spans="2:61" x14ac:dyDescent="0.2">
      <c r="B30" s="873" t="s">
        <v>201</v>
      </c>
      <c r="C30" s="867" t="s">
        <v>385</v>
      </c>
      <c r="D30" s="530">
        <f t="shared" si="2"/>
        <v>2300</v>
      </c>
      <c r="E30" s="870">
        <f>SUMIFS('Gantt Chart Update'!L:L,'Gantt Chart Update'!$B:$B,'New summary'!$B30,'Gantt Chart Update'!$C:$C,'New summary'!$C30)</f>
        <v>0</v>
      </c>
      <c r="F30" s="377">
        <f>SUMIFS('Gantt Chart Update'!M:M,'Gantt Chart Update'!$B:$B,'New summary'!$B30,'Gantt Chart Update'!$C:$C,'New summary'!$C30)</f>
        <v>0</v>
      </c>
      <c r="G30" s="377">
        <f>SUMIFS('Gantt Chart Update'!N:N,'Gantt Chart Update'!$B:$B,'New summary'!$B30,'Gantt Chart Update'!$C:$C,'New summary'!$C30)</f>
        <v>0</v>
      </c>
      <c r="H30" s="377">
        <f>SUMIFS('Gantt Chart Update'!O:O,'Gantt Chart Update'!$B:$B,'New summary'!$B30,'Gantt Chart Update'!$C:$C,'New summary'!$C30)</f>
        <v>0</v>
      </c>
      <c r="I30" s="377">
        <f>SUMIFS('Gantt Chart Update'!P:P,'Gantt Chart Update'!$B:$B,'New summary'!$B30,'Gantt Chart Update'!$C:$C,'New summary'!$C30)</f>
        <v>0</v>
      </c>
      <c r="J30" s="377">
        <f>SUMIFS('Gantt Chart Update'!Q:Q,'Gantt Chart Update'!$B:$B,'New summary'!$B30,'Gantt Chart Update'!$C:$C,'New summary'!$C30)</f>
        <v>0</v>
      </c>
      <c r="K30" s="377">
        <f>SUMIFS('Gantt Chart Update'!R:R,'Gantt Chart Update'!$B:$B,'New summary'!$B30,'Gantt Chart Update'!$C:$C,'New summary'!$C30)</f>
        <v>0</v>
      </c>
      <c r="L30" s="377">
        <f>SUMIFS('Gantt Chart Update'!S:S,'Gantt Chart Update'!$B:$B,'New summary'!$B30,'Gantt Chart Update'!$C:$C,'New summary'!$C30)</f>
        <v>0</v>
      </c>
      <c r="M30" s="377">
        <f>SUMIFS('Gantt Chart Update'!T:T,'Gantt Chart Update'!$B:$B,'New summary'!$B30,'Gantt Chart Update'!$C:$C,'New summary'!$C30)</f>
        <v>0</v>
      </c>
      <c r="N30" s="377">
        <f>SUMIFS('Gantt Chart Update'!U:U,'Gantt Chart Update'!$B:$B,'New summary'!$B30,'Gantt Chart Update'!$C:$C,'New summary'!$C30)</f>
        <v>0</v>
      </c>
      <c r="O30" s="377">
        <f>SUMIFS('Gantt Chart Update'!V:V,'Gantt Chart Update'!$B:$B,'New summary'!$B30,'Gantt Chart Update'!$C:$C,'New summary'!$C30)</f>
        <v>0</v>
      </c>
      <c r="P30" s="377">
        <f>SUMIFS('Gantt Chart Update'!W:W,'Gantt Chart Update'!$B:$B,'New summary'!$B30,'Gantt Chart Update'!$C:$C,'New summary'!$C30)</f>
        <v>0</v>
      </c>
      <c r="Q30" s="377">
        <f>SUMIFS('Gantt Chart Update'!X:X,'Gantt Chart Update'!$B:$B,'New summary'!$B30,'Gantt Chart Update'!$C:$C,'New summary'!$C30)</f>
        <v>0</v>
      </c>
      <c r="R30" s="377">
        <f>SUMIFS('Gantt Chart Update'!Y:Y,'Gantt Chart Update'!$B:$B,'New summary'!$B30,'Gantt Chart Update'!$C:$C,'New summary'!$C30)</f>
        <v>0</v>
      </c>
      <c r="S30" s="377">
        <f>SUMIFS('Gantt Chart Update'!Z:Z,'Gantt Chart Update'!$B:$B,'New summary'!$B30,'Gantt Chart Update'!$C:$C,'New summary'!$C30)</f>
        <v>0</v>
      </c>
      <c r="T30" s="377">
        <f>SUMIFS('Gantt Chart Update'!AA:AA,'Gantt Chart Update'!$B:$B,'New summary'!$B30,'Gantt Chart Update'!$C:$C,'New summary'!$C30)</f>
        <v>0</v>
      </c>
      <c r="U30" s="377">
        <f>SUMIFS('Gantt Chart Update'!AB:AB,'Gantt Chart Update'!$B:$B,'New summary'!$B30,'Gantt Chart Update'!$C:$C,'New summary'!$C30)</f>
        <v>0</v>
      </c>
      <c r="V30" s="377">
        <f>SUMIFS('Gantt Chart Update'!AC:AC,'Gantt Chart Update'!$B:$B,'New summary'!$B30,'Gantt Chart Update'!$C:$C,'New summary'!$C30)</f>
        <v>0</v>
      </c>
      <c r="W30" s="377">
        <f>SUMIFS('Gantt Chart Update'!AD:AD,'Gantt Chart Update'!$B:$B,'New summary'!$B30,'Gantt Chart Update'!$C:$C,'New summary'!$C30)</f>
        <v>0</v>
      </c>
      <c r="X30" s="377">
        <f>SUMIFS('Gantt Chart Update'!AE:AE,'Gantt Chart Update'!$B:$B,'New summary'!$B30,'Gantt Chart Update'!$C:$C,'New summary'!$C30)</f>
        <v>0</v>
      </c>
      <c r="Y30" s="377">
        <f>SUMIFS('Gantt Chart Update'!AF:AF,'Gantt Chart Update'!$B:$B,'New summary'!$B30,'Gantt Chart Update'!$C:$C,'New summary'!$C30)</f>
        <v>0</v>
      </c>
      <c r="Z30" s="377">
        <f>SUMIFS('Gantt Chart Update'!AG:AG,'Gantt Chart Update'!$B:$B,'New summary'!$B30,'Gantt Chart Update'!$C:$C,'New summary'!$C30)</f>
        <v>0</v>
      </c>
      <c r="AA30" s="377">
        <f>SUMIFS('Gantt Chart Update'!AH:AH,'Gantt Chart Update'!$B:$B,'New summary'!$B30,'Gantt Chart Update'!$C:$C,'New summary'!$C30)</f>
        <v>0</v>
      </c>
      <c r="AB30" s="377">
        <f>SUMIFS('Gantt Chart Update'!AI:AI,'Gantt Chart Update'!$B:$B,'New summary'!$B30,'Gantt Chart Update'!$C:$C,'New summary'!$C30)</f>
        <v>0</v>
      </c>
      <c r="AC30" s="377">
        <f>SUMIFS('Gantt Chart Update'!AJ:AJ,'Gantt Chart Update'!$B:$B,'New summary'!$B30,'Gantt Chart Update'!$C:$C,'New summary'!$C30)</f>
        <v>0</v>
      </c>
      <c r="AD30" s="377">
        <f>SUMIFS('Gantt Chart Update'!AK:AK,'Gantt Chart Update'!$B:$B,'New summary'!$B30,'Gantt Chart Update'!$C:$C,'New summary'!$C30)</f>
        <v>0</v>
      </c>
      <c r="AE30" s="377">
        <f>SUMIFS('Gantt Chart Update'!AL:AL,'Gantt Chart Update'!$B:$B,'New summary'!$B30,'Gantt Chart Update'!$C:$C,'New summary'!$C30)</f>
        <v>0</v>
      </c>
      <c r="AF30" s="377">
        <f>SUMIFS('Gantt Chart Update'!AM:AM,'Gantt Chart Update'!$B:$B,'New summary'!$B30,'Gantt Chart Update'!$C:$C,'New summary'!$C30)</f>
        <v>0</v>
      </c>
      <c r="AG30" s="377">
        <f>SUMIFS('Gantt Chart Update'!AN:AN,'Gantt Chart Update'!$B:$B,'New summary'!$B30,'Gantt Chart Update'!$C:$C,'New summary'!$C30)</f>
        <v>0</v>
      </c>
      <c r="AH30" s="377">
        <f>SUMIFS('Gantt Chart Update'!AO:AO,'Gantt Chart Update'!$B:$B,'New summary'!$B30,'Gantt Chart Update'!$C:$C,'New summary'!$C30)</f>
        <v>0</v>
      </c>
      <c r="AI30" s="377">
        <f>SUMIFS('Gantt Chart Update'!AP:AP,'Gantt Chart Update'!$B:$B,'New summary'!$B30,'Gantt Chart Update'!$C:$C,'New summary'!$C30)</f>
        <v>0</v>
      </c>
      <c r="AJ30" s="377">
        <f>SUMIFS('Gantt Chart Update'!AQ:AQ,'Gantt Chart Update'!$B:$B,'New summary'!$B30,'Gantt Chart Update'!$C:$C,'New summary'!$C30)</f>
        <v>0</v>
      </c>
      <c r="AK30" s="377">
        <f>SUMIFS('Gantt Chart Update'!AR:AR,'Gantt Chart Update'!$B:$B,'New summary'!$B30,'Gantt Chart Update'!$C:$C,'New summary'!$C30)</f>
        <v>0</v>
      </c>
      <c r="AL30" s="377">
        <f>SUMIFS('Gantt Chart Update'!AS:AS,'Gantt Chart Update'!$B:$B,'New summary'!$B30,'Gantt Chart Update'!$C:$C,'New summary'!$C30)</f>
        <v>0</v>
      </c>
      <c r="AM30" s="377">
        <f>SUMIFS('Gantt Chart Update'!AT:AT,'Gantt Chart Update'!$B:$B,'New summary'!$B30,'Gantt Chart Update'!$C:$C,'New summary'!$C30)</f>
        <v>0</v>
      </c>
      <c r="AN30" s="377">
        <f>SUMIFS('Gantt Chart Update'!AU:AU,'Gantt Chart Update'!$B:$B,'New summary'!$B30,'Gantt Chart Update'!$C:$C,'New summary'!$C30)</f>
        <v>0</v>
      </c>
      <c r="AO30" s="377">
        <f>SUMIFS('Gantt Chart Update'!AV:AV,'Gantt Chart Update'!$B:$B,'New summary'!$B30,'Gantt Chart Update'!$C:$C,'New summary'!$C30)</f>
        <v>0</v>
      </c>
      <c r="AP30" s="377">
        <f>SUMIFS('Gantt Chart Update'!AW:AW,'Gantt Chart Update'!$B:$B,'New summary'!$B30,'Gantt Chart Update'!$C:$C,'New summary'!$C30)</f>
        <v>0</v>
      </c>
      <c r="AQ30" s="377">
        <f>SUMIFS('Gantt Chart Update'!AX:AX,'Gantt Chart Update'!$B:$B,'New summary'!$B30,'Gantt Chart Update'!$C:$C,'New summary'!$C30)</f>
        <v>0</v>
      </c>
      <c r="AR30" s="377">
        <f>SUMIFS('Gantt Chart Update'!AY:AY,'Gantt Chart Update'!$B:$B,'New summary'!$B30,'Gantt Chart Update'!$C:$C,'New summary'!$C30)</f>
        <v>0</v>
      </c>
      <c r="AS30" s="377">
        <f>SUMIFS('Gantt Chart Update'!AZ:AZ,'Gantt Chart Update'!$B:$B,'New summary'!$B30,'Gantt Chart Update'!$C:$C,'New summary'!$C30)</f>
        <v>0</v>
      </c>
      <c r="AT30" s="377">
        <f>SUMIFS('Gantt Chart Update'!BA:BA,'Gantt Chart Update'!$B:$B,'New summary'!$B30,'Gantt Chart Update'!$C:$C,'New summary'!$C30)</f>
        <v>0</v>
      </c>
      <c r="AU30" s="377">
        <f>SUMIFS('Gantt Chart Update'!BB:BB,'Gantt Chart Update'!$B:$B,'New summary'!$B30,'Gantt Chart Update'!$C:$C,'New summary'!$C30)</f>
        <v>0</v>
      </c>
      <c r="AV30" s="377">
        <f>SUMIFS('Gantt Chart Update'!BC:BC,'Gantt Chart Update'!$B:$B,'New summary'!$B30,'Gantt Chart Update'!$C:$C,'New summary'!$C30)</f>
        <v>0</v>
      </c>
      <c r="AW30" s="377">
        <f>SUMIFS('Gantt Chart Update'!BD:BD,'Gantt Chart Update'!$B:$B,'New summary'!$B30,'Gantt Chart Update'!$C:$C,'New summary'!$C30)</f>
        <v>0</v>
      </c>
      <c r="AX30" s="377">
        <f>SUMIFS('Gantt Chart Update'!BE:BE,'Gantt Chart Update'!$B:$B,'New summary'!$B30,'Gantt Chart Update'!$C:$C,'New summary'!$C30)</f>
        <v>0</v>
      </c>
      <c r="AY30" s="377">
        <f>SUMIFS('Gantt Chart Update'!BF:BF,'Gantt Chart Update'!$B:$B,'New summary'!$B30,'Gantt Chart Update'!$C:$C,'New summary'!$C30)</f>
        <v>0</v>
      </c>
      <c r="AZ30" s="377">
        <f>SUMIFS('Gantt Chart Update'!BG:BG,'Gantt Chart Update'!$B:$B,'New summary'!$B30,'Gantt Chart Update'!$C:$C,'New summary'!$C30)</f>
        <v>0</v>
      </c>
      <c r="BA30" s="377">
        <f>SUMIFS('Gantt Chart Update'!BH:BH,'Gantt Chart Update'!$B:$B,'New summary'!$B30,'Gantt Chart Update'!$C:$C,'New summary'!$C30)</f>
        <v>0</v>
      </c>
      <c r="BB30" s="377">
        <f>SUMIFS('Gantt Chart Update'!BI:BI,'Gantt Chart Update'!$B:$B,'New summary'!$B30,'Gantt Chart Update'!$C:$C,'New summary'!$C30)</f>
        <v>0</v>
      </c>
      <c r="BC30" s="377">
        <f>SUMIFS('Gantt Chart Update'!BJ:BJ,'Gantt Chart Update'!$B:$B,'New summary'!$B30,'Gantt Chart Update'!$C:$C,'New summary'!$C30)</f>
        <v>0</v>
      </c>
      <c r="BD30" s="377">
        <f>SUMIFS('Gantt Chart Update'!BK:BK,'Gantt Chart Update'!$B:$B,'New summary'!$B30,'Gantt Chart Update'!$C:$C,'New summary'!$C30)</f>
        <v>300</v>
      </c>
      <c r="BE30" s="377">
        <f>SUMIFS('Gantt Chart Update'!BL:BL,'Gantt Chart Update'!$B:$B,'New summary'!$B30,'Gantt Chart Update'!$C:$C,'New summary'!$C30)</f>
        <v>0</v>
      </c>
      <c r="BF30" s="377">
        <f>SUMIFS('Gantt Chart Update'!BM:BM,'Gantt Chart Update'!$B:$B,'New summary'!$B30,'Gantt Chart Update'!$C:$C,'New summary'!$C30)</f>
        <v>0</v>
      </c>
      <c r="BG30" s="377">
        <f>SUMIFS('Gantt Chart Update'!BN:BN,'Gantt Chart Update'!$B:$B,'New summary'!$B30,'Gantt Chart Update'!$C:$C,'New summary'!$C30)</f>
        <v>0</v>
      </c>
      <c r="BH30" s="377">
        <f>SUMIFS('Gantt Chart Update'!BO:BO,'Gantt Chart Update'!$B:$B,'New summary'!$B30,'Gantt Chart Update'!$C:$C,'New summary'!$C30)</f>
        <v>1250</v>
      </c>
      <c r="BI30" s="377">
        <f>SUMIFS('Gantt Chart Update'!BP:BP,'Gantt Chart Update'!$B:$B,'New summary'!$B30,'Gantt Chart Update'!$C:$C,'New summary'!$C30)</f>
        <v>750</v>
      </c>
    </row>
    <row r="31" spans="2:61" x14ac:dyDescent="0.2">
      <c r="B31" s="874" t="s">
        <v>248</v>
      </c>
      <c r="C31" s="781"/>
      <c r="D31" s="530">
        <f t="shared" si="2"/>
        <v>164456</v>
      </c>
      <c r="E31" s="870">
        <f t="shared" ref="E31:AJ31" si="3">SUM(E6:E30)</f>
        <v>2176</v>
      </c>
      <c r="F31" s="375">
        <f t="shared" si="3"/>
        <v>1500</v>
      </c>
      <c r="G31" s="375">
        <f t="shared" si="3"/>
        <v>1814</v>
      </c>
      <c r="H31" s="375">
        <f t="shared" si="3"/>
        <v>1450</v>
      </c>
      <c r="I31" s="375">
        <f t="shared" si="3"/>
        <v>1050</v>
      </c>
      <c r="J31" s="375">
        <f t="shared" si="3"/>
        <v>3331</v>
      </c>
      <c r="K31" s="375">
        <f t="shared" si="3"/>
        <v>1963</v>
      </c>
      <c r="L31" s="375">
        <f t="shared" si="3"/>
        <v>2537</v>
      </c>
      <c r="M31" s="375">
        <f t="shared" si="3"/>
        <v>2750</v>
      </c>
      <c r="N31" s="375">
        <f t="shared" si="3"/>
        <v>2750</v>
      </c>
      <c r="O31" s="375">
        <f t="shared" si="3"/>
        <v>3125</v>
      </c>
      <c r="P31" s="375">
        <f t="shared" si="3"/>
        <v>2186</v>
      </c>
      <c r="Q31" s="375">
        <f t="shared" si="3"/>
        <v>1616</v>
      </c>
      <c r="R31" s="375">
        <f t="shared" si="3"/>
        <v>3369</v>
      </c>
      <c r="S31" s="375">
        <f t="shared" si="3"/>
        <v>2955</v>
      </c>
      <c r="T31" s="375">
        <f t="shared" si="3"/>
        <v>1522</v>
      </c>
      <c r="U31" s="375">
        <f t="shared" si="3"/>
        <v>3544</v>
      </c>
      <c r="V31" s="375">
        <f t="shared" si="3"/>
        <v>1100</v>
      </c>
      <c r="W31" s="375">
        <f t="shared" si="3"/>
        <v>2872</v>
      </c>
      <c r="X31" s="375">
        <f t="shared" si="3"/>
        <v>2716</v>
      </c>
      <c r="Y31" s="375">
        <f t="shared" si="3"/>
        <v>1957</v>
      </c>
      <c r="Z31" s="375">
        <f t="shared" si="3"/>
        <v>2388</v>
      </c>
      <c r="AA31" s="375">
        <f t="shared" si="3"/>
        <v>2250</v>
      </c>
      <c r="AB31" s="375">
        <f t="shared" si="3"/>
        <v>2242</v>
      </c>
      <c r="AC31" s="375">
        <f t="shared" si="3"/>
        <v>2980</v>
      </c>
      <c r="AD31" s="375">
        <f t="shared" si="3"/>
        <v>2406</v>
      </c>
      <c r="AE31" s="375">
        <f t="shared" si="3"/>
        <v>1000</v>
      </c>
      <c r="AF31" s="375">
        <f t="shared" si="3"/>
        <v>2972</v>
      </c>
      <c r="AG31" s="375">
        <f t="shared" si="3"/>
        <v>3600</v>
      </c>
      <c r="AH31" s="375">
        <f t="shared" si="3"/>
        <v>3018</v>
      </c>
      <c r="AI31" s="375">
        <f t="shared" si="3"/>
        <v>2286</v>
      </c>
      <c r="AJ31" s="375">
        <f t="shared" si="3"/>
        <v>3250</v>
      </c>
      <c r="AK31" s="375">
        <f t="shared" ref="AK31:BI31" si="4">SUM(AK6:AK30)</f>
        <v>3800</v>
      </c>
      <c r="AL31" s="375">
        <f t="shared" si="4"/>
        <v>2202</v>
      </c>
      <c r="AM31" s="375">
        <f t="shared" si="4"/>
        <v>2760</v>
      </c>
      <c r="AN31" s="375">
        <f t="shared" si="4"/>
        <v>3990</v>
      </c>
      <c r="AO31" s="375">
        <f t="shared" si="4"/>
        <v>3298</v>
      </c>
      <c r="AP31" s="375">
        <f t="shared" si="4"/>
        <v>3650</v>
      </c>
      <c r="AQ31" s="375">
        <f t="shared" si="4"/>
        <v>3520</v>
      </c>
      <c r="AR31" s="375">
        <f t="shared" si="4"/>
        <v>2500</v>
      </c>
      <c r="AS31" s="375">
        <f t="shared" si="4"/>
        <v>4547</v>
      </c>
      <c r="AT31" s="375">
        <f t="shared" si="4"/>
        <v>3948</v>
      </c>
      <c r="AU31" s="375">
        <f t="shared" si="4"/>
        <v>3134</v>
      </c>
      <c r="AV31" s="375">
        <f t="shared" si="4"/>
        <v>4100</v>
      </c>
      <c r="AW31" s="375">
        <f t="shared" si="4"/>
        <v>5003</v>
      </c>
      <c r="AX31" s="375">
        <f t="shared" si="4"/>
        <v>5559</v>
      </c>
      <c r="AY31" s="375">
        <f t="shared" si="4"/>
        <v>3805</v>
      </c>
      <c r="AZ31" s="375">
        <f t="shared" si="4"/>
        <v>5929</v>
      </c>
      <c r="BA31" s="375">
        <f t="shared" si="4"/>
        <v>4986</v>
      </c>
      <c r="BB31" s="375">
        <f t="shared" si="4"/>
        <v>4029</v>
      </c>
      <c r="BC31" s="375">
        <f t="shared" si="4"/>
        <v>3414</v>
      </c>
      <c r="BD31" s="375">
        <f t="shared" si="4"/>
        <v>3000</v>
      </c>
      <c r="BE31" s="375">
        <f t="shared" si="4"/>
        <v>4884</v>
      </c>
      <c r="BF31" s="375">
        <f t="shared" si="4"/>
        <v>4663</v>
      </c>
      <c r="BG31" s="375">
        <f t="shared" si="4"/>
        <v>3000</v>
      </c>
      <c r="BH31" s="375">
        <f t="shared" si="4"/>
        <v>3050</v>
      </c>
      <c r="BI31" s="375">
        <f t="shared" si="4"/>
        <v>3000</v>
      </c>
    </row>
    <row r="32" spans="2:61" x14ac:dyDescent="0.2">
      <c r="B32" s="874" t="s">
        <v>250</v>
      </c>
      <c r="C32" s="781"/>
      <c r="D32" s="531">
        <f t="shared" si="2"/>
        <v>160325</v>
      </c>
      <c r="E32" s="871">
        <f>'Gantt Chart Update'!L3</f>
        <v>2000</v>
      </c>
      <c r="F32" s="376">
        <f>'Gantt Chart Update'!M3</f>
        <v>2000</v>
      </c>
      <c r="G32" s="376">
        <f>'Gantt Chart Update'!N3</f>
        <v>2000</v>
      </c>
      <c r="H32" s="376">
        <f>'Gantt Chart Update'!O3</f>
        <v>1500</v>
      </c>
      <c r="I32" s="376">
        <f>'Gantt Chart Update'!P3</f>
        <v>1650</v>
      </c>
      <c r="J32" s="376">
        <f>'Gantt Chart Update'!Q3</f>
        <v>2750</v>
      </c>
      <c r="K32" s="376">
        <f>'Gantt Chart Update'!R3</f>
        <v>2500</v>
      </c>
      <c r="L32" s="376">
        <f>'Gantt Chart Update'!S3</f>
        <v>1925</v>
      </c>
      <c r="M32" s="376">
        <f>'Gantt Chart Update'!T3</f>
        <v>2750</v>
      </c>
      <c r="N32" s="376">
        <f>'Gantt Chart Update'!U3</f>
        <v>2750</v>
      </c>
      <c r="O32" s="376">
        <f>'Gantt Chart Update'!V3</f>
        <v>2750</v>
      </c>
      <c r="P32" s="376">
        <f>'Gantt Chart Update'!W3</f>
        <v>1750</v>
      </c>
      <c r="Q32" s="376">
        <f>'Gantt Chart Update'!X3</f>
        <v>1750</v>
      </c>
      <c r="R32" s="376">
        <f>'Gantt Chart Update'!Y3</f>
        <v>3250</v>
      </c>
      <c r="S32" s="376">
        <f>'Gantt Chart Update'!Z3</f>
        <v>3125</v>
      </c>
      <c r="T32" s="376">
        <f>'Gantt Chart Update'!AA3</f>
        <v>1750</v>
      </c>
      <c r="U32" s="376">
        <f>'Gantt Chart Update'!AB3</f>
        <v>4000</v>
      </c>
      <c r="V32" s="376">
        <f>'Gantt Chart Update'!AC3</f>
        <v>1300</v>
      </c>
      <c r="W32" s="376">
        <f>'Gantt Chart Update'!AD3</f>
        <v>3000</v>
      </c>
      <c r="X32" s="376">
        <f>'Gantt Chart Update'!AE3</f>
        <v>2900</v>
      </c>
      <c r="Y32" s="376">
        <f>'Gantt Chart Update'!AF3</f>
        <v>2400</v>
      </c>
      <c r="Z32" s="376">
        <f>'Gantt Chart Update'!AG3</f>
        <v>2375</v>
      </c>
      <c r="AA32" s="376">
        <f>'Gantt Chart Update'!AH3</f>
        <v>2250</v>
      </c>
      <c r="AB32" s="376">
        <f>'Gantt Chart Update'!AI3</f>
        <v>2250</v>
      </c>
      <c r="AC32" s="376">
        <f>'Gantt Chart Update'!AJ3</f>
        <v>3000</v>
      </c>
      <c r="AD32" s="376">
        <f>'Gantt Chart Update'!AK3</f>
        <v>3500</v>
      </c>
      <c r="AE32" s="376">
        <f>'Gantt Chart Update'!AL3</f>
        <v>2000</v>
      </c>
      <c r="AF32" s="376">
        <f>'Gantt Chart Update'!AM3</f>
        <v>3750</v>
      </c>
      <c r="AG32" s="376">
        <f>'Gantt Chart Update'!AN3</f>
        <v>3375</v>
      </c>
      <c r="AH32" s="376">
        <f>'Gantt Chart Update'!AO3</f>
        <v>3000</v>
      </c>
      <c r="AI32" s="376">
        <f>'Gantt Chart Update'!AP3</f>
        <v>2250</v>
      </c>
      <c r="AJ32" s="376">
        <f>'Gantt Chart Update'!AQ3</f>
        <v>3250</v>
      </c>
      <c r="AK32" s="376">
        <f>'Gantt Chart Update'!AR3</f>
        <v>3750</v>
      </c>
      <c r="AL32" s="376">
        <f>'Gantt Chart Update'!AS3</f>
        <v>2250</v>
      </c>
      <c r="AM32" s="376">
        <f>'Gantt Chart Update'!AT3</f>
        <v>2000</v>
      </c>
      <c r="AN32" s="376">
        <f>'Gantt Chart Update'!AU3</f>
        <v>2000</v>
      </c>
      <c r="AO32" s="376">
        <f>'Gantt Chart Update'!AV3</f>
        <v>2250</v>
      </c>
      <c r="AP32" s="376">
        <f>'Gantt Chart Update'!AW3</f>
        <v>3750</v>
      </c>
      <c r="AQ32" s="376">
        <f>'Gantt Chart Update'!AX3</f>
        <v>3375</v>
      </c>
      <c r="AR32" s="376">
        <f>'Gantt Chart Update'!AY3</f>
        <v>2500</v>
      </c>
      <c r="AS32" s="376">
        <f>'Gantt Chart Update'!AZ3</f>
        <v>4500</v>
      </c>
      <c r="AT32" s="376">
        <f>'Gantt Chart Update'!BA3</f>
        <v>3750</v>
      </c>
      <c r="AU32" s="376">
        <f>'Gantt Chart Update'!BB3</f>
        <v>3000</v>
      </c>
      <c r="AV32" s="376">
        <f>'Gantt Chart Update'!BC3</f>
        <v>4000</v>
      </c>
      <c r="AW32" s="376">
        <f>'Gantt Chart Update'!BD3</f>
        <v>5000</v>
      </c>
      <c r="AX32" s="376">
        <f>'Gantt Chart Update'!BE3</f>
        <v>4000</v>
      </c>
      <c r="AY32" s="376">
        <f>'Gantt Chart Update'!BF3</f>
        <v>2500</v>
      </c>
      <c r="AZ32" s="376">
        <f>'Gantt Chart Update'!BG3</f>
        <v>5000</v>
      </c>
      <c r="BA32" s="376">
        <f>'Gantt Chart Update'!BH3</f>
        <v>5000</v>
      </c>
      <c r="BB32" s="376">
        <f>'Gantt Chart Update'!BI3</f>
        <v>4000</v>
      </c>
      <c r="BC32" s="376">
        <f>'Gantt Chart Update'!BJ3</f>
        <v>3250</v>
      </c>
      <c r="BD32" s="376">
        <f>'Gantt Chart Update'!BK3</f>
        <v>3000</v>
      </c>
      <c r="BE32" s="376">
        <f>'Gantt Chart Update'!BL3</f>
        <v>5000</v>
      </c>
      <c r="BF32" s="376">
        <f>'Gantt Chart Update'!BM3</f>
        <v>5000</v>
      </c>
      <c r="BG32" s="376">
        <f>'Gantt Chart Update'!BN3</f>
        <v>3000</v>
      </c>
      <c r="BH32" s="376">
        <f>'Gantt Chart Update'!BO3</f>
        <v>2800</v>
      </c>
      <c r="BI32" s="376">
        <f>'Gantt Chart Update'!BP3</f>
        <v>4000</v>
      </c>
    </row>
    <row r="33" spans="2:61" ht="16" thickBot="1" x14ac:dyDescent="0.25">
      <c r="B33" s="875" t="s">
        <v>251</v>
      </c>
      <c r="C33" s="876"/>
      <c r="D33" s="532">
        <f t="shared" si="2"/>
        <v>3532</v>
      </c>
      <c r="E33" s="872">
        <f>'Gantt Chart Update'!L4</f>
        <v>176</v>
      </c>
      <c r="F33" s="378">
        <f>'Gantt Chart Update'!M4</f>
        <v>-500</v>
      </c>
      <c r="G33" s="378">
        <f>'Gantt Chart Update'!N4</f>
        <v>-186</v>
      </c>
      <c r="H33" s="378">
        <f>'Gantt Chart Update'!O4</f>
        <v>-50</v>
      </c>
      <c r="I33" s="378">
        <f>'Gantt Chart Update'!P4</f>
        <v>-600</v>
      </c>
      <c r="J33" s="378">
        <f>'Gantt Chart Update'!Q4</f>
        <v>581</v>
      </c>
      <c r="K33" s="378">
        <f>'Gantt Chart Update'!R4</f>
        <v>-537</v>
      </c>
      <c r="L33" s="378">
        <f>'Gantt Chart Update'!S4</f>
        <v>612</v>
      </c>
      <c r="M33" s="378">
        <f>'Gantt Chart Update'!T4</f>
        <v>0</v>
      </c>
      <c r="N33" s="378">
        <f>'Gantt Chart Update'!U4</f>
        <v>0</v>
      </c>
      <c r="O33" s="378">
        <f>'Gantt Chart Update'!V4</f>
        <v>375</v>
      </c>
      <c r="P33" s="378">
        <f>'Gantt Chart Update'!W4</f>
        <v>436</v>
      </c>
      <c r="Q33" s="378">
        <f>'Gantt Chart Update'!X4</f>
        <v>-134</v>
      </c>
      <c r="R33" s="378">
        <f>'Gantt Chart Update'!Y4</f>
        <v>119</v>
      </c>
      <c r="S33" s="378">
        <f>'Gantt Chart Update'!Z4</f>
        <v>-170</v>
      </c>
      <c r="T33" s="378">
        <f>'Gantt Chart Update'!AA4</f>
        <v>-228</v>
      </c>
      <c r="U33" s="378">
        <f>'Gantt Chart Update'!AB4</f>
        <v>-456</v>
      </c>
      <c r="V33" s="378">
        <f>'Gantt Chart Update'!AC4</f>
        <v>-200</v>
      </c>
      <c r="W33" s="378">
        <f>'Gantt Chart Update'!AD4</f>
        <v>-128</v>
      </c>
      <c r="X33" s="378">
        <f>'Gantt Chart Update'!AE4</f>
        <v>-184</v>
      </c>
      <c r="Y33" s="378">
        <f>'Gantt Chart Update'!AF4</f>
        <v>-443</v>
      </c>
      <c r="Z33" s="378">
        <f>'Gantt Chart Update'!AG4</f>
        <v>13</v>
      </c>
      <c r="AA33" s="378">
        <f>'Gantt Chart Update'!AH4</f>
        <v>0</v>
      </c>
      <c r="AB33" s="378">
        <f>'Gantt Chart Update'!AI4</f>
        <v>-8</v>
      </c>
      <c r="AC33" s="378">
        <f>'Gantt Chart Update'!AJ4</f>
        <v>-20</v>
      </c>
      <c r="AD33" s="378">
        <f>'Gantt Chart Update'!AK4</f>
        <v>-1094</v>
      </c>
      <c r="AE33" s="378">
        <f>'Gantt Chart Update'!AL4</f>
        <v>-1000</v>
      </c>
      <c r="AF33" s="378">
        <f>'Gantt Chart Update'!AM4</f>
        <v>-778</v>
      </c>
      <c r="AG33" s="378">
        <f>'Gantt Chart Update'!AN4</f>
        <v>225</v>
      </c>
      <c r="AH33" s="378">
        <f>'Gantt Chart Update'!AO4</f>
        <v>18</v>
      </c>
      <c r="AI33" s="378">
        <f>'Gantt Chart Update'!AP4</f>
        <v>36</v>
      </c>
      <c r="AJ33" s="378">
        <f>'Gantt Chart Update'!AQ4</f>
        <v>0</v>
      </c>
      <c r="AK33" s="378">
        <f>'Gantt Chart Update'!AR4</f>
        <v>50</v>
      </c>
      <c r="AL33" s="378">
        <f>'Gantt Chart Update'!AS4</f>
        <v>-48</v>
      </c>
      <c r="AM33" s="378">
        <f>'Gantt Chart Update'!AT4</f>
        <v>760</v>
      </c>
      <c r="AN33" s="378">
        <f>'Gantt Chart Update'!AU4</f>
        <v>1990</v>
      </c>
      <c r="AO33" s="378">
        <f>'Gantt Chart Update'!AV4</f>
        <v>1048</v>
      </c>
      <c r="AP33" s="378">
        <f>'Gantt Chart Update'!AW4</f>
        <v>-100</v>
      </c>
      <c r="AQ33" s="378">
        <f>'Gantt Chart Update'!AX4</f>
        <v>145</v>
      </c>
      <c r="AR33" s="378">
        <f>'Gantt Chart Update'!AY4</f>
        <v>0</v>
      </c>
      <c r="AS33" s="378">
        <f>'Gantt Chart Update'!AZ4</f>
        <v>47</v>
      </c>
      <c r="AT33" s="378">
        <f>'Gantt Chart Update'!BA4</f>
        <v>198</v>
      </c>
      <c r="AU33" s="378">
        <f>'Gantt Chart Update'!BB4</f>
        <v>137</v>
      </c>
      <c r="AV33" s="378">
        <f>'Gantt Chart Update'!BC4</f>
        <v>100</v>
      </c>
      <c r="AW33" s="378">
        <f>'Gantt Chart Update'!BD4</f>
        <v>3</v>
      </c>
      <c r="AX33" s="378">
        <f>'Gantt Chart Update'!BE4</f>
        <v>1559</v>
      </c>
      <c r="AY33" s="378">
        <f>'Gantt Chart Update'!BF4</f>
        <v>1703</v>
      </c>
      <c r="AZ33" s="378">
        <f>'Gantt Chart Update'!BG4</f>
        <v>929</v>
      </c>
      <c r="BA33" s="378">
        <f>'Gantt Chart Update'!BH4</f>
        <v>-14</v>
      </c>
      <c r="BB33" s="378">
        <f>'Gantt Chart Update'!BI4</f>
        <v>29</v>
      </c>
      <c r="BC33" s="378">
        <f>'Gantt Chart Update'!BJ4</f>
        <v>164</v>
      </c>
      <c r="BD33" s="378">
        <f>'Gantt Chart Update'!BK4</f>
        <v>0</v>
      </c>
      <c r="BE33" s="378">
        <f>'Gantt Chart Update'!BL4</f>
        <v>-116</v>
      </c>
      <c r="BF33" s="378">
        <f>'Gantt Chart Update'!BM4</f>
        <v>-337</v>
      </c>
      <c r="BG33" s="378">
        <f>'Gantt Chart Update'!BN4</f>
        <v>0</v>
      </c>
      <c r="BH33" s="378">
        <f>'Gantt Chart Update'!BO4</f>
        <v>0</v>
      </c>
      <c r="BI33" s="378">
        <f>'Gantt Chart Update'!BP4</f>
        <v>-1750</v>
      </c>
    </row>
    <row r="34" spans="2:61" x14ac:dyDescent="0.2">
      <c r="B34" s="12"/>
      <c r="C34" s="12"/>
      <c r="D34" s="144" t="s">
        <v>443</v>
      </c>
      <c r="E34" s="137">
        <f>+E31-'Gantt Chart Update'!L2</f>
        <v>0</v>
      </c>
      <c r="F34" s="137">
        <f>+F31-'Gantt Chart Update'!M2</f>
        <v>0</v>
      </c>
      <c r="G34" s="137">
        <f>+G31-'Gantt Chart Update'!N2</f>
        <v>0</v>
      </c>
      <c r="H34" s="137">
        <f>+H31-'Gantt Chart Update'!O2</f>
        <v>0</v>
      </c>
      <c r="I34" s="137">
        <f>+I31-'Gantt Chart Update'!P2</f>
        <v>0</v>
      </c>
      <c r="J34" s="137">
        <f>+J31-'Gantt Chart Update'!Q2</f>
        <v>0</v>
      </c>
      <c r="K34" s="137">
        <f>+K31-'Gantt Chart Update'!R2</f>
        <v>0</v>
      </c>
      <c r="L34" s="137">
        <f>+L31-'Gantt Chart Update'!S2</f>
        <v>0</v>
      </c>
      <c r="M34" s="137">
        <f>+M31-'Gantt Chart Update'!T2</f>
        <v>0</v>
      </c>
      <c r="N34" s="137">
        <f>+N31-'Gantt Chart Update'!U2</f>
        <v>0</v>
      </c>
      <c r="O34" s="137">
        <f>+O31-'Gantt Chart Update'!V2</f>
        <v>0</v>
      </c>
      <c r="P34" s="137">
        <f>+P31-'Gantt Chart Update'!W2</f>
        <v>0</v>
      </c>
      <c r="Q34" s="137">
        <f>+Q31-'Gantt Chart Update'!X2</f>
        <v>0</v>
      </c>
      <c r="R34" s="137">
        <f>+R31-'Gantt Chart Update'!Y2</f>
        <v>0</v>
      </c>
      <c r="S34" s="137">
        <f>+S31-'Gantt Chart Update'!Z2</f>
        <v>0</v>
      </c>
      <c r="T34" s="137">
        <f>+T31-'Gantt Chart Update'!AA2</f>
        <v>0</v>
      </c>
      <c r="U34" s="137">
        <f>+U31-'Gantt Chart Update'!AB2</f>
        <v>0</v>
      </c>
      <c r="V34" s="137">
        <f>+V31-'Gantt Chart Update'!AC2</f>
        <v>0</v>
      </c>
      <c r="W34" s="137">
        <f>+W31-'Gantt Chart Update'!AD2</f>
        <v>0</v>
      </c>
      <c r="X34" s="137">
        <f>+X31-'Gantt Chart Update'!AE2</f>
        <v>0</v>
      </c>
      <c r="Y34" s="137">
        <f>+Y31-'Gantt Chart Update'!AF2</f>
        <v>0</v>
      </c>
      <c r="Z34" s="137">
        <f>+Z31-'Gantt Chart Update'!AG2</f>
        <v>0</v>
      </c>
      <c r="AA34" s="137">
        <f>+AA31-'Gantt Chart Update'!AH2</f>
        <v>0</v>
      </c>
      <c r="AB34" s="137">
        <f>+AB31-'Gantt Chart Update'!AI2</f>
        <v>0</v>
      </c>
      <c r="AC34" s="137">
        <f>+AC31-'Gantt Chart Update'!AJ2</f>
        <v>0</v>
      </c>
      <c r="AD34" s="137">
        <f>+AD31-'Gantt Chart Update'!AK2</f>
        <v>0</v>
      </c>
      <c r="AE34" s="137">
        <f>+AE31-'Gantt Chart Update'!AL2</f>
        <v>0</v>
      </c>
      <c r="AF34" s="137">
        <f>+AF31-'Gantt Chart Update'!AM2</f>
        <v>0</v>
      </c>
      <c r="AG34" s="137">
        <f>+AG31-'Gantt Chart Update'!AN2</f>
        <v>0</v>
      </c>
      <c r="AH34" s="137">
        <f>+AH31-'Gantt Chart Update'!AO2</f>
        <v>0</v>
      </c>
      <c r="AI34" s="137">
        <f>+AI31-'Gantt Chart Update'!AP2</f>
        <v>0</v>
      </c>
      <c r="AJ34" s="137">
        <f>+AJ31-'Gantt Chart Update'!AQ2</f>
        <v>0</v>
      </c>
      <c r="AK34" s="137">
        <f>+AK31-'Gantt Chart Update'!AR2</f>
        <v>0</v>
      </c>
      <c r="AL34" s="137">
        <f>+AL31-'Gantt Chart Update'!AS2</f>
        <v>0</v>
      </c>
      <c r="AM34" s="137">
        <f>+AM31-'Gantt Chart Update'!AT2</f>
        <v>0</v>
      </c>
      <c r="AN34" s="137">
        <f>+AN31-'Gantt Chart Update'!AU2</f>
        <v>0</v>
      </c>
      <c r="AO34" s="137">
        <f>+AO31-'Gantt Chart Update'!AV2</f>
        <v>0</v>
      </c>
      <c r="AP34" s="137">
        <f>+AP31-'Gantt Chart Update'!AW2</f>
        <v>0</v>
      </c>
      <c r="AQ34" s="137">
        <f>+AQ31-'Gantt Chart Update'!AX2</f>
        <v>0</v>
      </c>
      <c r="AR34" s="137">
        <f>+AR31-'Gantt Chart Update'!AY2</f>
        <v>0</v>
      </c>
      <c r="AS34" s="137">
        <f>+AS31-'Gantt Chart Update'!AZ2</f>
        <v>0</v>
      </c>
      <c r="AT34" s="137">
        <f>+AT31-'Gantt Chart Update'!BA2</f>
        <v>0</v>
      </c>
      <c r="AU34" s="137">
        <f>+AU31-'Gantt Chart Update'!BB2</f>
        <v>-3</v>
      </c>
      <c r="AV34" s="137">
        <f>+AV31-'Gantt Chart Update'!BC2</f>
        <v>0</v>
      </c>
      <c r="AW34" s="137">
        <f>+AW31-'Gantt Chart Update'!BD2</f>
        <v>0</v>
      </c>
      <c r="AX34" s="137">
        <f>+AX31-'Gantt Chart Update'!BE2</f>
        <v>0</v>
      </c>
      <c r="AY34" s="137">
        <f>+AY31-'Gantt Chart Update'!BF2</f>
        <v>-398</v>
      </c>
      <c r="AZ34" s="137">
        <f>+AZ31-'Gantt Chart Update'!BG2</f>
        <v>0</v>
      </c>
      <c r="BA34" s="137">
        <f>+BA31-'Gantt Chart Update'!BH2</f>
        <v>0</v>
      </c>
      <c r="BB34" s="137">
        <f>+BB31-'Gantt Chart Update'!BI2</f>
        <v>0</v>
      </c>
      <c r="BC34" s="137">
        <f>+BC31-'Gantt Chart Update'!BJ2</f>
        <v>0</v>
      </c>
      <c r="BD34" s="137">
        <f>+BD31-'Gantt Chart Update'!BK2</f>
        <v>0</v>
      </c>
      <c r="BE34" s="137">
        <f>+BE31-'Gantt Chart Update'!BL2</f>
        <v>0</v>
      </c>
      <c r="BF34" s="137">
        <f>+BF31-'Gantt Chart Update'!BM2</f>
        <v>0</v>
      </c>
      <c r="BG34" s="137">
        <f>+BG31-'Gantt Chart Update'!BN2</f>
        <v>0</v>
      </c>
      <c r="BH34" s="137">
        <f>+BH31-'Gantt Chart Update'!BO2</f>
        <v>250</v>
      </c>
    </row>
    <row r="35" spans="2:61" x14ac:dyDescent="0.2">
      <c r="B35" s="766"/>
    </row>
    <row r="39" spans="2:61" x14ac:dyDescent="0.2">
      <c r="J39" s="437" t="s">
        <v>444</v>
      </c>
    </row>
    <row r="40" spans="2:61" x14ac:dyDescent="0.2">
      <c r="J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</row>
    <row r="41" spans="2:61" s="142" customFormat="1" x14ac:dyDescent="0.2">
      <c r="J41" s="187"/>
      <c r="K41" s="1" t="s">
        <v>397</v>
      </c>
      <c r="L41" s="1" t="s">
        <v>401</v>
      </c>
      <c r="M41" s="1" t="s">
        <v>402</v>
      </c>
      <c r="N41" s="1" t="s">
        <v>403</v>
      </c>
      <c r="O41" s="1" t="s">
        <v>404</v>
      </c>
      <c r="P41" s="1" t="s">
        <v>266</v>
      </c>
      <c r="Q41" s="1" t="s">
        <v>445</v>
      </c>
      <c r="R41" s="1" t="s">
        <v>268</v>
      </c>
      <c r="S41" s="1" t="s">
        <v>405</v>
      </c>
      <c r="T41" s="1" t="s">
        <v>446</v>
      </c>
      <c r="U41" s="1" t="s">
        <v>407</v>
      </c>
      <c r="V41" s="1" t="s">
        <v>408</v>
      </c>
      <c r="W41" s="1" t="s">
        <v>409</v>
      </c>
      <c r="X41" s="181"/>
      <c r="Y41" s="181"/>
      <c r="Z41" s="181"/>
      <c r="AA41" s="181"/>
      <c r="AB41" s="181"/>
      <c r="AC41" s="181"/>
      <c r="AD41" s="181"/>
      <c r="AE41" s="181"/>
      <c r="AF41" s="181"/>
      <c r="AG41" s="181"/>
      <c r="AH41" s="181"/>
      <c r="AI41" s="181"/>
      <c r="AJ41" s="181"/>
      <c r="AK41" s="181"/>
      <c r="AL41" s="181"/>
      <c r="AM41" s="181"/>
      <c r="AN41" s="181"/>
      <c r="AO41" s="181"/>
      <c r="AP41" s="181"/>
    </row>
    <row r="42" spans="2:61" x14ac:dyDescent="0.2">
      <c r="J42" s="138"/>
      <c r="K42" s="179"/>
      <c r="L42" s="179"/>
      <c r="M42" s="179"/>
      <c r="N42" s="179"/>
      <c r="O42" s="179"/>
      <c r="P42" s="179"/>
      <c r="Q42" s="179"/>
      <c r="R42" s="179"/>
      <c r="S42" s="179"/>
      <c r="T42" s="183" t="s">
        <v>447</v>
      </c>
      <c r="U42" s="179"/>
      <c r="V42" s="179"/>
      <c r="W42" s="179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</row>
    <row r="43" spans="2:61" x14ac:dyDescent="0.2">
      <c r="J43" s="11" t="s">
        <v>248</v>
      </c>
      <c r="K43" s="179">
        <f>SUM(L43:W43)</f>
        <v>164456</v>
      </c>
      <c r="L43" s="179">
        <f>+J31+K31+L31+M31</f>
        <v>10581</v>
      </c>
      <c r="M43" s="179">
        <f>+N31+O31+P31+Q31</f>
        <v>9677</v>
      </c>
      <c r="N43" s="179">
        <f>+R31+S31+T31+U31</f>
        <v>11390</v>
      </c>
      <c r="O43" s="179">
        <f>+V31+W31+X31+Y31+Z31</f>
        <v>11033</v>
      </c>
      <c r="P43" s="179">
        <f>+AA31+AB31+AC31+AD31</f>
        <v>9878</v>
      </c>
      <c r="Q43" s="179">
        <f>+AE31+AF31+AG31+AH31</f>
        <v>10590</v>
      </c>
      <c r="R43" s="179">
        <f>+AI31+AJ31+AK31+AL31+AM31</f>
        <v>14298</v>
      </c>
      <c r="S43" s="179">
        <f>+AN31+AO31+AP31+AQ31</f>
        <v>14458</v>
      </c>
      <c r="T43" s="179">
        <f>+AR31+AS31+AT31+AU31+AV31</f>
        <v>18229</v>
      </c>
      <c r="U43" s="179">
        <f>+AW31+AX31+AY31+AZ31</f>
        <v>20296</v>
      </c>
      <c r="V43" s="179">
        <f>+BA31+BB31+BC31+BD31</f>
        <v>15429</v>
      </c>
      <c r="W43" s="179">
        <f>+BE31+BF31+BG31+BH31+BI31</f>
        <v>18597</v>
      </c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</row>
    <row r="44" spans="2:61" x14ac:dyDescent="0.2">
      <c r="J44" s="11" t="s">
        <v>448</v>
      </c>
      <c r="K44" s="185">
        <f>SUM(L44:W44)</f>
        <v>160325</v>
      </c>
      <c r="L44" s="179">
        <f>+J32+K32+L32+M32</f>
        <v>9925</v>
      </c>
      <c r="M44" s="179">
        <f>+N32+O32+P32+Q32</f>
        <v>9000</v>
      </c>
      <c r="N44" s="179">
        <f>+R32+S32+T32+U32</f>
        <v>12125</v>
      </c>
      <c r="O44" s="179">
        <f>+V32+W32+X32+Y32+Z32</f>
        <v>11975</v>
      </c>
      <c r="P44" s="179">
        <f>+AA32+AB32+AC32+AD32</f>
        <v>11000</v>
      </c>
      <c r="Q44" s="179">
        <f>+AE32+AF32+AG32+AH32</f>
        <v>12125</v>
      </c>
      <c r="R44" s="179">
        <f>+AI32+AJ32+AK32+AL32+AM32</f>
        <v>13500</v>
      </c>
      <c r="S44" s="179">
        <f>+AN32+AO32+AP32+AQ32</f>
        <v>11375</v>
      </c>
      <c r="T44" s="179">
        <f>+AR32+AS32+AT32+AU32+AV32</f>
        <v>17750</v>
      </c>
      <c r="U44" s="179">
        <f>+AW32+AX32+AY32+AZ32</f>
        <v>16500</v>
      </c>
      <c r="V44" s="179">
        <f>+BA32+BB32+BC32+BD32</f>
        <v>15250</v>
      </c>
      <c r="W44" s="179">
        <f>+BE32+BF32+BG32+BH32+BI32</f>
        <v>19800</v>
      </c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</row>
    <row r="45" spans="2:61" s="141" customFormat="1" x14ac:dyDescent="0.2">
      <c r="J45" s="186" t="s">
        <v>449</v>
      </c>
      <c r="K45" s="184">
        <f>SUM(L45:W45)</f>
        <v>3532</v>
      </c>
      <c r="L45" s="184">
        <f>+J33+K33+L33+M33</f>
        <v>656</v>
      </c>
      <c r="M45" s="184">
        <f>+N33+O33+P33+Q33</f>
        <v>677</v>
      </c>
      <c r="N45" s="184">
        <f>+R33+S33+T33+U33</f>
        <v>-735</v>
      </c>
      <c r="O45" s="184">
        <f>+V33+W33+X33+Y33+Z33</f>
        <v>-942</v>
      </c>
      <c r="P45" s="184">
        <f>+AA33+AB33+AC33+AD33</f>
        <v>-1122</v>
      </c>
      <c r="Q45" s="184">
        <f>+AE33+AF33+AG33+AH33</f>
        <v>-1535</v>
      </c>
      <c r="R45" s="184">
        <f>+AI33+AJ33+AK33+AL33+AM33</f>
        <v>798</v>
      </c>
      <c r="S45" s="184">
        <f>+AN33+AO33+AP33+AQ33</f>
        <v>3083</v>
      </c>
      <c r="T45" s="184">
        <f>+AR33+AS33+AT33+AU33+AV33</f>
        <v>482</v>
      </c>
      <c r="U45" s="184">
        <f>+AW33+AX33+AY33+AZ33</f>
        <v>4194</v>
      </c>
      <c r="V45" s="184">
        <f>+BA33+BB33+BC33+BD33</f>
        <v>179</v>
      </c>
      <c r="W45" s="184">
        <f>+BE33+BF33+BG33+BH33+BI33</f>
        <v>-2203</v>
      </c>
      <c r="X45" s="182"/>
      <c r="Y45" s="182"/>
      <c r="Z45" s="182"/>
      <c r="AA45" s="182"/>
      <c r="AB45" s="182"/>
      <c r="AC45" s="182"/>
      <c r="AD45" s="182"/>
      <c r="AE45" s="182"/>
      <c r="AF45" s="182"/>
      <c r="AG45" s="182"/>
      <c r="AH45" s="182"/>
      <c r="AI45" s="182"/>
      <c r="AJ45" s="182"/>
      <c r="AK45" s="182"/>
      <c r="AL45" s="182"/>
      <c r="AM45" s="182"/>
      <c r="AN45" s="182"/>
      <c r="AO45" s="182"/>
      <c r="AP45" s="182"/>
    </row>
    <row r="46" spans="2:61" ht="16" thickBot="1" x14ac:dyDescent="0.25"/>
    <row r="47" spans="2:61" ht="16" thickBot="1" x14ac:dyDescent="0.25">
      <c r="J47" s="144" t="s">
        <v>200</v>
      </c>
      <c r="K47" s="384"/>
      <c r="L47" s="383" t="s">
        <v>450</v>
      </c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</row>
    <row r="48" spans="2:61" ht="16" thickBot="1" x14ac:dyDescent="0.25">
      <c r="J48" s="144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</row>
    <row r="49" spans="4:63" x14ac:dyDescent="0.2">
      <c r="J49" s="796" t="s">
        <v>451</v>
      </c>
      <c r="K49" s="797" t="s">
        <v>397</v>
      </c>
      <c r="L49" s="797" t="s">
        <v>401</v>
      </c>
      <c r="M49" s="797" t="s">
        <v>402</v>
      </c>
      <c r="N49" s="797" t="s">
        <v>403</v>
      </c>
      <c r="O49" s="797" t="s">
        <v>404</v>
      </c>
      <c r="P49" s="797" t="s">
        <v>266</v>
      </c>
      <c r="Q49" s="797" t="s">
        <v>445</v>
      </c>
      <c r="R49" s="797" t="s">
        <v>268</v>
      </c>
      <c r="S49" s="797" t="s">
        <v>405</v>
      </c>
      <c r="T49" s="797" t="s">
        <v>446</v>
      </c>
      <c r="U49" s="797" t="s">
        <v>407</v>
      </c>
      <c r="V49" s="797" t="s">
        <v>408</v>
      </c>
      <c r="W49" s="798" t="s">
        <v>409</v>
      </c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</row>
    <row r="50" spans="4:63" x14ac:dyDescent="0.2">
      <c r="J50" s="207" t="s">
        <v>224</v>
      </c>
      <c r="K50" s="179">
        <f t="shared" ref="K50:K55" si="5">SUM(L50:W50)</f>
        <v>0</v>
      </c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/>
      <c r="W50" s="279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</row>
    <row r="51" spans="4:63" x14ac:dyDescent="0.2">
      <c r="J51" s="207" t="s">
        <v>15</v>
      </c>
      <c r="K51" s="179">
        <f t="shared" si="5"/>
        <v>0</v>
      </c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179">
        <f t="shared" ref="T51:W52" si="6">+U51</f>
        <v>0</v>
      </c>
      <c r="W51" s="279">
        <f t="shared" si="6"/>
        <v>0</v>
      </c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</row>
    <row r="52" spans="4:63" x14ac:dyDescent="0.2">
      <c r="J52" s="207" t="s">
        <v>452</v>
      </c>
      <c r="K52" s="179">
        <f t="shared" si="5"/>
        <v>1500</v>
      </c>
      <c r="L52" s="179"/>
      <c r="M52" s="179"/>
      <c r="N52" s="179"/>
      <c r="O52" s="179"/>
      <c r="P52" s="179"/>
      <c r="Q52" s="179"/>
      <c r="R52" s="179"/>
      <c r="S52" s="179"/>
      <c r="T52" s="179">
        <f t="shared" si="6"/>
        <v>0</v>
      </c>
      <c r="U52" s="179">
        <f t="shared" si="6"/>
        <v>0</v>
      </c>
      <c r="V52" s="179">
        <v>750</v>
      </c>
      <c r="W52" s="279">
        <f t="shared" si="6"/>
        <v>750</v>
      </c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</row>
    <row r="53" spans="4:63" x14ac:dyDescent="0.2">
      <c r="J53" s="207" t="s">
        <v>8</v>
      </c>
      <c r="K53" s="179">
        <f t="shared" si="5"/>
        <v>3000</v>
      </c>
      <c r="L53" s="179"/>
      <c r="M53" s="179"/>
      <c r="N53" s="179"/>
      <c r="O53" s="179"/>
      <c r="P53" s="179"/>
      <c r="Q53" s="179"/>
      <c r="R53" s="179"/>
      <c r="S53" s="179"/>
      <c r="T53" s="179"/>
      <c r="U53" s="179">
        <v>1000</v>
      </c>
      <c r="V53" s="179">
        <v>1000</v>
      </c>
      <c r="W53" s="279">
        <v>1000</v>
      </c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</row>
    <row r="54" spans="4:63" x14ac:dyDescent="0.2">
      <c r="J54" s="207" t="s">
        <v>201</v>
      </c>
      <c r="K54" s="179">
        <f t="shared" si="5"/>
        <v>600</v>
      </c>
      <c r="L54" s="179"/>
      <c r="M54" s="179"/>
      <c r="N54" s="179"/>
      <c r="O54" s="179"/>
      <c r="P54" s="179"/>
      <c r="Q54" s="179"/>
      <c r="R54" s="179"/>
      <c r="S54" s="179"/>
      <c r="T54" s="179"/>
      <c r="U54" s="179"/>
      <c r="V54" s="179">
        <v>300</v>
      </c>
      <c r="W54" s="279">
        <v>300</v>
      </c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</row>
    <row r="55" spans="4:63" x14ac:dyDescent="0.2">
      <c r="J55" s="207" t="s">
        <v>202</v>
      </c>
      <c r="K55" s="179">
        <f t="shared" si="5"/>
        <v>600</v>
      </c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179">
        <v>300</v>
      </c>
      <c r="W55" s="279">
        <f>+V55</f>
        <v>300</v>
      </c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</row>
    <row r="56" spans="4:63" x14ac:dyDescent="0.2">
      <c r="J56" s="278"/>
      <c r="K56" s="179"/>
      <c r="L56" s="179"/>
      <c r="M56" s="179"/>
      <c r="N56" s="179"/>
      <c r="O56" s="179"/>
      <c r="P56" s="179"/>
      <c r="Q56" s="179"/>
      <c r="R56" s="179"/>
      <c r="S56" s="179"/>
      <c r="T56" s="179"/>
      <c r="U56" s="179"/>
      <c r="V56" s="179"/>
      <c r="W56" s="279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</row>
    <row r="57" spans="4:63" x14ac:dyDescent="0.2">
      <c r="J57" s="278"/>
      <c r="K57" s="180">
        <f>SUM(K50:K56)</f>
        <v>5700</v>
      </c>
      <c r="L57" s="179">
        <f t="shared" ref="L57:W57" si="7">SUM(L50:L56)</f>
        <v>0</v>
      </c>
      <c r="M57" s="179">
        <f t="shared" si="7"/>
        <v>0</v>
      </c>
      <c r="N57" s="179">
        <f t="shared" si="7"/>
        <v>0</v>
      </c>
      <c r="O57" s="479">
        <f>SUM(O50:O56)</f>
        <v>0</v>
      </c>
      <c r="P57" s="479">
        <f t="shared" si="7"/>
        <v>0</v>
      </c>
      <c r="Q57" s="479">
        <f t="shared" si="7"/>
        <v>0</v>
      </c>
      <c r="R57" s="479">
        <f t="shared" si="7"/>
        <v>0</v>
      </c>
      <c r="S57" s="479">
        <f t="shared" si="7"/>
        <v>0</v>
      </c>
      <c r="T57" s="479">
        <f t="shared" si="7"/>
        <v>0</v>
      </c>
      <c r="U57" s="479">
        <f t="shared" si="7"/>
        <v>1000</v>
      </c>
      <c r="V57" s="479">
        <f t="shared" si="7"/>
        <v>2350</v>
      </c>
      <c r="W57" s="799">
        <f t="shared" si="7"/>
        <v>2350</v>
      </c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</row>
    <row r="58" spans="4:63" x14ac:dyDescent="0.2">
      <c r="J58" s="278"/>
      <c r="K58" s="179"/>
      <c r="L58" s="179"/>
      <c r="M58" s="179"/>
      <c r="N58" s="179"/>
      <c r="O58" s="179"/>
      <c r="P58" s="179"/>
      <c r="Q58" s="179"/>
      <c r="R58" s="179"/>
      <c r="S58" s="179"/>
      <c r="T58" s="179"/>
      <c r="U58" s="179"/>
      <c r="V58" s="179"/>
      <c r="W58" s="279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</row>
    <row r="59" spans="4:63" ht="16" thickBot="1" x14ac:dyDescent="0.25">
      <c r="J59" s="208" t="s">
        <v>397</v>
      </c>
      <c r="K59" s="800">
        <f>SUM(L59:W59)</f>
        <v>9232</v>
      </c>
      <c r="L59" s="800">
        <f t="shared" ref="L59:W59" si="8">+L45+L57</f>
        <v>656</v>
      </c>
      <c r="M59" s="800">
        <f t="shared" si="8"/>
        <v>677</v>
      </c>
      <c r="N59" s="800">
        <f t="shared" si="8"/>
        <v>-735</v>
      </c>
      <c r="O59" s="800">
        <f t="shared" si="8"/>
        <v>-942</v>
      </c>
      <c r="P59" s="800">
        <f t="shared" si="8"/>
        <v>-1122</v>
      </c>
      <c r="Q59" s="800">
        <f t="shared" si="8"/>
        <v>-1535</v>
      </c>
      <c r="R59" s="800">
        <f t="shared" si="8"/>
        <v>798</v>
      </c>
      <c r="S59" s="800">
        <f t="shared" si="8"/>
        <v>3083</v>
      </c>
      <c r="T59" s="800">
        <f t="shared" si="8"/>
        <v>482</v>
      </c>
      <c r="U59" s="800">
        <f t="shared" si="8"/>
        <v>5194</v>
      </c>
      <c r="V59" s="800">
        <f t="shared" si="8"/>
        <v>2529</v>
      </c>
      <c r="W59" s="801">
        <f t="shared" si="8"/>
        <v>147</v>
      </c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</row>
    <row r="61" spans="4:63" ht="18" customHeight="1" x14ac:dyDescent="0.2">
      <c r="D61" s="137"/>
    </row>
    <row r="62" spans="4:63" ht="18" customHeight="1" x14ac:dyDescent="0.2">
      <c r="D62" s="137"/>
      <c r="J62" s="671" t="s">
        <v>395</v>
      </c>
      <c r="K62" s="671"/>
      <c r="L62" s="671" t="s">
        <v>401</v>
      </c>
      <c r="M62" s="671" t="s">
        <v>402</v>
      </c>
      <c r="N62" s="671" t="s">
        <v>403</v>
      </c>
      <c r="O62" s="671" t="s">
        <v>404</v>
      </c>
      <c r="P62" s="671" t="s">
        <v>266</v>
      </c>
      <c r="Q62" s="671" t="s">
        <v>267</v>
      </c>
      <c r="R62" s="671" t="s">
        <v>268</v>
      </c>
      <c r="S62" s="671" t="s">
        <v>405</v>
      </c>
      <c r="T62" s="671" t="s">
        <v>406</v>
      </c>
      <c r="U62" s="671" t="s">
        <v>407</v>
      </c>
      <c r="V62" s="671" t="s">
        <v>408</v>
      </c>
      <c r="W62" s="671" t="s">
        <v>409</v>
      </c>
      <c r="X62" s="671" t="s">
        <v>397</v>
      </c>
    </row>
    <row r="63" spans="4:63" ht="18" customHeight="1" x14ac:dyDescent="0.2">
      <c r="D63" s="137"/>
      <c r="J63" s="671" t="s">
        <v>396</v>
      </c>
      <c r="K63" s="671" t="s">
        <v>320</v>
      </c>
      <c r="L63" s="673" t="e">
        <f>SUM(#REF!)</f>
        <v>#REF!</v>
      </c>
      <c r="M63" s="673" t="e">
        <f>SUM(#REF!)</f>
        <v>#REF!</v>
      </c>
      <c r="N63" s="673" t="e">
        <f>SUM(#REF!)</f>
        <v>#REF!</v>
      </c>
      <c r="O63" s="673" t="e">
        <f>SUM(#REF!)</f>
        <v>#REF!</v>
      </c>
      <c r="P63" s="673" t="e">
        <f>SUM(#REF!)</f>
        <v>#REF!</v>
      </c>
      <c r="Q63" s="673" t="e">
        <f>SUM(#REF!)</f>
        <v>#REF!</v>
      </c>
      <c r="R63" s="673" t="e">
        <f>SUM(#REF!)</f>
        <v>#REF!</v>
      </c>
      <c r="S63" s="673" t="e">
        <f>SUM(#REF!)</f>
        <v>#REF!</v>
      </c>
      <c r="T63" s="673" t="e">
        <f>SUM(#REF!)</f>
        <v>#REF!</v>
      </c>
      <c r="U63" s="673" t="e">
        <f>SUM(#REF!)</f>
        <v>#REF!</v>
      </c>
      <c r="V63" s="673" t="e">
        <f>SUM(#REF!)</f>
        <v>#REF!</v>
      </c>
      <c r="W63" s="673" t="e">
        <f>SUM(#REF!)</f>
        <v>#REF!</v>
      </c>
      <c r="X63" s="671" t="e">
        <f>SUM(L63:W63)</f>
        <v>#REF!</v>
      </c>
    </row>
    <row r="64" spans="4:63" ht="25" customHeight="1" x14ac:dyDescent="0.2">
      <c r="F64"/>
      <c r="J64" s="671" t="s">
        <v>397</v>
      </c>
      <c r="K64" s="671" t="s">
        <v>400</v>
      </c>
      <c r="L64" s="673">
        <f>SUM(P$154:S$154)</f>
        <v>0</v>
      </c>
      <c r="M64" s="673">
        <f>SUM(T$154:W$154)</f>
        <v>0</v>
      </c>
      <c r="N64" s="673">
        <f>SUM(X$154:AA$154)</f>
        <v>0</v>
      </c>
      <c r="O64" s="673">
        <f>SUM(AB$154:AE$154)</f>
        <v>0</v>
      </c>
      <c r="P64" s="673">
        <f>SUM(AF$154:AJ$154)</f>
        <v>0</v>
      </c>
      <c r="Q64" s="673">
        <f>SUM(AK$154:AN$154)</f>
        <v>0</v>
      </c>
      <c r="R64" s="673">
        <f>SUM(AO$154:AS$154)</f>
        <v>0</v>
      </c>
      <c r="S64" s="673">
        <f>SUM(AT$154:AW$154)</f>
        <v>0</v>
      </c>
      <c r="T64" s="673">
        <f>SUM(AX$154:BA$154)</f>
        <v>0</v>
      </c>
      <c r="U64" s="673">
        <f>SUM(BB$154:BF$154)</f>
        <v>0</v>
      </c>
      <c r="V64" s="673">
        <f>SUM(BG$154:BJ$154)</f>
        <v>0</v>
      </c>
      <c r="W64" s="673">
        <f>SUM(BK$154:BO$154)</f>
        <v>0</v>
      </c>
      <c r="X64" s="671">
        <f>SUM(L64:W64)</f>
        <v>0</v>
      </c>
      <c r="BJ64" s="137"/>
      <c r="BK64" s="137"/>
    </row>
    <row r="65" spans="6:63" ht="26" customHeight="1" x14ac:dyDescent="0.2">
      <c r="F65"/>
      <c r="J65" s="671"/>
      <c r="K65" s="671"/>
      <c r="L65" s="673"/>
      <c r="M65" s="673"/>
      <c r="N65" s="673"/>
      <c r="O65" s="673"/>
      <c r="P65" s="673"/>
      <c r="Q65" s="673"/>
      <c r="R65" s="673"/>
      <c r="S65" s="673"/>
      <c r="T65" s="673"/>
      <c r="U65" s="673"/>
      <c r="V65" s="673"/>
      <c r="W65" s="673"/>
      <c r="X65" s="671"/>
      <c r="BJ65" s="137"/>
      <c r="BK65" s="137"/>
    </row>
    <row r="66" spans="6:63" ht="16" customHeight="1" x14ac:dyDescent="0.2">
      <c r="F66"/>
      <c r="J66" s="671" t="s">
        <v>398</v>
      </c>
      <c r="K66" s="671"/>
      <c r="L66" s="675" t="e">
        <f t="shared" ref="L66:X66" si="9">L63/L64</f>
        <v>#REF!</v>
      </c>
      <c r="M66" s="675" t="e">
        <f t="shared" si="9"/>
        <v>#REF!</v>
      </c>
      <c r="N66" s="675" t="e">
        <f t="shared" si="9"/>
        <v>#REF!</v>
      </c>
      <c r="O66" s="675" t="e">
        <f t="shared" si="9"/>
        <v>#REF!</v>
      </c>
      <c r="P66" s="675" t="e">
        <f t="shared" si="9"/>
        <v>#REF!</v>
      </c>
      <c r="Q66" s="675" t="e">
        <f t="shared" si="9"/>
        <v>#REF!</v>
      </c>
      <c r="R66" s="675" t="e">
        <f t="shared" si="9"/>
        <v>#REF!</v>
      </c>
      <c r="S66" s="675" t="e">
        <f t="shared" si="9"/>
        <v>#REF!</v>
      </c>
      <c r="T66" s="675" t="e">
        <f t="shared" si="9"/>
        <v>#REF!</v>
      </c>
      <c r="U66" s="675" t="e">
        <f t="shared" si="9"/>
        <v>#REF!</v>
      </c>
      <c r="V66" s="675" t="e">
        <f t="shared" si="9"/>
        <v>#REF!</v>
      </c>
      <c r="W66" s="675" t="e">
        <f t="shared" si="9"/>
        <v>#REF!</v>
      </c>
      <c r="X66" s="676" t="e">
        <f t="shared" si="9"/>
        <v>#REF!</v>
      </c>
      <c r="BJ66" s="137"/>
      <c r="BK66" s="137"/>
    </row>
    <row r="67" spans="6:63" ht="16" customHeight="1" x14ac:dyDescent="0.2">
      <c r="F67"/>
      <c r="J67" s="671"/>
      <c r="K67" s="671"/>
      <c r="L67" s="673"/>
      <c r="M67" s="673"/>
      <c r="N67" s="673"/>
      <c r="O67" s="673"/>
      <c r="P67" s="673"/>
      <c r="Q67" s="673"/>
      <c r="R67" s="673"/>
      <c r="S67" s="673"/>
      <c r="T67" s="673"/>
      <c r="U67" s="673"/>
      <c r="V67" s="673"/>
      <c r="W67" s="673"/>
      <c r="X67" s="673"/>
      <c r="BJ67" s="137"/>
      <c r="BK67" s="137"/>
    </row>
    <row r="68" spans="6:63" ht="16" customHeight="1" x14ac:dyDescent="0.2">
      <c r="F68"/>
      <c r="J68" s="672" t="s">
        <v>399</v>
      </c>
      <c r="K68" s="672"/>
      <c r="L68" s="674"/>
      <c r="M68" s="674" t="e">
        <f>SUM(L63:M63)</f>
        <v>#REF!</v>
      </c>
      <c r="N68" s="674" t="e">
        <f t="shared" ref="N68:W68" si="10">M68+N63</f>
        <v>#REF!</v>
      </c>
      <c r="O68" s="674" t="e">
        <f t="shared" si="10"/>
        <v>#REF!</v>
      </c>
      <c r="P68" s="674" t="e">
        <f t="shared" si="10"/>
        <v>#REF!</v>
      </c>
      <c r="Q68" s="674" t="e">
        <f t="shared" si="10"/>
        <v>#REF!</v>
      </c>
      <c r="R68" s="674" t="e">
        <f t="shared" si="10"/>
        <v>#REF!</v>
      </c>
      <c r="S68" s="674" t="e">
        <f t="shared" si="10"/>
        <v>#REF!</v>
      </c>
      <c r="T68" s="674" t="e">
        <f t="shared" si="10"/>
        <v>#REF!</v>
      </c>
      <c r="U68" s="674" t="e">
        <f t="shared" si="10"/>
        <v>#REF!</v>
      </c>
      <c r="V68" s="674" t="e">
        <f t="shared" si="10"/>
        <v>#REF!</v>
      </c>
      <c r="W68" s="674" t="e">
        <f t="shared" si="10"/>
        <v>#REF!</v>
      </c>
      <c r="X68" s="674"/>
      <c r="BJ68" s="137"/>
      <c r="BK68" s="137"/>
    </row>
    <row r="69" spans="6:63" ht="16" customHeight="1" x14ac:dyDescent="0.2">
      <c r="F69"/>
      <c r="BJ69" s="137"/>
      <c r="BK69" s="137"/>
    </row>
    <row r="70" spans="6:63" ht="16" customHeight="1" x14ac:dyDescent="0.2">
      <c r="F70"/>
      <c r="BJ70" s="137"/>
      <c r="BK70" s="137"/>
    </row>
    <row r="71" spans="6:63" ht="16" customHeight="1" x14ac:dyDescent="0.2">
      <c r="F71"/>
      <c r="BJ71" s="137"/>
      <c r="BK71" s="137"/>
    </row>
    <row r="72" spans="6:63" ht="16" customHeight="1" x14ac:dyDescent="0.2">
      <c r="F72"/>
      <c r="BJ72" s="137"/>
      <c r="BK72" s="137"/>
    </row>
    <row r="73" spans="6:63" ht="16" customHeight="1" x14ac:dyDescent="0.2">
      <c r="F73"/>
      <c r="BJ73" s="137"/>
      <c r="BK73" s="137"/>
    </row>
    <row r="74" spans="6:63" x14ac:dyDescent="0.2">
      <c r="F74"/>
      <c r="BJ74" s="137"/>
      <c r="BK74" s="137"/>
    </row>
    <row r="75" spans="6:63" x14ac:dyDescent="0.2">
      <c r="F75"/>
      <c r="BJ75" s="137"/>
      <c r="BK75" s="137"/>
    </row>
    <row r="76" spans="6:63" x14ac:dyDescent="0.2">
      <c r="F76"/>
      <c r="BJ76" s="137"/>
      <c r="BK76" s="137"/>
    </row>
    <row r="77" spans="6:63" x14ac:dyDescent="0.2">
      <c r="F77"/>
      <c r="BJ77" s="137"/>
      <c r="BK77" s="137"/>
    </row>
    <row r="78" spans="6:63" x14ac:dyDescent="0.2">
      <c r="F78"/>
      <c r="BJ78" s="137"/>
      <c r="BK78" s="137"/>
    </row>
    <row r="79" spans="6:63" x14ac:dyDescent="0.2">
      <c r="F79"/>
      <c r="BJ79" s="137"/>
      <c r="BK79" s="137"/>
    </row>
    <row r="80" spans="6:63" x14ac:dyDescent="0.2">
      <c r="F80"/>
      <c r="BJ80" s="137"/>
      <c r="BK80" s="137"/>
    </row>
    <row r="81" spans="6:63" x14ac:dyDescent="0.2">
      <c r="F81"/>
      <c r="BJ81" s="137"/>
      <c r="BK81" s="137"/>
    </row>
    <row r="82" spans="6:63" x14ac:dyDescent="0.2">
      <c r="F82"/>
      <c r="BJ82" s="137"/>
      <c r="BK82" s="137"/>
    </row>
    <row r="83" spans="6:63" x14ac:dyDescent="0.2">
      <c r="F83"/>
      <c r="BJ83" s="137"/>
      <c r="BK83" s="137"/>
    </row>
    <row r="84" spans="6:63" x14ac:dyDescent="0.2">
      <c r="F84"/>
      <c r="BJ84" s="137"/>
      <c r="BK84" s="137"/>
    </row>
    <row r="85" spans="6:63" x14ac:dyDescent="0.2">
      <c r="F85"/>
      <c r="BJ85" s="137"/>
      <c r="BK85" s="137"/>
    </row>
    <row r="86" spans="6:63" x14ac:dyDescent="0.2">
      <c r="F86"/>
      <c r="BJ86" s="137"/>
      <c r="BK86" s="137"/>
    </row>
    <row r="87" spans="6:63" ht="21" customHeight="1" x14ac:dyDescent="0.2">
      <c r="F87"/>
      <c r="BJ87" s="137"/>
      <c r="BK87" s="137"/>
    </row>
    <row r="92" spans="6:63" x14ac:dyDescent="0.2">
      <c r="BH92"/>
      <c r="BI92"/>
    </row>
    <row r="93" spans="6:63" x14ac:dyDescent="0.2">
      <c r="BH93"/>
      <c r="BI93"/>
    </row>
    <row r="94" spans="6:63" x14ac:dyDescent="0.2">
      <c r="BH94"/>
      <c r="BI94"/>
    </row>
    <row r="95" spans="6:63" x14ac:dyDescent="0.2">
      <c r="BH95"/>
      <c r="BI95"/>
    </row>
    <row r="96" spans="6:63" x14ac:dyDescent="0.2">
      <c r="BD96"/>
      <c r="BE96"/>
      <c r="BF96"/>
      <c r="BG96"/>
      <c r="BH96"/>
      <c r="BI96"/>
    </row>
    <row r="97" spans="6:61" s="89" customFormat="1" x14ac:dyDescent="0.2">
      <c r="F97" s="251"/>
      <c r="G97" s="251"/>
      <c r="H97" s="251"/>
      <c r="I97" s="251"/>
      <c r="J97" s="251"/>
      <c r="K97" s="251"/>
      <c r="L97" s="251"/>
      <c r="M97" s="251"/>
      <c r="N97" s="251"/>
      <c r="O97" s="251"/>
      <c r="P97" s="251"/>
      <c r="Q97" s="251"/>
      <c r="R97" s="251"/>
      <c r="S97" s="251"/>
      <c r="T97" s="251"/>
      <c r="U97" s="251"/>
      <c r="V97" s="251"/>
      <c r="W97" s="251"/>
      <c r="X97" s="251"/>
      <c r="Y97" s="251"/>
      <c r="Z97" s="251"/>
      <c r="AA97" s="251"/>
      <c r="AB97" s="251"/>
      <c r="AC97" s="251"/>
      <c r="AD97" s="251"/>
      <c r="AE97" s="251"/>
      <c r="AF97" s="251"/>
      <c r="AG97" s="251"/>
      <c r="AH97" s="251"/>
      <c r="AI97" s="251"/>
      <c r="AJ97" s="251"/>
      <c r="AK97" s="251"/>
      <c r="AL97" s="251"/>
      <c r="AM97" s="251"/>
      <c r="AN97" s="251"/>
      <c r="AO97" s="251"/>
      <c r="AP97" s="251"/>
      <c r="AQ97" s="251"/>
      <c r="AR97" s="251"/>
      <c r="AS97" s="251"/>
      <c r="AT97" s="251"/>
      <c r="AU97" s="251"/>
      <c r="AV97" s="251"/>
      <c r="AW97" s="251"/>
      <c r="AX97" s="251"/>
      <c r="AY97" s="251"/>
      <c r="AZ97" s="251"/>
      <c r="BA97" s="251"/>
      <c r="BB97" s="251"/>
      <c r="BC97" s="251"/>
    </row>
    <row r="98" spans="6:61" s="89" customFormat="1" x14ac:dyDescent="0.2">
      <c r="F98" s="251"/>
      <c r="G98" s="251"/>
      <c r="H98" s="251"/>
      <c r="I98" s="251"/>
      <c r="J98" s="251"/>
      <c r="K98" s="251"/>
      <c r="L98" s="251"/>
      <c r="M98" s="251"/>
      <c r="N98" s="251"/>
      <c r="O98" s="251"/>
      <c r="P98" s="251"/>
      <c r="Q98" s="251"/>
      <c r="R98" s="251"/>
      <c r="S98" s="251"/>
      <c r="T98" s="251"/>
      <c r="U98" s="251"/>
      <c r="V98" s="251"/>
      <c r="W98" s="251"/>
      <c r="X98" s="251"/>
      <c r="Y98" s="251"/>
      <c r="Z98" s="251"/>
      <c r="AA98" s="251"/>
      <c r="AB98" s="251"/>
      <c r="AC98" s="251"/>
      <c r="AD98" s="251"/>
      <c r="AE98" s="251"/>
      <c r="AF98" s="251"/>
      <c r="AG98" s="251"/>
      <c r="AH98" s="251"/>
      <c r="AI98" s="251"/>
      <c r="AJ98" s="251"/>
      <c r="AK98" s="251"/>
      <c r="AL98" s="251"/>
      <c r="AM98" s="251"/>
      <c r="AN98" s="251"/>
      <c r="AO98" s="251"/>
      <c r="AP98" s="251"/>
      <c r="AQ98" s="251"/>
      <c r="AR98" s="251"/>
      <c r="AS98" s="251"/>
      <c r="AT98" s="251"/>
      <c r="AU98" s="251"/>
      <c r="AV98" s="251"/>
      <c r="AW98" s="251"/>
      <c r="AX98" s="251"/>
      <c r="AY98" s="251"/>
      <c r="AZ98" s="251"/>
      <c r="BA98" s="251"/>
      <c r="BB98" s="251"/>
      <c r="BC98" s="251"/>
    </row>
    <row r="99" spans="6:61" s="89" customFormat="1" x14ac:dyDescent="0.2">
      <c r="F99" s="251"/>
      <c r="G99" s="251"/>
      <c r="H99" s="251"/>
      <c r="I99" s="251"/>
      <c r="J99" s="251"/>
      <c r="K99" s="251"/>
      <c r="L99" s="251"/>
      <c r="M99" s="251"/>
      <c r="N99" s="251"/>
      <c r="O99" s="251"/>
      <c r="P99" s="251"/>
      <c r="Q99" s="251"/>
      <c r="R99" s="251"/>
      <c r="S99" s="251"/>
      <c r="T99" s="251"/>
      <c r="U99" s="251"/>
      <c r="V99" s="251"/>
      <c r="W99" s="251"/>
      <c r="X99" s="251"/>
      <c r="Y99" s="251"/>
      <c r="Z99" s="251"/>
      <c r="AA99" s="251"/>
      <c r="AB99" s="251"/>
      <c r="AC99" s="251"/>
      <c r="AD99" s="251"/>
      <c r="AE99" s="251"/>
      <c r="AF99" s="251"/>
      <c r="AG99" s="251"/>
      <c r="AH99" s="251"/>
      <c r="AI99" s="251"/>
      <c r="AJ99" s="251"/>
      <c r="AK99" s="251"/>
      <c r="AL99" s="251"/>
      <c r="AM99" s="251"/>
      <c r="AN99" s="251"/>
      <c r="AO99" s="251"/>
      <c r="AP99" s="251"/>
      <c r="AQ99" s="251"/>
      <c r="AR99" s="251"/>
      <c r="AS99" s="251"/>
      <c r="AT99" s="251"/>
      <c r="AU99" s="251"/>
      <c r="AV99" s="251"/>
      <c r="AW99" s="251"/>
      <c r="AX99" s="251"/>
      <c r="AY99" s="251"/>
      <c r="AZ99" s="251"/>
      <c r="BA99" s="251"/>
      <c r="BB99" s="251"/>
      <c r="BC99" s="251"/>
    </row>
    <row r="100" spans="6:61" s="89" customFormat="1" x14ac:dyDescent="0.2">
      <c r="F100" s="251"/>
      <c r="G100" s="251"/>
      <c r="H100" s="251"/>
      <c r="I100" s="251"/>
      <c r="J100" s="251"/>
      <c r="K100" s="251"/>
      <c r="L100" s="251"/>
      <c r="M100" s="251"/>
      <c r="N100" s="251"/>
      <c r="O100" s="251"/>
      <c r="P100" s="251"/>
      <c r="Q100" s="251"/>
      <c r="R100" s="251"/>
      <c r="S100" s="251"/>
      <c r="T100" s="251"/>
      <c r="U100" s="251"/>
      <c r="V100" s="251"/>
      <c r="W100" s="251"/>
      <c r="X100" s="251"/>
      <c r="Y100" s="251"/>
      <c r="Z100" s="251"/>
      <c r="AA100" s="251"/>
      <c r="AB100" s="251"/>
      <c r="AC100" s="251"/>
      <c r="AD100" s="251"/>
      <c r="AE100" s="251"/>
      <c r="AF100" s="251"/>
      <c r="AG100" s="251"/>
      <c r="AH100" s="251"/>
      <c r="AI100" s="251"/>
      <c r="AJ100" s="251"/>
      <c r="AK100" s="251"/>
      <c r="AL100" s="251"/>
      <c r="AM100" s="251"/>
      <c r="AN100" s="251"/>
      <c r="AO100" s="251"/>
      <c r="AP100" s="251"/>
      <c r="AQ100" s="251"/>
      <c r="AR100" s="251"/>
      <c r="AS100" s="251"/>
      <c r="AT100" s="251"/>
      <c r="AU100" s="251"/>
      <c r="AV100" s="251"/>
      <c r="AW100" s="251"/>
      <c r="AX100" s="251"/>
      <c r="AY100" s="251"/>
      <c r="AZ100" s="251"/>
      <c r="BA100" s="251"/>
      <c r="BB100" s="251"/>
      <c r="BC100" s="251"/>
    </row>
    <row r="101" spans="6:61" s="89" customFormat="1" x14ac:dyDescent="0.2">
      <c r="F101" s="251"/>
      <c r="G101" s="251"/>
      <c r="H101" s="251"/>
      <c r="I101" s="251"/>
      <c r="J101" s="251"/>
      <c r="K101" s="251"/>
      <c r="L101" s="251"/>
      <c r="M101" s="251"/>
      <c r="N101" s="251"/>
      <c r="O101" s="251"/>
      <c r="P101" s="251"/>
      <c r="Q101" s="251"/>
      <c r="R101" s="251"/>
      <c r="S101" s="251"/>
      <c r="T101" s="251"/>
      <c r="U101" s="251"/>
      <c r="V101" s="251"/>
      <c r="W101" s="251"/>
      <c r="X101" s="251"/>
      <c r="Y101" s="251"/>
      <c r="Z101" s="251"/>
      <c r="AA101" s="251"/>
      <c r="AB101" s="251"/>
      <c r="AC101" s="251"/>
      <c r="AD101" s="251"/>
      <c r="AE101" s="251"/>
      <c r="AF101" s="251"/>
      <c r="AG101" s="251"/>
      <c r="AH101" s="251"/>
      <c r="AI101" s="251"/>
      <c r="AJ101" s="251"/>
      <c r="AK101" s="251"/>
      <c r="AL101" s="251"/>
      <c r="AM101" s="251"/>
      <c r="AN101" s="251"/>
      <c r="AO101" s="251"/>
      <c r="AP101" s="251"/>
      <c r="AQ101" s="251"/>
      <c r="AR101" s="251"/>
      <c r="AS101" s="251"/>
      <c r="AT101" s="251"/>
      <c r="AU101" s="251"/>
      <c r="AV101" s="251"/>
      <c r="AW101" s="251"/>
      <c r="AX101" s="251"/>
      <c r="AY101" s="251"/>
      <c r="AZ101" s="251"/>
      <c r="BA101" s="251"/>
      <c r="BB101" s="251"/>
      <c r="BC101" s="251"/>
    </row>
    <row r="102" spans="6:61" s="89" customFormat="1" x14ac:dyDescent="0.2">
      <c r="F102" s="251"/>
      <c r="G102" s="251"/>
      <c r="H102" s="251"/>
      <c r="I102" s="251"/>
      <c r="J102" s="251"/>
      <c r="K102" s="251"/>
      <c r="L102" s="251"/>
      <c r="M102" s="251"/>
      <c r="N102" s="251"/>
      <c r="O102" s="251"/>
      <c r="P102" s="251"/>
      <c r="Q102" s="251"/>
      <c r="R102" s="251"/>
      <c r="S102" s="251"/>
      <c r="T102" s="251"/>
      <c r="U102" s="251"/>
      <c r="V102" s="251"/>
      <c r="W102" s="251"/>
      <c r="X102" s="251"/>
      <c r="Y102" s="251"/>
      <c r="Z102" s="251"/>
      <c r="AA102" s="251"/>
      <c r="AB102" s="251"/>
      <c r="AC102" s="251"/>
      <c r="AD102" s="251"/>
      <c r="AE102" s="251"/>
      <c r="AF102" s="251"/>
      <c r="AG102" s="251"/>
      <c r="AH102" s="251"/>
      <c r="AI102" s="251"/>
      <c r="AJ102" s="251"/>
      <c r="AK102" s="251"/>
      <c r="AL102" s="251"/>
      <c r="AM102" s="251"/>
      <c r="AN102" s="251"/>
      <c r="AO102" s="251"/>
      <c r="AP102" s="251"/>
      <c r="AQ102" s="251"/>
      <c r="AR102" s="251"/>
      <c r="AS102" s="251"/>
      <c r="AT102" s="251"/>
      <c r="AU102" s="251"/>
      <c r="AV102" s="251"/>
      <c r="AW102" s="251"/>
      <c r="AX102" s="251"/>
      <c r="AY102" s="251"/>
      <c r="AZ102" s="251"/>
      <c r="BA102" s="251"/>
      <c r="BB102" s="251"/>
      <c r="BC102" s="251"/>
    </row>
    <row r="103" spans="6:61" s="89" customFormat="1" x14ac:dyDescent="0.2">
      <c r="F103" s="251"/>
      <c r="G103" s="251"/>
      <c r="H103" s="251"/>
      <c r="I103" s="251"/>
      <c r="J103" s="251"/>
      <c r="K103" s="251"/>
      <c r="L103" s="251"/>
      <c r="M103" s="251"/>
      <c r="N103" s="251"/>
      <c r="O103" s="251"/>
      <c r="P103" s="251"/>
      <c r="Q103" s="251"/>
      <c r="R103" s="251"/>
      <c r="S103" s="251"/>
      <c r="T103" s="251"/>
      <c r="U103" s="251"/>
      <c r="V103" s="251"/>
      <c r="W103" s="251"/>
      <c r="X103" s="251"/>
      <c r="Y103" s="251"/>
      <c r="Z103" s="251"/>
      <c r="AA103" s="251"/>
      <c r="AB103" s="251"/>
      <c r="AC103" s="251"/>
      <c r="AD103" s="251"/>
      <c r="AE103" s="251"/>
      <c r="AF103" s="251"/>
      <c r="AG103" s="251"/>
      <c r="AH103" s="251"/>
      <c r="AI103" s="251"/>
      <c r="AJ103" s="251"/>
      <c r="AK103" s="251"/>
      <c r="AL103" s="251"/>
      <c r="AM103" s="251"/>
      <c r="AN103" s="251"/>
      <c r="AO103" s="251"/>
      <c r="AP103" s="251"/>
      <c r="AQ103" s="251"/>
      <c r="AR103" s="251"/>
      <c r="AS103" s="251"/>
      <c r="AT103" s="251"/>
      <c r="AU103" s="251"/>
      <c r="AV103" s="251"/>
      <c r="AW103" s="251"/>
      <c r="AX103" s="251"/>
      <c r="AY103" s="251"/>
      <c r="AZ103" s="251"/>
      <c r="BA103" s="251"/>
      <c r="BB103" s="251"/>
      <c r="BC103" s="251"/>
    </row>
    <row r="104" spans="6:61" s="254" customFormat="1" x14ac:dyDescent="0.2">
      <c r="F104" s="255"/>
      <c r="G104" s="255"/>
      <c r="H104" s="255"/>
      <c r="I104" s="255"/>
      <c r="J104" s="255"/>
      <c r="K104" s="255"/>
      <c r="L104" s="255"/>
      <c r="M104" s="255"/>
      <c r="N104" s="255"/>
      <c r="O104" s="255"/>
      <c r="P104" s="255"/>
      <c r="Q104" s="255"/>
      <c r="R104" s="255"/>
      <c r="S104" s="255"/>
      <c r="T104" s="255"/>
      <c r="U104" s="255"/>
      <c r="V104" s="255"/>
      <c r="W104" s="255"/>
      <c r="X104" s="255"/>
      <c r="Y104" s="255"/>
      <c r="Z104" s="255"/>
      <c r="AA104" s="255"/>
      <c r="AB104" s="255"/>
      <c r="AC104" s="255"/>
      <c r="AD104" s="255"/>
      <c r="AE104" s="255"/>
      <c r="AF104" s="255"/>
      <c r="AG104" s="255"/>
      <c r="AH104" s="255"/>
      <c r="AI104" s="255"/>
      <c r="AJ104" s="255"/>
      <c r="AK104" s="255"/>
      <c r="AL104" s="255"/>
      <c r="AM104" s="255"/>
      <c r="AN104" s="255"/>
      <c r="AO104" s="255"/>
      <c r="AP104" s="255"/>
      <c r="AQ104" s="255"/>
      <c r="AR104" s="255"/>
      <c r="AS104" s="255"/>
      <c r="AT104" s="255"/>
      <c r="AU104" s="255"/>
      <c r="AV104" s="255"/>
      <c r="AW104" s="255"/>
      <c r="AX104" s="255"/>
      <c r="AY104" s="255"/>
      <c r="AZ104" s="255"/>
      <c r="BA104" s="255"/>
      <c r="BB104" s="255"/>
      <c r="BC104" s="255"/>
    </row>
    <row r="105" spans="6:61" s="252" customFormat="1" x14ac:dyDescent="0.2">
      <c r="F105" s="253"/>
      <c r="G105" s="253"/>
      <c r="H105" s="253"/>
      <c r="I105" s="253"/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  <c r="V105" s="253"/>
      <c r="W105" s="253"/>
      <c r="X105" s="253"/>
      <c r="Y105" s="253"/>
      <c r="Z105" s="253"/>
      <c r="AA105" s="253"/>
      <c r="AB105" s="253"/>
      <c r="AC105" s="253"/>
      <c r="AD105" s="253"/>
      <c r="AE105" s="253"/>
      <c r="AF105" s="253"/>
      <c r="AG105" s="253"/>
      <c r="AH105" s="253"/>
      <c r="AI105" s="253"/>
      <c r="AJ105" s="253"/>
      <c r="AK105" s="253"/>
      <c r="AL105" s="253"/>
      <c r="AM105" s="253"/>
      <c r="AN105" s="253"/>
      <c r="AO105" s="253"/>
      <c r="AP105" s="253"/>
      <c r="AQ105" s="253"/>
      <c r="AR105" s="253"/>
      <c r="AS105" s="253"/>
      <c r="AT105" s="253"/>
      <c r="AU105" s="253"/>
      <c r="AV105" s="253"/>
      <c r="AW105" s="253"/>
      <c r="AX105" s="253"/>
      <c r="AY105" s="253"/>
      <c r="AZ105" s="253"/>
      <c r="BA105" s="253"/>
      <c r="BB105" s="253"/>
      <c r="BC105" s="253"/>
      <c r="BD105" s="253"/>
      <c r="BE105" s="253"/>
      <c r="BF105" s="253"/>
    </row>
    <row r="106" spans="6:61" s="252" customFormat="1" x14ac:dyDescent="0.2">
      <c r="F106" s="253"/>
      <c r="G106" s="253"/>
      <c r="H106" s="253"/>
      <c r="I106" s="253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253"/>
      <c r="Z106" s="253"/>
      <c r="AA106" s="253"/>
      <c r="AB106" s="253"/>
      <c r="AC106" s="253"/>
      <c r="AD106" s="253"/>
      <c r="AE106" s="253"/>
      <c r="AF106" s="253"/>
      <c r="AG106" s="253"/>
      <c r="AH106" s="253"/>
      <c r="AI106" s="253"/>
      <c r="AJ106" s="253"/>
      <c r="AK106" s="253"/>
      <c r="AL106" s="253"/>
      <c r="AM106" s="253"/>
      <c r="AN106" s="253"/>
      <c r="AO106" s="253"/>
      <c r="AP106" s="253"/>
      <c r="AQ106" s="253"/>
      <c r="AR106" s="253"/>
      <c r="AS106" s="253"/>
      <c r="AT106" s="253"/>
      <c r="AU106" s="253"/>
      <c r="AV106" s="253"/>
      <c r="AW106" s="253"/>
      <c r="AX106" s="253"/>
      <c r="AY106" s="253"/>
      <c r="AZ106" s="253"/>
      <c r="BA106" s="253"/>
      <c r="BB106" s="253"/>
      <c r="BC106" s="253"/>
      <c r="BD106" s="253"/>
      <c r="BE106" s="253"/>
      <c r="BF106" s="253"/>
      <c r="BG106" s="253"/>
      <c r="BH106" s="253"/>
      <c r="BI106" s="253"/>
    </row>
    <row r="115" ht="19" customHeight="1" x14ac:dyDescent="0.2"/>
    <row r="116" ht="81" customHeight="1" x14ac:dyDescent="0.2"/>
    <row r="117" ht="34" customHeight="1" x14ac:dyDescent="0.2"/>
    <row r="120" ht="34" customHeight="1" x14ac:dyDescent="0.2"/>
    <row r="139" spans="6:61" s="89" customFormat="1" x14ac:dyDescent="0.2">
      <c r="F139" s="251"/>
      <c r="G139" s="251"/>
      <c r="H139" s="251"/>
      <c r="I139" s="251"/>
      <c r="J139" s="251"/>
      <c r="K139" s="251"/>
      <c r="L139" s="251"/>
      <c r="M139" s="251"/>
      <c r="N139" s="251"/>
      <c r="O139" s="251"/>
      <c r="P139" s="251"/>
      <c r="Q139" s="251"/>
      <c r="R139" s="251"/>
      <c r="S139" s="251"/>
      <c r="T139" s="251"/>
      <c r="U139" s="251"/>
      <c r="V139" s="251"/>
      <c r="W139" s="251"/>
      <c r="X139" s="251"/>
      <c r="Y139" s="251"/>
      <c r="Z139" s="251"/>
      <c r="AA139" s="251"/>
      <c r="AB139" s="251"/>
      <c r="AC139" s="251"/>
      <c r="AD139" s="251"/>
      <c r="AE139" s="251"/>
      <c r="AF139" s="251"/>
      <c r="AG139" s="251"/>
      <c r="AH139" s="251"/>
      <c r="AI139" s="251"/>
      <c r="AJ139" s="251"/>
      <c r="AK139" s="251"/>
      <c r="AL139" s="251"/>
      <c r="AM139" s="251"/>
      <c r="AN139" s="251"/>
      <c r="AO139" s="251"/>
      <c r="AP139" s="251"/>
      <c r="AQ139" s="251"/>
      <c r="AR139" s="251"/>
      <c r="AS139" s="251"/>
      <c r="AT139" s="251"/>
      <c r="AU139" s="251"/>
      <c r="AV139" s="251"/>
      <c r="AW139" s="251"/>
      <c r="AX139" s="251"/>
      <c r="AY139" s="251"/>
      <c r="AZ139" s="251"/>
      <c r="BA139" s="251"/>
      <c r="BB139" s="251"/>
      <c r="BC139" s="251"/>
      <c r="BD139" s="251"/>
      <c r="BE139" s="251"/>
      <c r="BF139" s="251"/>
      <c r="BG139" s="251"/>
      <c r="BH139" s="251"/>
      <c r="BI139" s="251"/>
    </row>
    <row r="140" spans="6:61" s="89" customFormat="1" x14ac:dyDescent="0.2">
      <c r="F140" s="251"/>
      <c r="G140" s="251"/>
      <c r="H140" s="251"/>
      <c r="I140" s="251"/>
      <c r="J140" s="251"/>
      <c r="K140" s="251"/>
      <c r="L140" s="251"/>
      <c r="M140" s="251"/>
      <c r="N140" s="251"/>
      <c r="O140" s="251"/>
      <c r="P140" s="251"/>
      <c r="Q140" s="251"/>
      <c r="R140" s="251"/>
      <c r="S140" s="251"/>
      <c r="T140" s="251"/>
      <c r="U140" s="251"/>
      <c r="V140" s="251"/>
      <c r="W140" s="251"/>
      <c r="X140" s="251"/>
      <c r="Y140" s="251"/>
      <c r="Z140" s="251"/>
      <c r="AA140" s="251"/>
      <c r="AB140" s="251"/>
      <c r="AC140" s="251"/>
      <c r="AD140" s="251"/>
      <c r="AE140" s="251"/>
      <c r="AF140" s="251"/>
      <c r="AG140" s="251"/>
      <c r="AH140" s="251"/>
      <c r="AI140" s="251"/>
      <c r="AJ140" s="251"/>
      <c r="AK140" s="251"/>
      <c r="AL140" s="251"/>
      <c r="AM140" s="251"/>
      <c r="AN140" s="251"/>
      <c r="AO140" s="251"/>
      <c r="AP140" s="251"/>
      <c r="AQ140" s="251"/>
      <c r="AR140" s="251"/>
      <c r="AS140" s="251"/>
      <c r="AT140" s="251"/>
      <c r="AU140" s="251"/>
      <c r="AV140" s="251"/>
      <c r="AW140" s="251"/>
      <c r="AX140" s="251"/>
      <c r="AY140" s="251"/>
      <c r="AZ140" s="251"/>
      <c r="BA140" s="251"/>
      <c r="BB140" s="251"/>
      <c r="BC140" s="251"/>
      <c r="BD140" s="251"/>
      <c r="BE140" s="251"/>
      <c r="BF140" s="251"/>
      <c r="BG140" s="251"/>
      <c r="BH140" s="251"/>
      <c r="BI140" s="251"/>
    </row>
    <row r="141" spans="6:61" s="89" customFormat="1" x14ac:dyDescent="0.2">
      <c r="F141" s="251"/>
      <c r="G141" s="251"/>
      <c r="H141" s="251"/>
      <c r="I141" s="251"/>
      <c r="J141" s="251"/>
      <c r="K141" s="251"/>
      <c r="L141" s="251"/>
      <c r="M141" s="251"/>
      <c r="N141" s="251"/>
      <c r="O141" s="251"/>
      <c r="P141" s="251"/>
      <c r="Q141" s="251"/>
      <c r="R141" s="251"/>
      <c r="S141" s="251"/>
      <c r="T141" s="251"/>
      <c r="U141" s="251"/>
      <c r="V141" s="251"/>
      <c r="W141" s="251"/>
      <c r="X141" s="251"/>
      <c r="Y141" s="251"/>
      <c r="Z141" s="251"/>
      <c r="AA141" s="251"/>
      <c r="AB141" s="251"/>
      <c r="AC141" s="251"/>
      <c r="AD141" s="251"/>
      <c r="AE141" s="251"/>
      <c r="AF141" s="251"/>
      <c r="AG141" s="251"/>
      <c r="AH141" s="251"/>
      <c r="AI141" s="251"/>
      <c r="AJ141" s="251"/>
      <c r="AK141" s="251"/>
      <c r="AL141" s="251"/>
      <c r="AM141" s="251"/>
      <c r="AN141" s="251"/>
      <c r="AO141" s="251"/>
      <c r="AP141" s="251"/>
      <c r="AQ141" s="251"/>
      <c r="AR141" s="251"/>
      <c r="AS141" s="251"/>
      <c r="AT141" s="251"/>
      <c r="AU141" s="251"/>
      <c r="AV141" s="251"/>
      <c r="AW141" s="251"/>
      <c r="AX141" s="251"/>
      <c r="AY141" s="251"/>
      <c r="AZ141" s="251"/>
      <c r="BA141" s="251"/>
      <c r="BB141" s="251"/>
      <c r="BC141" s="251"/>
      <c r="BD141" s="251"/>
      <c r="BE141" s="251"/>
      <c r="BF141" s="251"/>
      <c r="BG141" s="251"/>
      <c r="BH141" s="251"/>
      <c r="BI141" s="251"/>
    </row>
    <row r="142" spans="6:61" s="89" customFormat="1" x14ac:dyDescent="0.2">
      <c r="F142" s="251"/>
      <c r="G142" s="251"/>
      <c r="H142" s="251"/>
      <c r="I142" s="251"/>
      <c r="J142" s="251"/>
      <c r="K142" s="251"/>
      <c r="L142" s="251"/>
      <c r="M142" s="251"/>
      <c r="N142" s="251"/>
      <c r="O142" s="251"/>
      <c r="P142" s="251"/>
      <c r="Q142" s="251"/>
      <c r="R142" s="251"/>
      <c r="S142" s="251"/>
      <c r="T142" s="251"/>
      <c r="U142" s="251"/>
      <c r="V142" s="251"/>
      <c r="W142" s="251"/>
      <c r="X142" s="251"/>
      <c r="Y142" s="251"/>
      <c r="Z142" s="251"/>
      <c r="AA142" s="251"/>
      <c r="AB142" s="251"/>
      <c r="AC142" s="251"/>
      <c r="AD142" s="251"/>
      <c r="AE142" s="251"/>
      <c r="AF142" s="251"/>
      <c r="AG142" s="251"/>
      <c r="AH142" s="251"/>
      <c r="AI142" s="251"/>
      <c r="AJ142" s="251"/>
      <c r="AK142" s="251"/>
      <c r="AL142" s="251"/>
      <c r="AM142" s="251"/>
      <c r="AN142" s="251"/>
      <c r="AO142" s="251"/>
      <c r="AP142" s="251"/>
      <c r="AQ142" s="251"/>
      <c r="AR142" s="251"/>
      <c r="AS142" s="251"/>
      <c r="AT142" s="251"/>
      <c r="AU142" s="251"/>
      <c r="AV142" s="251"/>
      <c r="AW142" s="251"/>
      <c r="AX142" s="251"/>
      <c r="AY142" s="251"/>
      <c r="AZ142" s="251"/>
      <c r="BA142" s="251"/>
      <c r="BB142" s="251"/>
      <c r="BC142" s="251"/>
      <c r="BD142" s="251"/>
      <c r="BE142" s="251"/>
      <c r="BF142" s="251"/>
      <c r="BG142" s="251"/>
      <c r="BH142" s="251"/>
      <c r="BI142" s="251"/>
    </row>
  </sheetData>
  <mergeCells count="18">
    <mergeCell ref="AW2:BI2"/>
    <mergeCell ref="BE5:BI5"/>
    <mergeCell ref="J5:M5"/>
    <mergeCell ref="E2:I2"/>
    <mergeCell ref="BA5:BD5"/>
    <mergeCell ref="AR5:AV5"/>
    <mergeCell ref="AW5:AZ5"/>
    <mergeCell ref="J2:V2"/>
    <mergeCell ref="W2:AI2"/>
    <mergeCell ref="AJ2:AV2"/>
    <mergeCell ref="AN5:AQ5"/>
    <mergeCell ref="AI5:AM5"/>
    <mergeCell ref="E5:I5"/>
    <mergeCell ref="N5:Q5"/>
    <mergeCell ref="R5:U5"/>
    <mergeCell ref="V5:Z5"/>
    <mergeCell ref="AA5:AD5"/>
    <mergeCell ref="AE5:AH5"/>
  </mergeCells>
  <phoneticPr fontId="3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24574D-05AA-F748-8F6D-46C568088B78}">
          <x14:formula1>
            <xm:f>_xlfn.ANCHORARRAY(DataValidation!$H$4)</xm:f>
          </x14:formula1>
          <xm:sqref>B6:B30</xm:sqref>
        </x14:dataValidation>
        <x14:dataValidation type="list" allowBlank="1" showInputMessage="1" showErrorMessage="1" xr:uid="{514F6DCF-6B06-F84D-B896-5F0FA119A7E9}">
          <x14:formula1>
            <xm:f>_xlfn.ANCHORARRAY(_xlfn.XLOOKUP($B6,_xlfn.ANCHORARRAY(DataValidation!$H$4),DataValidation!$H$5:$O$5))</xm:f>
          </x14:formula1>
          <xm:sqref>C6:C30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0C9E2-1E34-48A8-B4C5-158EB45D4ECC}">
  <sheetPr codeName="Sheet5"/>
  <dimension ref="B1:W238"/>
  <sheetViews>
    <sheetView topLeftCell="E1" zoomScale="113" workbookViewId="0">
      <selection activeCell="L33" sqref="L33"/>
    </sheetView>
  </sheetViews>
  <sheetFormatPr baseColWidth="10" defaultColWidth="8.83203125" defaultRowHeight="15" x14ac:dyDescent="0.2"/>
  <cols>
    <col min="2" max="2" width="19" customWidth="1"/>
    <col min="3" max="3" width="13.33203125" customWidth="1"/>
    <col min="4" max="4" width="14" bestFit="1" customWidth="1"/>
    <col min="5" max="6" width="15.1640625" bestFit="1" customWidth="1"/>
    <col min="7" max="7" width="32.1640625" bestFit="1" customWidth="1"/>
    <col min="8" max="8" width="15.1640625" bestFit="1" customWidth="1"/>
    <col min="9" max="9" width="15.5" bestFit="1" customWidth="1"/>
    <col min="10" max="10" width="13.83203125" bestFit="1" customWidth="1"/>
    <col min="11" max="11" width="17.5" bestFit="1" customWidth="1"/>
    <col min="12" max="12" width="15.1640625" bestFit="1" customWidth="1"/>
    <col min="13" max="13" width="15.5" bestFit="1" customWidth="1"/>
    <col min="14" max="14" width="15.1640625" bestFit="1" customWidth="1"/>
    <col min="15" max="15" width="15.5" bestFit="1" customWidth="1"/>
    <col min="16" max="16" width="18.6640625" bestFit="1" customWidth="1"/>
    <col min="17" max="17" width="9.83203125" bestFit="1" customWidth="1"/>
    <col min="18" max="21" width="8.83203125" bestFit="1" customWidth="1"/>
  </cols>
  <sheetData>
    <row r="1" spans="2:23" ht="20" thickBot="1" x14ac:dyDescent="0.25">
      <c r="B1" s="896"/>
      <c r="C1" s="896"/>
      <c r="D1" s="896" t="s">
        <v>453</v>
      </c>
      <c r="E1" s="897"/>
      <c r="F1" s="898"/>
      <c r="G1" s="802"/>
      <c r="H1" s="901" t="str">
        <f>year&amp;" Q1"</f>
        <v>2026 Q1</v>
      </c>
      <c r="I1" s="902"/>
      <c r="J1" s="901" t="str">
        <f>year&amp;" Q2"</f>
        <v>2026 Q2</v>
      </c>
      <c r="K1" s="902"/>
      <c r="L1" s="901" t="str">
        <f>year&amp;" Q3"</f>
        <v>2026 Q3</v>
      </c>
      <c r="M1" s="902"/>
      <c r="N1" s="901" t="str">
        <f>year&amp;" Q4"</f>
        <v>2026 Q4</v>
      </c>
      <c r="O1" s="902"/>
      <c r="Q1" s="885" t="s">
        <v>454</v>
      </c>
      <c r="R1" s="886"/>
      <c r="S1" s="886"/>
      <c r="T1" s="886"/>
      <c r="U1" s="887"/>
    </row>
    <row r="2" spans="2:23" ht="16" thickBot="1" x14ac:dyDescent="0.25">
      <c r="B2" s="903" t="s">
        <v>319</v>
      </c>
      <c r="C2" s="903" t="s">
        <v>276</v>
      </c>
      <c r="D2" s="903" t="s">
        <v>455</v>
      </c>
      <c r="E2" s="903" t="s">
        <v>456</v>
      </c>
      <c r="F2" s="906" t="s">
        <v>457</v>
      </c>
      <c r="G2" s="916" t="s">
        <v>451</v>
      </c>
      <c r="H2" s="916" t="s">
        <v>458</v>
      </c>
      <c r="I2" s="917" t="s">
        <v>459</v>
      </c>
      <c r="J2" s="726" t="s">
        <v>458</v>
      </c>
      <c r="K2" s="804" t="s">
        <v>459</v>
      </c>
      <c r="L2" s="726" t="s">
        <v>458</v>
      </c>
      <c r="M2" s="804" t="s">
        <v>459</v>
      </c>
      <c r="N2" s="805" t="s">
        <v>458</v>
      </c>
      <c r="O2" s="804" t="s">
        <v>459</v>
      </c>
      <c r="Q2" s="920"/>
      <c r="R2" s="851" t="s">
        <v>460</v>
      </c>
      <c r="S2" s="851" t="s">
        <v>461</v>
      </c>
      <c r="T2" s="851" t="s">
        <v>462</v>
      </c>
      <c r="U2" s="921" t="s">
        <v>463</v>
      </c>
      <c r="W2" s="654" t="s">
        <v>464</v>
      </c>
    </row>
    <row r="3" spans="2:23" x14ac:dyDescent="0.2">
      <c r="B3" s="904" t="str">
        <f>'New summary'!B6</f>
        <v>Brunt</v>
      </c>
      <c r="C3" s="912" t="str">
        <f>'New summary'!C6</f>
        <v>ST</v>
      </c>
      <c r="D3" s="907">
        <f>'[3]2026 Brunt'!$I$3</f>
        <v>39.369999999999997</v>
      </c>
      <c r="E3" s="907">
        <f>+'[4]Master List- 2026 '!$D$36</f>
        <v>84.37</v>
      </c>
      <c r="F3" s="908">
        <f t="shared" ref="F3:F10" si="0">+E3-D3</f>
        <v>45.000000000000007</v>
      </c>
      <c r="G3" s="930" t="str">
        <f>B3&amp;" "&amp;C3</f>
        <v>Brunt ST</v>
      </c>
      <c r="H3" s="286">
        <f>SUM('New summary'!J6:V6)</f>
        <v>3000</v>
      </c>
      <c r="I3" s="918">
        <f t="shared" ref="I3:I28" si="1">H3*F3</f>
        <v>135000.00000000003</v>
      </c>
      <c r="J3" s="286">
        <f>SUM('New summary'!W6:AI6)</f>
        <v>1284</v>
      </c>
      <c r="K3" s="918">
        <f t="shared" ref="K3" si="2">J3*F3</f>
        <v>57780.000000000007</v>
      </c>
      <c r="L3" s="286">
        <f>SUM('New summary'!AJ6:AV6)</f>
        <v>2486</v>
      </c>
      <c r="M3" s="918">
        <f t="shared" ref="M3" si="3">L3*F3</f>
        <v>111870.00000000001</v>
      </c>
      <c r="N3" s="286">
        <f>SUM('New summary'!AW6:BI6)</f>
        <v>6233</v>
      </c>
      <c r="O3" s="918">
        <f t="shared" ref="O3" si="4">N3*F3</f>
        <v>280485.00000000006</v>
      </c>
      <c r="P3" s="919" t="str">
        <f>G3</f>
        <v>Brunt ST</v>
      </c>
      <c r="Q3" s="925"/>
      <c r="R3" s="926">
        <f>+H3*7</f>
        <v>21000</v>
      </c>
      <c r="S3" s="926">
        <f>+J3*7</f>
        <v>8988</v>
      </c>
      <c r="T3" s="926">
        <f>+L3*7</f>
        <v>17402</v>
      </c>
      <c r="U3" s="927">
        <f>+N3*7</f>
        <v>43631</v>
      </c>
      <c r="W3">
        <v>7</v>
      </c>
    </row>
    <row r="4" spans="2:23" x14ac:dyDescent="0.2">
      <c r="B4" s="873" t="str">
        <f>'New summary'!B7</f>
        <v>Brunt</v>
      </c>
      <c r="C4" s="913" t="str">
        <f>'New summary'!C7</f>
        <v>CT</v>
      </c>
      <c r="D4" s="909">
        <f>+'[4]Master List- 2026 '!$E$37</f>
        <v>43.65</v>
      </c>
      <c r="E4" s="900">
        <f>+'[4]Master List- 2026 '!$D$37</f>
        <v>86.46</v>
      </c>
      <c r="F4" s="910">
        <f t="shared" si="0"/>
        <v>42.809999999999995</v>
      </c>
      <c r="G4" s="931" t="str">
        <f t="shared" ref="G4:G27" si="5">B4&amp;" "&amp;C4</f>
        <v>Brunt CT</v>
      </c>
      <c r="H4" s="96">
        <f>SUM('New summary'!J7:V7)</f>
        <v>15882</v>
      </c>
      <c r="I4" s="204">
        <f t="shared" si="1"/>
        <v>679908.41999999993</v>
      </c>
      <c r="J4" s="96">
        <f>SUM('New summary'!W7:AI7)</f>
        <v>1284</v>
      </c>
      <c r="K4" s="204">
        <f t="shared" ref="K4:K28" si="6">J4*F4</f>
        <v>54968.039999999994</v>
      </c>
      <c r="L4" s="96">
        <f>SUM('New summary'!AJ7:AV7)</f>
        <v>7847</v>
      </c>
      <c r="M4" s="204">
        <f t="shared" ref="M4:M28" si="7">L4*F4</f>
        <v>335930.06999999995</v>
      </c>
      <c r="N4" s="96">
        <f>SUM('New summary'!AW7:BI7)</f>
        <v>9396</v>
      </c>
      <c r="O4" s="204">
        <f t="shared" ref="O4:O28" si="8">N4*F4</f>
        <v>402242.75999999995</v>
      </c>
      <c r="P4" s="919" t="str">
        <f t="shared" ref="P4:P27" si="9">G4</f>
        <v>Brunt CT</v>
      </c>
      <c r="Q4" s="379"/>
      <c r="R4" s="256">
        <f t="shared" ref="R4:R10" si="10">+H4*7</f>
        <v>111174</v>
      </c>
      <c r="S4" s="256">
        <f t="shared" ref="S4:S10" si="11">+J4*7</f>
        <v>8988</v>
      </c>
      <c r="T4" s="256">
        <f t="shared" ref="T4:T10" si="12">+L4*7</f>
        <v>54929</v>
      </c>
      <c r="U4" s="275">
        <f t="shared" ref="U4:U10" si="13">+N4*7</f>
        <v>65772</v>
      </c>
      <c r="W4">
        <v>7</v>
      </c>
    </row>
    <row r="5" spans="2:23" x14ac:dyDescent="0.2">
      <c r="B5" s="873" t="str">
        <f>'New summary'!B8</f>
        <v>Brunt</v>
      </c>
      <c r="C5" s="913" t="str">
        <f>'New summary'!C8</f>
        <v>8" CT</v>
      </c>
      <c r="D5" s="909">
        <f>+'[4]Master List- 2026 '!$E$41</f>
        <v>46.79</v>
      </c>
      <c r="E5" s="900">
        <f>+'[4]Master List- 2026 '!$D$41</f>
        <v>91.94</v>
      </c>
      <c r="F5" s="910">
        <f t="shared" si="0"/>
        <v>45.15</v>
      </c>
      <c r="G5" s="931" t="str">
        <f t="shared" si="5"/>
        <v>Brunt 8" CT</v>
      </c>
      <c r="H5" s="96">
        <f>SUM('New summary'!J8:V8)</f>
        <v>930</v>
      </c>
      <c r="I5" s="204">
        <f t="shared" si="1"/>
        <v>41989.5</v>
      </c>
      <c r="J5" s="96">
        <f>SUM('New summary'!W8:AI8)</f>
        <v>1896</v>
      </c>
      <c r="K5" s="204">
        <f t="shared" si="6"/>
        <v>85604.4</v>
      </c>
      <c r="L5" s="96">
        <f>SUM('New summary'!AJ8:AV8)</f>
        <v>2197</v>
      </c>
      <c r="M5" s="204">
        <f t="shared" si="7"/>
        <v>99194.55</v>
      </c>
      <c r="N5" s="96">
        <f>SUM('New summary'!AW8:BI8)</f>
        <v>1200</v>
      </c>
      <c r="O5" s="204">
        <f t="shared" si="8"/>
        <v>54180</v>
      </c>
      <c r="P5" s="919" t="str">
        <f t="shared" si="9"/>
        <v>Brunt 8" CT</v>
      </c>
      <c r="Q5" s="379"/>
      <c r="R5" s="256">
        <f t="shared" si="10"/>
        <v>6510</v>
      </c>
      <c r="S5" s="256">
        <f t="shared" si="11"/>
        <v>13272</v>
      </c>
      <c r="T5" s="256">
        <f t="shared" si="12"/>
        <v>15379</v>
      </c>
      <c r="U5" s="275">
        <f t="shared" si="13"/>
        <v>8400</v>
      </c>
      <c r="W5">
        <v>7</v>
      </c>
    </row>
    <row r="6" spans="2:23" x14ac:dyDescent="0.2">
      <c r="B6" s="873" t="str">
        <f>'New summary'!B9</f>
        <v>Brunt</v>
      </c>
      <c r="C6" s="913" t="str">
        <f>'New summary'!C9</f>
        <v>NWP CT</v>
      </c>
      <c r="D6" s="909">
        <f>+'[4]Master List- 2026 '!$E$39</f>
        <v>40.159999999999997</v>
      </c>
      <c r="E6" s="900">
        <f>+'[4]Master List- 2026 '!$D$39</f>
        <v>83.87</v>
      </c>
      <c r="F6" s="910">
        <f t="shared" si="0"/>
        <v>43.710000000000008</v>
      </c>
      <c r="G6" s="931" t="str">
        <f t="shared" si="5"/>
        <v>Brunt NWP CT</v>
      </c>
      <c r="H6" s="96">
        <f>SUM('New summary'!J9:V9)</f>
        <v>1254</v>
      </c>
      <c r="I6" s="204">
        <f t="shared" si="1"/>
        <v>54812.340000000011</v>
      </c>
      <c r="J6" s="96">
        <f>SUM('New summary'!W9:AI9)</f>
        <v>1284</v>
      </c>
      <c r="K6" s="204">
        <f t="shared" si="6"/>
        <v>56123.640000000007</v>
      </c>
      <c r="L6" s="96">
        <f>SUM('New summary'!AJ9:AV9)</f>
        <v>2796</v>
      </c>
      <c r="M6" s="204">
        <f t="shared" si="7"/>
        <v>122213.16000000002</v>
      </c>
      <c r="N6" s="96">
        <f>SUM('New summary'!AW9:BI9)</f>
        <v>3000</v>
      </c>
      <c r="O6" s="204">
        <f t="shared" si="8"/>
        <v>131130.00000000003</v>
      </c>
      <c r="P6" s="919" t="str">
        <f t="shared" si="9"/>
        <v>Brunt NWP CT</v>
      </c>
      <c r="Q6" s="379"/>
      <c r="R6" s="256">
        <f t="shared" si="10"/>
        <v>8778</v>
      </c>
      <c r="S6" s="256">
        <f t="shared" si="11"/>
        <v>8988</v>
      </c>
      <c r="T6" s="256">
        <f t="shared" si="12"/>
        <v>19572</v>
      </c>
      <c r="U6" s="275">
        <f t="shared" si="13"/>
        <v>21000</v>
      </c>
      <c r="W6">
        <v>7</v>
      </c>
    </row>
    <row r="7" spans="2:23" x14ac:dyDescent="0.2">
      <c r="B7" s="873" t="str">
        <f>'New summary'!B10</f>
        <v>Brunt</v>
      </c>
      <c r="C7" s="913" t="str">
        <f>'New summary'!C10</f>
        <v>NWP ST</v>
      </c>
      <c r="D7" s="909">
        <f>+'[4]Master List- 2026 '!$E$38</f>
        <v>38.08</v>
      </c>
      <c r="E7" s="900">
        <f>+'[4]Master List- 2026 '!$D$38</f>
        <v>81.849999999999994</v>
      </c>
      <c r="F7" s="910">
        <f t="shared" si="0"/>
        <v>43.769999999999996</v>
      </c>
      <c r="G7" s="931" t="str">
        <f t="shared" si="5"/>
        <v>Brunt NWP ST</v>
      </c>
      <c r="H7" s="96">
        <f>SUM('New summary'!J10:V10)</f>
        <v>1260</v>
      </c>
      <c r="I7" s="204">
        <f t="shared" si="1"/>
        <v>55150.2</v>
      </c>
      <c r="J7" s="96">
        <f>SUM('New summary'!W10:AI10)</f>
        <v>1224</v>
      </c>
      <c r="K7" s="204">
        <f t="shared" si="6"/>
        <v>53574.479999999996</v>
      </c>
      <c r="L7" s="96">
        <f>SUM('New summary'!AJ10:AV10)</f>
        <v>1200</v>
      </c>
      <c r="M7" s="204">
        <f t="shared" si="7"/>
        <v>52523.999999999993</v>
      </c>
      <c r="N7" s="96">
        <f>SUM('New summary'!AW10:BI10)</f>
        <v>1447</v>
      </c>
      <c r="O7" s="204">
        <f t="shared" si="8"/>
        <v>63335.189999999995</v>
      </c>
      <c r="P7" s="919" t="str">
        <f t="shared" si="9"/>
        <v>Brunt NWP ST</v>
      </c>
      <c r="Q7" s="379"/>
      <c r="R7" s="256">
        <f t="shared" si="10"/>
        <v>8820</v>
      </c>
      <c r="S7" s="256">
        <f t="shared" si="11"/>
        <v>8568</v>
      </c>
      <c r="T7" s="256">
        <f t="shared" si="12"/>
        <v>8400</v>
      </c>
      <c r="U7" s="275">
        <f t="shared" si="13"/>
        <v>10129</v>
      </c>
      <c r="W7">
        <v>7</v>
      </c>
    </row>
    <row r="8" spans="2:23" x14ac:dyDescent="0.2">
      <c r="B8" s="873" t="str">
        <f>'New summary'!B11</f>
        <v>Brunt</v>
      </c>
      <c r="C8" s="913" t="str">
        <f>'New summary'!C11</f>
        <v>CTBT</v>
      </c>
      <c r="D8" s="909">
        <f>+'[4]Master List- 2026 '!$E$40</f>
        <v>45.14</v>
      </c>
      <c r="E8" s="900">
        <f>+'[4]Master List- 2026 '!$D$40</f>
        <v>89.18</v>
      </c>
      <c r="F8" s="910">
        <f t="shared" si="0"/>
        <v>44.040000000000006</v>
      </c>
      <c r="G8" s="931" t="str">
        <f t="shared" si="5"/>
        <v>Brunt CTBT</v>
      </c>
      <c r="H8" s="96">
        <f>SUM('New summary'!J11:V11)</f>
        <v>600</v>
      </c>
      <c r="I8" s="204">
        <f t="shared" si="1"/>
        <v>26424.000000000004</v>
      </c>
      <c r="J8" s="96">
        <f>SUM('New summary'!W11:AI11)</f>
        <v>5736</v>
      </c>
      <c r="K8" s="204">
        <f t="shared" si="6"/>
        <v>252613.44000000003</v>
      </c>
      <c r="L8" s="96">
        <f>SUM('New summary'!AJ11:AV11)</f>
        <v>1800</v>
      </c>
      <c r="M8" s="204">
        <f t="shared" si="7"/>
        <v>79272.000000000015</v>
      </c>
      <c r="N8" s="96">
        <f>SUM('New summary'!AW11:BI11)</f>
        <v>3892</v>
      </c>
      <c r="O8" s="204">
        <f t="shared" si="8"/>
        <v>171403.68000000002</v>
      </c>
      <c r="P8" s="919" t="str">
        <f t="shared" si="9"/>
        <v>Brunt CTBT</v>
      </c>
      <c r="Q8" s="379"/>
      <c r="R8" s="256">
        <f t="shared" si="10"/>
        <v>4200</v>
      </c>
      <c r="S8" s="256">
        <f t="shared" si="11"/>
        <v>40152</v>
      </c>
      <c r="T8" s="256">
        <f t="shared" si="12"/>
        <v>12600</v>
      </c>
      <c r="U8" s="275">
        <f t="shared" si="13"/>
        <v>27244</v>
      </c>
      <c r="W8">
        <v>7</v>
      </c>
    </row>
    <row r="9" spans="2:23" x14ac:dyDescent="0.2">
      <c r="B9" s="873" t="str">
        <f>'New summary'!B12</f>
        <v>Brunt</v>
      </c>
      <c r="C9" s="913" t="str">
        <f>'New summary'!C12</f>
        <v>Ohman ST</v>
      </c>
      <c r="D9" s="909">
        <f>+'[4]Master List- 2026 '!$E$42</f>
        <v>33.54</v>
      </c>
      <c r="E9" s="900">
        <f>+'[4]Master List- 2026 '!$D$42</f>
        <v>76.81</v>
      </c>
      <c r="F9" s="910">
        <f t="shared" si="0"/>
        <v>43.27</v>
      </c>
      <c r="G9" s="931" t="str">
        <f t="shared" si="5"/>
        <v>Brunt Ohman ST</v>
      </c>
      <c r="H9" s="96">
        <f>SUM('New summary'!J12:V12)</f>
        <v>0</v>
      </c>
      <c r="I9" s="204">
        <f t="shared" si="1"/>
        <v>0</v>
      </c>
      <c r="J9" s="96">
        <f>SUM('New summary'!W12:AI12)</f>
        <v>2040</v>
      </c>
      <c r="K9" s="204">
        <f t="shared" si="6"/>
        <v>88270.8</v>
      </c>
      <c r="L9" s="96">
        <f>SUM('New summary'!AJ12:AV12)</f>
        <v>2058</v>
      </c>
      <c r="M9" s="204">
        <f t="shared" si="7"/>
        <v>89049.66</v>
      </c>
      <c r="N9" s="96">
        <f>SUM('New summary'!AW12:BI12)</f>
        <v>3571</v>
      </c>
      <c r="O9" s="204">
        <f t="shared" si="8"/>
        <v>154517.17000000001</v>
      </c>
      <c r="P9" s="919" t="str">
        <f t="shared" si="9"/>
        <v>Brunt Ohman ST</v>
      </c>
      <c r="Q9" s="379"/>
      <c r="R9" s="256">
        <f t="shared" si="10"/>
        <v>0</v>
      </c>
      <c r="S9" s="256">
        <f t="shared" si="11"/>
        <v>14280</v>
      </c>
      <c r="T9" s="256">
        <f t="shared" si="12"/>
        <v>14406</v>
      </c>
      <c r="U9" s="275">
        <f t="shared" si="13"/>
        <v>24997</v>
      </c>
      <c r="W9">
        <v>7</v>
      </c>
    </row>
    <row r="10" spans="2:23" x14ac:dyDescent="0.2">
      <c r="B10" s="873" t="str">
        <f>'New summary'!B13</f>
        <v>Brunt</v>
      </c>
      <c r="C10" s="913" t="str">
        <f>'New summary'!C13</f>
        <v>Ohman CT</v>
      </c>
      <c r="D10" s="909">
        <f>+'[4]Master List- 2026 '!$E$43</f>
        <v>35.630000000000003</v>
      </c>
      <c r="E10" s="900">
        <f>+'[4]Master List- 2026 '!$D$43</f>
        <v>79.040000000000006</v>
      </c>
      <c r="F10" s="910">
        <f t="shared" si="0"/>
        <v>43.410000000000004</v>
      </c>
      <c r="G10" s="931" t="str">
        <f t="shared" si="5"/>
        <v>Brunt Ohman CT</v>
      </c>
      <c r="H10" s="96">
        <f>SUM('New summary'!J13:V13)</f>
        <v>0</v>
      </c>
      <c r="I10" s="204">
        <f t="shared" si="1"/>
        <v>0</v>
      </c>
      <c r="J10" s="96">
        <f>SUM('New summary'!W13:AI13)</f>
        <v>3606</v>
      </c>
      <c r="K10" s="204">
        <f t="shared" si="6"/>
        <v>156536.46000000002</v>
      </c>
      <c r="L10" s="96">
        <f>SUM('New summary'!AJ13:AV13)</f>
        <v>3462</v>
      </c>
      <c r="M10" s="204">
        <f t="shared" si="7"/>
        <v>150285.42000000001</v>
      </c>
      <c r="N10" s="96">
        <f>SUM('New summary'!AW13:BI13)</f>
        <v>4612</v>
      </c>
      <c r="O10" s="204">
        <f t="shared" si="8"/>
        <v>200206.92</v>
      </c>
      <c r="P10" s="919" t="str">
        <f t="shared" si="9"/>
        <v>Brunt Ohman CT</v>
      </c>
      <c r="Q10" s="379"/>
      <c r="R10" s="256">
        <f t="shared" si="10"/>
        <v>0</v>
      </c>
      <c r="S10" s="256">
        <f t="shared" si="11"/>
        <v>25242</v>
      </c>
      <c r="T10" s="256">
        <f t="shared" si="12"/>
        <v>24234</v>
      </c>
      <c r="U10" s="275">
        <f t="shared" si="13"/>
        <v>32284</v>
      </c>
      <c r="W10">
        <v>7</v>
      </c>
    </row>
    <row r="11" spans="2:23" x14ac:dyDescent="0.2">
      <c r="B11" s="873" t="str">
        <f>'New summary'!B14</f>
        <v>Chippewa</v>
      </c>
      <c r="C11" s="913" t="str">
        <f>'New summary'!C14</f>
        <v>SL5405-E</v>
      </c>
      <c r="D11" s="909">
        <v>72.75</v>
      </c>
      <c r="E11" s="900">
        <v>135.06</v>
      </c>
      <c r="F11" s="910">
        <f t="shared" ref="F11:F14" si="14">+E11-D11</f>
        <v>62.31</v>
      </c>
      <c r="G11" s="931" t="str">
        <f t="shared" si="5"/>
        <v>Chippewa SL5405-E</v>
      </c>
      <c r="H11" s="96">
        <f>SUM('New summary'!J14:V14)</f>
        <v>0</v>
      </c>
      <c r="I11" s="204">
        <f t="shared" si="1"/>
        <v>0</v>
      </c>
      <c r="J11" s="96">
        <f>SUM('New summary'!W14:AI14)</f>
        <v>0</v>
      </c>
      <c r="K11" s="204">
        <f t="shared" si="6"/>
        <v>0</v>
      </c>
      <c r="L11" s="96">
        <f>SUM('New summary'!AJ14:AV14)</f>
        <v>2550</v>
      </c>
      <c r="M11" s="204">
        <f t="shared" si="7"/>
        <v>158890.5</v>
      </c>
      <c r="N11" s="96">
        <f>SUM('New summary'!AW14:BI14)</f>
        <v>0</v>
      </c>
      <c r="O11" s="204">
        <f t="shared" si="8"/>
        <v>0</v>
      </c>
      <c r="P11" s="919" t="str">
        <f t="shared" si="9"/>
        <v>Chippewa SL5405-E</v>
      </c>
      <c r="Q11" s="379"/>
      <c r="R11" s="256"/>
      <c r="S11" s="256"/>
      <c r="T11" s="256"/>
      <c r="U11" s="275"/>
    </row>
    <row r="12" spans="2:23" x14ac:dyDescent="0.2">
      <c r="B12" s="873" t="str">
        <f>'New summary'!B15</f>
        <v>Chippewa</v>
      </c>
      <c r="C12" s="913" t="str">
        <f>'New summary'!C15</f>
        <v>SL5405-EEE</v>
      </c>
      <c r="D12" s="909">
        <v>63.69</v>
      </c>
      <c r="E12" s="900">
        <v>128.36000000000001</v>
      </c>
      <c r="F12" s="910">
        <f t="shared" si="14"/>
        <v>64.670000000000016</v>
      </c>
      <c r="G12" s="931" t="str">
        <f t="shared" si="5"/>
        <v>Chippewa SL5405-EEE</v>
      </c>
      <c r="H12" s="96">
        <f>SUM('New summary'!J15:V15)</f>
        <v>0</v>
      </c>
      <c r="I12" s="204">
        <f t="shared" si="1"/>
        <v>0</v>
      </c>
      <c r="J12" s="96">
        <f>SUM('New summary'!W15:AI15)</f>
        <v>0</v>
      </c>
      <c r="K12" s="204">
        <f t="shared" si="6"/>
        <v>0</v>
      </c>
      <c r="L12" s="96">
        <f>SUM('New summary'!AJ15:AV15)</f>
        <v>858</v>
      </c>
      <c r="M12" s="204">
        <f t="shared" si="7"/>
        <v>55486.860000000015</v>
      </c>
      <c r="N12" s="96">
        <f>SUM('New summary'!AW15:BI15)</f>
        <v>0</v>
      </c>
      <c r="O12" s="204">
        <f t="shared" si="8"/>
        <v>0</v>
      </c>
      <c r="P12" s="919" t="str">
        <f t="shared" si="9"/>
        <v>Chippewa SL5405-EEE</v>
      </c>
      <c r="Q12" s="379"/>
      <c r="R12" s="256"/>
      <c r="S12" s="256"/>
      <c r="T12" s="256"/>
      <c r="U12" s="275"/>
    </row>
    <row r="13" spans="2:23" x14ac:dyDescent="0.2">
      <c r="B13" s="873" t="str">
        <f>'New summary'!B16</f>
        <v>Chippewa</v>
      </c>
      <c r="C13" s="913" t="str">
        <f>'New summary'!C16</f>
        <v>SL5410-E</v>
      </c>
      <c r="D13" s="909">
        <v>70.489999999999995</v>
      </c>
      <c r="E13" s="900">
        <v>128.57</v>
      </c>
      <c r="F13" s="910">
        <f t="shared" si="14"/>
        <v>58.08</v>
      </c>
      <c r="G13" s="931" t="str">
        <f t="shared" si="5"/>
        <v>Chippewa SL5410-E</v>
      </c>
      <c r="H13" s="96">
        <f>SUM('New summary'!J16:V16)</f>
        <v>0</v>
      </c>
      <c r="I13" s="204">
        <f t="shared" si="1"/>
        <v>0</v>
      </c>
      <c r="J13" s="96">
        <f>SUM('New summary'!W16:AI16)</f>
        <v>0</v>
      </c>
      <c r="K13" s="204">
        <f t="shared" si="6"/>
        <v>0</v>
      </c>
      <c r="L13" s="96">
        <f>SUM('New summary'!AJ16:AV16)</f>
        <v>1008</v>
      </c>
      <c r="M13" s="204">
        <f t="shared" si="7"/>
        <v>58544.639999999999</v>
      </c>
      <c r="N13" s="96">
        <f>SUM('New summary'!AW16:BI16)</f>
        <v>0</v>
      </c>
      <c r="O13" s="204">
        <f t="shared" si="8"/>
        <v>0</v>
      </c>
      <c r="P13" s="919" t="str">
        <f t="shared" si="9"/>
        <v>Chippewa SL5410-E</v>
      </c>
      <c r="Q13" s="379"/>
      <c r="R13" s="256"/>
      <c r="S13" s="256"/>
      <c r="T13" s="256"/>
      <c r="U13" s="275"/>
    </row>
    <row r="14" spans="2:23" x14ac:dyDescent="0.2">
      <c r="B14" s="873" t="str">
        <f>'New summary'!B17</f>
        <v>Chippewa</v>
      </c>
      <c r="C14" s="913" t="str">
        <f>'New summary'!C17</f>
        <v>SL5410-EEE</v>
      </c>
      <c r="D14" s="909">
        <v>74.33</v>
      </c>
      <c r="E14" s="900">
        <v>135.80000000000001</v>
      </c>
      <c r="F14" s="910">
        <f t="shared" si="14"/>
        <v>61.470000000000013</v>
      </c>
      <c r="G14" s="931" t="str">
        <f t="shared" si="5"/>
        <v>Chippewa SL5410-EEE</v>
      </c>
      <c r="H14" s="96">
        <f>SUM('New summary'!J17:V17)</f>
        <v>0</v>
      </c>
      <c r="I14" s="204">
        <f t="shared" si="1"/>
        <v>0</v>
      </c>
      <c r="J14" s="96">
        <f>SUM('New summary'!W17:AI17)</f>
        <v>0</v>
      </c>
      <c r="K14" s="204">
        <f t="shared" si="6"/>
        <v>0</v>
      </c>
      <c r="L14" s="96">
        <f>SUM('New summary'!AJ17:AV17)</f>
        <v>684</v>
      </c>
      <c r="M14" s="204">
        <f t="shared" si="7"/>
        <v>42045.48000000001</v>
      </c>
      <c r="N14" s="96">
        <f>SUM('New summary'!AW17:BI17)</f>
        <v>0</v>
      </c>
      <c r="O14" s="204">
        <f t="shared" si="8"/>
        <v>0</v>
      </c>
      <c r="P14" s="919" t="str">
        <f t="shared" si="9"/>
        <v>Chippewa SL5410-EEE</v>
      </c>
      <c r="Q14" s="379"/>
      <c r="R14" s="256"/>
      <c r="S14" s="256"/>
      <c r="T14" s="256"/>
      <c r="U14" s="275"/>
    </row>
    <row r="15" spans="2:23" x14ac:dyDescent="0.2">
      <c r="B15" s="873" t="str">
        <f>'New summary'!B18</f>
        <v>Chippewa</v>
      </c>
      <c r="C15" s="913" t="str">
        <f>'New summary'!C18</f>
        <v>Forecast</v>
      </c>
      <c r="D15" s="909"/>
      <c r="E15" s="900">
        <f>SUM(E11:E14)/4</f>
        <v>131.94749999999999</v>
      </c>
      <c r="F15" s="910">
        <f>SUM(F11:F14)/4</f>
        <v>61.632500000000007</v>
      </c>
      <c r="G15" s="931" t="str">
        <f t="shared" si="5"/>
        <v>Chippewa Forecast</v>
      </c>
      <c r="H15" s="96">
        <f>SUM('New summary'!J18:V18)</f>
        <v>0</v>
      </c>
      <c r="I15" s="204">
        <f t="shared" si="1"/>
        <v>0</v>
      </c>
      <c r="J15" s="96">
        <f>SUM('New summary'!W18:AI18)</f>
        <v>0</v>
      </c>
      <c r="K15" s="204">
        <f t="shared" si="6"/>
        <v>0</v>
      </c>
      <c r="L15" s="96">
        <f>SUM('New summary'!AJ18:AV18)</f>
        <v>997</v>
      </c>
      <c r="M15" s="204">
        <f t="shared" si="7"/>
        <v>61447.602500000008</v>
      </c>
      <c r="N15" s="96">
        <f>SUM('New summary'!AW18:BI18)</f>
        <v>3602</v>
      </c>
      <c r="O15" s="204">
        <f t="shared" si="8"/>
        <v>222000.26500000001</v>
      </c>
      <c r="P15" s="919" t="str">
        <f t="shared" si="9"/>
        <v>Chippewa Forecast</v>
      </c>
      <c r="Q15" s="379"/>
      <c r="R15" s="256"/>
      <c r="S15" s="256">
        <f>+J15*7</f>
        <v>0</v>
      </c>
      <c r="T15" s="256">
        <f>+L15*7</f>
        <v>6979</v>
      </c>
      <c r="U15" s="275">
        <f>+N15*7</f>
        <v>25214</v>
      </c>
      <c r="W15">
        <v>7</v>
      </c>
    </row>
    <row r="16" spans="2:23" x14ac:dyDescent="0.2">
      <c r="B16" s="873" t="str">
        <f>'New summary'!B19</f>
        <v>Firedex</v>
      </c>
      <c r="C16" s="913" t="str">
        <f>'New summary'!C19</f>
        <v>FDXL90</v>
      </c>
      <c r="D16" s="909">
        <v>130</v>
      </c>
      <c r="E16" s="900">
        <v>218</v>
      </c>
      <c r="F16" s="910">
        <f>+E16-D16</f>
        <v>88</v>
      </c>
      <c r="G16" s="931" t="str">
        <f t="shared" si="5"/>
        <v>Firedex FDXL90</v>
      </c>
      <c r="H16" s="96">
        <f>SUM('New summary'!J19:V19)</f>
        <v>0</v>
      </c>
      <c r="I16" s="204">
        <f t="shared" si="1"/>
        <v>0</v>
      </c>
      <c r="J16" s="96">
        <f>SUM('New summary'!W19:AI19)</f>
        <v>0</v>
      </c>
      <c r="K16" s="204">
        <f t="shared" si="6"/>
        <v>0</v>
      </c>
      <c r="L16" s="96">
        <f>SUM('New summary'!AJ19:AV19)</f>
        <v>1038</v>
      </c>
      <c r="M16" s="204">
        <f t="shared" si="7"/>
        <v>91344</v>
      </c>
      <c r="N16" s="96">
        <f>SUM('New summary'!AW19:BI19)</f>
        <v>2900</v>
      </c>
      <c r="O16" s="204">
        <f t="shared" si="8"/>
        <v>255200</v>
      </c>
      <c r="P16" s="919" t="str">
        <f t="shared" si="9"/>
        <v>Firedex FDXL90</v>
      </c>
      <c r="Q16" s="379"/>
      <c r="R16" s="256">
        <f>+H16*15</f>
        <v>0</v>
      </c>
      <c r="S16" s="256">
        <f>+J16*15</f>
        <v>0</v>
      </c>
      <c r="T16" s="256">
        <f>+L16*15</f>
        <v>15570</v>
      </c>
      <c r="U16" s="275">
        <f>+N16*15</f>
        <v>43500</v>
      </c>
      <c r="W16">
        <v>15</v>
      </c>
    </row>
    <row r="17" spans="2:23" x14ac:dyDescent="0.2">
      <c r="B17" s="873" t="str">
        <f>'New summary'!B20</f>
        <v>Firedex</v>
      </c>
      <c r="C17" s="913" t="str">
        <f>'New summary'!C20</f>
        <v>FDXL200</v>
      </c>
      <c r="D17" s="909"/>
      <c r="E17" s="900"/>
      <c r="F17" s="910"/>
      <c r="G17" s="931" t="str">
        <f t="shared" si="5"/>
        <v>Firedex FDXL200</v>
      </c>
      <c r="H17" s="96">
        <f>SUM('New summary'!J20:V20)</f>
        <v>2958</v>
      </c>
      <c r="I17" s="204">
        <f t="shared" si="1"/>
        <v>0</v>
      </c>
      <c r="J17" s="96">
        <f>SUM('New summary'!W20:AI20)</f>
        <v>5820</v>
      </c>
      <c r="K17" s="204">
        <f t="shared" si="6"/>
        <v>0</v>
      </c>
      <c r="L17" s="96">
        <f>SUM('New summary'!AJ20:AV20)</f>
        <v>4218</v>
      </c>
      <c r="M17" s="204">
        <f t="shared" si="7"/>
        <v>0</v>
      </c>
      <c r="N17" s="96">
        <f>SUM('New summary'!AW20:BI20)</f>
        <v>5424</v>
      </c>
      <c r="O17" s="204">
        <f t="shared" si="8"/>
        <v>0</v>
      </c>
      <c r="P17" s="919" t="str">
        <f t="shared" si="9"/>
        <v>Firedex FDXL200</v>
      </c>
      <c r="Q17" s="17"/>
      <c r="U17" s="18"/>
    </row>
    <row r="18" spans="2:23" x14ac:dyDescent="0.2">
      <c r="B18" s="873" t="str">
        <f>'New summary'!B21</f>
        <v>US Boot</v>
      </c>
      <c r="C18" s="913" t="str">
        <f>'New summary'!C21</f>
        <v>Dane</v>
      </c>
      <c r="D18" s="909">
        <v>50</v>
      </c>
      <c r="E18" s="900">
        <v>75</v>
      </c>
      <c r="F18" s="910">
        <f t="shared" ref="F18:F23" si="15">+E18-D18</f>
        <v>25</v>
      </c>
      <c r="G18" s="931" t="str">
        <f t="shared" si="5"/>
        <v>US Boot Dane</v>
      </c>
      <c r="H18" s="96">
        <f>SUM('New summary'!J21:V21)</f>
        <v>0</v>
      </c>
      <c r="I18" s="204">
        <f t="shared" si="1"/>
        <v>0</v>
      </c>
      <c r="J18" s="96">
        <f>SUM('New summary'!W21:AI21)</f>
        <v>0</v>
      </c>
      <c r="K18" s="204">
        <f t="shared" si="6"/>
        <v>0</v>
      </c>
      <c r="L18" s="96">
        <f>SUM('New summary'!AJ21:AV21)</f>
        <v>600</v>
      </c>
      <c r="M18" s="204">
        <f t="shared" si="7"/>
        <v>15000</v>
      </c>
      <c r="N18" s="96">
        <f>SUM('New summary'!AW21:BI21)</f>
        <v>0</v>
      </c>
      <c r="O18" s="204">
        <f t="shared" si="8"/>
        <v>0</v>
      </c>
      <c r="P18" s="919" t="str">
        <f t="shared" si="9"/>
        <v>US Boot Dane</v>
      </c>
      <c r="Q18" s="379"/>
      <c r="R18" s="256"/>
      <c r="S18" s="256"/>
      <c r="T18" s="256"/>
      <c r="U18" s="275"/>
    </row>
    <row r="19" spans="2:23" x14ac:dyDescent="0.2">
      <c r="B19" s="873" t="str">
        <f>'New summary'!B22</f>
        <v>US Boot</v>
      </c>
      <c r="C19" s="913" t="str">
        <f>'New summary'!C22</f>
        <v>Other</v>
      </c>
      <c r="D19" s="909">
        <v>50</v>
      </c>
      <c r="E19" s="900">
        <v>75</v>
      </c>
      <c r="F19" s="910">
        <f t="shared" si="15"/>
        <v>25</v>
      </c>
      <c r="G19" s="931" t="str">
        <f t="shared" si="5"/>
        <v>US Boot Other</v>
      </c>
      <c r="H19" s="96">
        <f>SUM('New summary'!J22:V22)</f>
        <v>3804</v>
      </c>
      <c r="I19" s="204">
        <f t="shared" si="1"/>
        <v>95100</v>
      </c>
      <c r="J19" s="96">
        <f>SUM('New summary'!W22:AI22)</f>
        <v>3675</v>
      </c>
      <c r="K19" s="204">
        <f t="shared" si="6"/>
        <v>91875</v>
      </c>
      <c r="L19" s="96">
        <f>SUM('New summary'!AJ22:AV22)</f>
        <v>2350</v>
      </c>
      <c r="M19" s="204">
        <f t="shared" si="7"/>
        <v>58750</v>
      </c>
      <c r="N19" s="96">
        <f>SUM('New summary'!AW22:BI22)</f>
        <v>2500</v>
      </c>
      <c r="O19" s="204">
        <f t="shared" si="8"/>
        <v>62500</v>
      </c>
      <c r="P19" s="919" t="str">
        <f t="shared" si="9"/>
        <v>US Boot Other</v>
      </c>
      <c r="Q19" s="379"/>
      <c r="R19" s="256">
        <f>+H19*6</f>
        <v>22824</v>
      </c>
      <c r="S19" s="256">
        <f>+J19*6</f>
        <v>22050</v>
      </c>
      <c r="T19" s="256">
        <f>+L19*6</f>
        <v>14100</v>
      </c>
      <c r="U19" s="275">
        <f>+N19*6</f>
        <v>15000</v>
      </c>
      <c r="W19">
        <v>6</v>
      </c>
    </row>
    <row r="20" spans="2:23" x14ac:dyDescent="0.2">
      <c r="B20" s="873" t="str">
        <f>'New summary'!B23</f>
        <v>Weinbrenner</v>
      </c>
      <c r="C20" s="913" t="str">
        <f>'New summary'!C23</f>
        <v>V Force</v>
      </c>
      <c r="D20" s="909">
        <v>138.03</v>
      </c>
      <c r="E20" s="900">
        <v>225</v>
      </c>
      <c r="F20" s="910">
        <f t="shared" si="15"/>
        <v>86.97</v>
      </c>
      <c r="G20" s="931" t="str">
        <f t="shared" si="5"/>
        <v>Weinbrenner V Force</v>
      </c>
      <c r="H20" s="96">
        <f>SUM('New summary'!J23:V23)</f>
        <v>1980</v>
      </c>
      <c r="I20" s="204">
        <f t="shared" si="1"/>
        <v>172200.6</v>
      </c>
      <c r="J20" s="96">
        <f>SUM('New summary'!W23:AI23)</f>
        <v>1184</v>
      </c>
      <c r="K20" s="204">
        <f t="shared" si="6"/>
        <v>102972.48</v>
      </c>
      <c r="L20" s="96">
        <f>SUM('New summary'!AJ23:AV23)</f>
        <v>2944</v>
      </c>
      <c r="M20" s="204">
        <f t="shared" si="7"/>
        <v>256039.67999999999</v>
      </c>
      <c r="N20" s="96">
        <f>SUM('New summary'!AW23:BI23)</f>
        <v>2703</v>
      </c>
      <c r="O20" s="204">
        <f t="shared" si="8"/>
        <v>235079.91</v>
      </c>
      <c r="P20" s="919" t="str">
        <f t="shared" si="9"/>
        <v>Weinbrenner V Force</v>
      </c>
      <c r="Q20" s="379"/>
      <c r="R20" s="256">
        <f>+H20*15.5</f>
        <v>30690</v>
      </c>
      <c r="S20" s="256">
        <f>+J20*15.5</f>
        <v>18352</v>
      </c>
      <c r="T20" s="256">
        <f>+L20*15.5</f>
        <v>45632</v>
      </c>
      <c r="U20" s="275">
        <f>+N20*15.5</f>
        <v>41896.5</v>
      </c>
      <c r="W20">
        <v>15</v>
      </c>
    </row>
    <row r="21" spans="2:23" x14ac:dyDescent="0.2">
      <c r="B21" s="873" t="s">
        <v>201</v>
      </c>
      <c r="C21" s="913" t="str">
        <f>'New summary'!C24</f>
        <v>HD-Women</v>
      </c>
      <c r="D21" s="909">
        <v>41.71</v>
      </c>
      <c r="E21" s="900">
        <v>95.7</v>
      </c>
      <c r="F21" s="910">
        <f t="shared" si="15"/>
        <v>53.99</v>
      </c>
      <c r="G21" s="931" t="str">
        <f t="shared" si="5"/>
        <v>WWW HD-Women</v>
      </c>
      <c r="H21" s="96">
        <f>SUM('New summary'!J24:V24)</f>
        <v>480</v>
      </c>
      <c r="I21" s="204">
        <f t="shared" si="1"/>
        <v>25915.200000000001</v>
      </c>
      <c r="J21" s="96">
        <f>SUM('New summary'!W24:AI24)</f>
        <v>0</v>
      </c>
      <c r="K21" s="204">
        <f t="shared" si="6"/>
        <v>0</v>
      </c>
      <c r="L21" s="96">
        <f>SUM('New summary'!AJ24:AV24)</f>
        <v>0</v>
      </c>
      <c r="M21" s="204">
        <f t="shared" si="7"/>
        <v>0</v>
      </c>
      <c r="N21" s="96">
        <f>SUM('New summary'!AW24:BI24)</f>
        <v>600</v>
      </c>
      <c r="O21" s="204">
        <f t="shared" si="8"/>
        <v>32394</v>
      </c>
      <c r="P21" s="919" t="str">
        <f t="shared" si="9"/>
        <v>WWW HD-Women</v>
      </c>
      <c r="Q21" s="379"/>
      <c r="R21" s="256">
        <f>+H21*11.75</f>
        <v>5640</v>
      </c>
      <c r="S21" s="256"/>
      <c r="T21" s="256"/>
      <c r="U21" s="275"/>
      <c r="W21">
        <v>11.75</v>
      </c>
    </row>
    <row r="22" spans="2:23" x14ac:dyDescent="0.2">
      <c r="B22" s="873" t="s">
        <v>201</v>
      </c>
      <c r="C22" s="913" t="str">
        <f>'New summary'!C25</f>
        <v>HD-Men</v>
      </c>
      <c r="D22" s="909">
        <v>42.8</v>
      </c>
      <c r="E22" s="900">
        <v>97.9</v>
      </c>
      <c r="F22" s="910">
        <f t="shared" si="15"/>
        <v>55.100000000000009</v>
      </c>
      <c r="G22" s="931" t="str">
        <f t="shared" si="5"/>
        <v>WWW HD-Men</v>
      </c>
      <c r="H22" s="96">
        <f>SUM('New summary'!J25:V25)</f>
        <v>600</v>
      </c>
      <c r="I22" s="204">
        <f t="shared" si="1"/>
        <v>33060.000000000007</v>
      </c>
      <c r="J22" s="96">
        <f>SUM('New summary'!W25:AI25)</f>
        <v>0</v>
      </c>
      <c r="K22" s="204">
        <f t="shared" si="6"/>
        <v>0</v>
      </c>
      <c r="L22" s="96">
        <f>SUM('New summary'!AJ25:AV25)</f>
        <v>600</v>
      </c>
      <c r="M22" s="204">
        <f t="shared" si="7"/>
        <v>33060.000000000007</v>
      </c>
      <c r="N22" s="96">
        <f>SUM('New summary'!AW25:BI25)</f>
        <v>0</v>
      </c>
      <c r="O22" s="204">
        <f t="shared" si="8"/>
        <v>0</v>
      </c>
      <c r="P22" s="919" t="str">
        <f t="shared" si="9"/>
        <v>WWW HD-Men</v>
      </c>
      <c r="Q22" s="379"/>
      <c r="R22" s="256">
        <f>+H22*11.75</f>
        <v>7050</v>
      </c>
      <c r="S22" s="256"/>
      <c r="T22" s="256"/>
      <c r="U22" s="275"/>
      <c r="W22">
        <v>11.75</v>
      </c>
    </row>
    <row r="23" spans="2:23" x14ac:dyDescent="0.2">
      <c r="B23" s="873" t="s">
        <v>201</v>
      </c>
      <c r="C23" s="913" t="str">
        <f>'New summary'!C26</f>
        <v>Loader CT</v>
      </c>
      <c r="D23" s="909">
        <v>45.54</v>
      </c>
      <c r="E23" s="900">
        <v>96.26</v>
      </c>
      <c r="F23" s="910">
        <f t="shared" si="15"/>
        <v>50.720000000000006</v>
      </c>
      <c r="G23" s="931" t="str">
        <f t="shared" si="5"/>
        <v>WWW Loader CT</v>
      </c>
      <c r="H23" s="96">
        <f>SUM('New summary'!J26:V26)</f>
        <v>0</v>
      </c>
      <c r="I23" s="204">
        <f t="shared" si="1"/>
        <v>0</v>
      </c>
      <c r="J23" s="96">
        <f>SUM('New summary'!W26:AI26)</f>
        <v>636</v>
      </c>
      <c r="K23" s="204">
        <f t="shared" si="6"/>
        <v>32257.920000000006</v>
      </c>
      <c r="L23" s="96">
        <f>SUM('New summary'!AJ26:AV26)</f>
        <v>3006</v>
      </c>
      <c r="M23" s="204">
        <f t="shared" si="7"/>
        <v>152464.32000000001</v>
      </c>
      <c r="N23" s="96">
        <f>SUM('New summary'!AW26:BI26)</f>
        <v>0</v>
      </c>
      <c r="O23" s="204">
        <f t="shared" si="8"/>
        <v>0</v>
      </c>
      <c r="P23" s="919" t="str">
        <f t="shared" si="9"/>
        <v>WWW Loader CT</v>
      </c>
      <c r="Q23" s="379"/>
      <c r="R23" s="256"/>
      <c r="S23" s="256">
        <f>+J23*8</f>
        <v>5088</v>
      </c>
      <c r="T23" s="256">
        <f>+L23*8</f>
        <v>24048</v>
      </c>
      <c r="U23" s="275">
        <f>+N23*8</f>
        <v>0</v>
      </c>
      <c r="W23">
        <v>8</v>
      </c>
    </row>
    <row r="24" spans="2:23" x14ac:dyDescent="0.2">
      <c r="B24" s="873" t="s">
        <v>201</v>
      </c>
      <c r="C24" s="913" t="str">
        <f>'New summary'!C27</f>
        <v>Loader ST</v>
      </c>
      <c r="D24" s="909"/>
      <c r="E24" s="900"/>
      <c r="F24" s="910"/>
      <c r="G24" s="931" t="str">
        <f t="shared" si="5"/>
        <v>WWW Loader ST</v>
      </c>
      <c r="H24" s="96">
        <f>SUM('New summary'!J27:V27)</f>
        <v>0</v>
      </c>
      <c r="I24" s="204">
        <f t="shared" si="1"/>
        <v>0</v>
      </c>
      <c r="J24" s="96">
        <f>SUM('New summary'!W27:AI27)</f>
        <v>1218</v>
      </c>
      <c r="K24" s="204">
        <f t="shared" si="6"/>
        <v>0</v>
      </c>
      <c r="L24" s="96">
        <f>SUM('New summary'!AJ27:AV27)</f>
        <v>0</v>
      </c>
      <c r="M24" s="204">
        <f t="shared" si="7"/>
        <v>0</v>
      </c>
      <c r="N24" s="96">
        <f>SUM('New summary'!AW27:BI27)</f>
        <v>0</v>
      </c>
      <c r="O24" s="204">
        <f t="shared" si="8"/>
        <v>0</v>
      </c>
      <c r="P24" s="919" t="str">
        <f t="shared" si="9"/>
        <v>WWW Loader ST</v>
      </c>
      <c r="Q24" s="17"/>
      <c r="U24" s="18"/>
    </row>
    <row r="25" spans="2:23" x14ac:dyDescent="0.2">
      <c r="B25" s="873" t="s">
        <v>201</v>
      </c>
      <c r="C25" s="913" t="str">
        <f>'New summary'!C28</f>
        <v>CAT</v>
      </c>
      <c r="D25" s="909"/>
      <c r="E25" s="900"/>
      <c r="F25" s="910"/>
      <c r="G25" s="931" t="str">
        <f t="shared" si="5"/>
        <v>WWW CAT</v>
      </c>
      <c r="H25" s="96">
        <f>SUM('New summary'!J28:V28)</f>
        <v>0</v>
      </c>
      <c r="I25" s="204">
        <f t="shared" si="1"/>
        <v>0</v>
      </c>
      <c r="J25" s="96">
        <f>SUM('New summary'!W28:AI28)</f>
        <v>1800</v>
      </c>
      <c r="K25" s="204">
        <f t="shared" si="6"/>
        <v>0</v>
      </c>
      <c r="L25" s="96">
        <f>SUM('New summary'!AJ28:AV28)</f>
        <v>0</v>
      </c>
      <c r="M25" s="204">
        <f t="shared" si="7"/>
        <v>0</v>
      </c>
      <c r="N25" s="96">
        <f>SUM('New summary'!AW28:BI28)</f>
        <v>0</v>
      </c>
      <c r="O25" s="204">
        <f t="shared" si="8"/>
        <v>0</v>
      </c>
      <c r="P25" s="919" t="str">
        <f t="shared" si="9"/>
        <v>WWW CAT</v>
      </c>
      <c r="Q25" s="17"/>
      <c r="U25" s="18"/>
    </row>
    <row r="26" spans="2:23" x14ac:dyDescent="0.2">
      <c r="B26" s="873" t="s">
        <v>201</v>
      </c>
      <c r="C26" s="913" t="str">
        <f>'New summary'!C29</f>
        <v>Filson</v>
      </c>
      <c r="D26" s="909"/>
      <c r="E26" s="900"/>
      <c r="F26" s="910"/>
      <c r="G26" s="931" t="str">
        <f t="shared" si="5"/>
        <v>WWW Filson</v>
      </c>
      <c r="H26" s="96">
        <f>SUM('New summary'!J29:V29)</f>
        <v>0</v>
      </c>
      <c r="I26" s="204">
        <f t="shared" si="1"/>
        <v>0</v>
      </c>
      <c r="J26" s="96">
        <f>SUM('New summary'!W29:AI29)</f>
        <v>0</v>
      </c>
      <c r="K26" s="204">
        <f t="shared" si="6"/>
        <v>0</v>
      </c>
      <c r="L26" s="96">
        <f>SUM('New summary'!AJ29:AV29)</f>
        <v>0</v>
      </c>
      <c r="M26" s="204">
        <f t="shared" si="7"/>
        <v>0</v>
      </c>
      <c r="N26" s="96">
        <f>SUM('New summary'!AW29:BI29)</f>
        <v>942</v>
      </c>
      <c r="O26" s="204">
        <f t="shared" si="8"/>
        <v>0</v>
      </c>
      <c r="P26" s="919" t="str">
        <f t="shared" si="9"/>
        <v>WWW Filson</v>
      </c>
      <c r="Q26" s="17"/>
      <c r="U26" s="18"/>
    </row>
    <row r="27" spans="2:23" ht="16" thickBot="1" x14ac:dyDescent="0.25">
      <c r="B27" s="873" t="s">
        <v>201</v>
      </c>
      <c r="C27" s="913" t="str">
        <f>'New summary'!C30</f>
        <v>Forecast</v>
      </c>
      <c r="D27" s="909"/>
      <c r="E27" s="900"/>
      <c r="F27" s="910"/>
      <c r="G27" s="931" t="str">
        <f t="shared" si="5"/>
        <v>WWW Forecast</v>
      </c>
      <c r="H27" s="96">
        <f>SUM('New summary'!J30:V30)</f>
        <v>0</v>
      </c>
      <c r="I27" s="204">
        <f t="shared" si="1"/>
        <v>0</v>
      </c>
      <c r="J27" s="96">
        <f>SUM('New summary'!W30:AI30)</f>
        <v>0</v>
      </c>
      <c r="K27" s="204">
        <f t="shared" si="6"/>
        <v>0</v>
      </c>
      <c r="L27" s="96">
        <f>SUM('New summary'!AJ30:AV30)</f>
        <v>0</v>
      </c>
      <c r="M27" s="204">
        <f t="shared" si="7"/>
        <v>0</v>
      </c>
      <c r="N27" s="96">
        <f>SUM('New summary'!AW30:BI30)</f>
        <v>2300</v>
      </c>
      <c r="O27" s="204">
        <f t="shared" si="8"/>
        <v>0</v>
      </c>
      <c r="P27" s="919" t="str">
        <f t="shared" si="9"/>
        <v>WWW Forecast</v>
      </c>
      <c r="Q27" s="41"/>
      <c r="R27" s="39"/>
      <c r="S27" s="39"/>
      <c r="T27" s="39"/>
      <c r="U27" s="42"/>
    </row>
    <row r="28" spans="2:23" ht="16" thickBot="1" x14ac:dyDescent="0.25">
      <c r="B28" s="905" t="s">
        <v>224</v>
      </c>
      <c r="C28" s="914" t="s">
        <v>224</v>
      </c>
      <c r="D28" s="928"/>
      <c r="E28" s="929"/>
      <c r="F28" s="911">
        <v>50</v>
      </c>
      <c r="G28" s="932" t="s">
        <v>224</v>
      </c>
      <c r="H28" s="99">
        <f>SUM('New summary'!J30:V30)</f>
        <v>0</v>
      </c>
      <c r="I28" s="205">
        <f t="shared" si="1"/>
        <v>0</v>
      </c>
      <c r="J28" s="96">
        <f>SUM('New summary'!W31:AI31)</f>
        <v>32687</v>
      </c>
      <c r="K28" s="204">
        <f t="shared" si="6"/>
        <v>1634350</v>
      </c>
      <c r="L28" s="96">
        <f>SUM('New summary'!AJ31:AV31)</f>
        <v>44699</v>
      </c>
      <c r="M28" s="204">
        <f t="shared" si="7"/>
        <v>2234950</v>
      </c>
      <c r="N28" s="96">
        <f>SUM('New summary'!AW31:BI31)</f>
        <v>54322</v>
      </c>
      <c r="O28" s="204">
        <f t="shared" si="8"/>
        <v>2716100</v>
      </c>
      <c r="P28" s="919" t="s">
        <v>224</v>
      </c>
      <c r="Q28" s="922"/>
      <c r="R28" s="923"/>
      <c r="S28" s="923"/>
      <c r="T28" s="923"/>
      <c r="U28" s="924"/>
    </row>
    <row r="29" spans="2:23" ht="17" thickBot="1" x14ac:dyDescent="0.25">
      <c r="D29" s="15"/>
      <c r="E29" s="15"/>
      <c r="F29" s="15"/>
      <c r="H29" s="915">
        <f>SUM(H3:H28)</f>
        <v>32748</v>
      </c>
      <c r="I29" s="206">
        <f t="shared" ref="I29:O29" si="16">SUM(I3:I28)</f>
        <v>1319560.26</v>
      </c>
      <c r="J29" s="250">
        <f t="shared" si="16"/>
        <v>65374</v>
      </c>
      <c r="K29" s="206">
        <f t="shared" si="16"/>
        <v>2666926.66</v>
      </c>
      <c r="L29" s="250">
        <f t="shared" si="16"/>
        <v>89398</v>
      </c>
      <c r="M29" s="206">
        <f t="shared" si="16"/>
        <v>4258361.9424999999</v>
      </c>
      <c r="N29" s="250">
        <f t="shared" si="16"/>
        <v>108644</v>
      </c>
      <c r="O29" s="206">
        <f t="shared" si="16"/>
        <v>4980774.8949999996</v>
      </c>
      <c r="Q29" s="380"/>
      <c r="R29" s="381">
        <f>SUM(R3:R25)</f>
        <v>226686</v>
      </c>
      <c r="S29" s="381">
        <f>SUM(S3:S25)</f>
        <v>173968</v>
      </c>
      <c r="T29" s="381">
        <f>SUM(T3:T25)</f>
        <v>273251</v>
      </c>
      <c r="U29" s="382">
        <f>SUM(U3:U25)</f>
        <v>359067.5</v>
      </c>
      <c r="W29" s="252">
        <f>SUM(R29:U29)/J32</f>
        <v>3.4878395078402509</v>
      </c>
    </row>
    <row r="30" spans="2:23" x14ac:dyDescent="0.2">
      <c r="B30" s="899"/>
      <c r="G30" s="15"/>
      <c r="H30" s="137"/>
      <c r="I30" s="537">
        <f>SUM(Cashflow!P50:AB50)-Margins!I29</f>
        <v>260304</v>
      </c>
      <c r="K30" s="203">
        <f>SUM(Cashflow!AC50:AO50)-Margins!K29</f>
        <v>-1122190.0000000002</v>
      </c>
      <c r="M30" s="203">
        <f>SUM(Cashflow!AP50:BB50)-Margins!M29</f>
        <v>-1955158.2999999998</v>
      </c>
      <c r="O30" s="203">
        <f>SUM(Cashflow!BC50:BO50)-Margins!O29</f>
        <v>-2378987.9999999995</v>
      </c>
      <c r="U30" s="137"/>
    </row>
    <row r="31" spans="2:23" ht="16" thickBot="1" x14ac:dyDescent="0.25">
      <c r="B31" s="899"/>
      <c r="H31" s="137"/>
      <c r="U31" s="137"/>
    </row>
    <row r="32" spans="2:23" ht="20" thickBot="1" x14ac:dyDescent="0.3">
      <c r="G32" s="397"/>
      <c r="H32" s="888" t="str">
        <f>"Total for "&amp;year</f>
        <v>Total for 2026</v>
      </c>
      <c r="I32" s="889"/>
      <c r="J32" s="536">
        <f>+H29+J29+L29+N29</f>
        <v>296164</v>
      </c>
      <c r="K32" s="396">
        <f>I29+K29+M29+O29</f>
        <v>13225623.7575</v>
      </c>
      <c r="U32" s="137"/>
    </row>
    <row r="33" spans="4:21" ht="16" thickBot="1" x14ac:dyDescent="0.25">
      <c r="M33" s="137"/>
      <c r="N33" s="137"/>
      <c r="O33" s="137"/>
    </row>
    <row r="34" spans="4:21" x14ac:dyDescent="0.2">
      <c r="D34" s="863" t="s">
        <v>475</v>
      </c>
      <c r="E34" s="806" t="str">
        <f>year&amp;" Q1"</f>
        <v>2026 Q1</v>
      </c>
      <c r="F34" s="806" t="str">
        <f>year&amp;" Q2"</f>
        <v>2026 Q2</v>
      </c>
      <c r="G34" s="806" t="str">
        <f>year&amp;" Q3"</f>
        <v>2026 Q3</v>
      </c>
      <c r="H34" s="803" t="str">
        <f>year&amp;" Q4"</f>
        <v>2026 Q4</v>
      </c>
      <c r="I34" s="933" t="s">
        <v>397</v>
      </c>
      <c r="N34" s="137"/>
      <c r="O34" s="137"/>
      <c r="P34" s="137"/>
    </row>
    <row r="35" spans="4:21" x14ac:dyDescent="0.2">
      <c r="D35" s="385" t="str" cm="1">
        <f t="array" ref="D35:D41">_xlfn.UNIQUE(B3:B28)</f>
        <v>Brunt</v>
      </c>
      <c r="E35" s="256">
        <f t="shared" ref="E35:E41" si="17">SUMIFS(I$3:I$28,$B$3:$B$28,$D35)</f>
        <v>993284.45999999985</v>
      </c>
      <c r="F35" s="256">
        <f>SUMIFS(K$3:K$28,$B$3:$B$28,$D35)</f>
        <v>805471.26</v>
      </c>
      <c r="G35" s="256">
        <f>SUMIFS(M$3:M$28,$B$3:$B$28,$D35)</f>
        <v>1040338.8600000001</v>
      </c>
      <c r="H35" s="275">
        <f>SUMIFS(O$3:O$28,$B$3:$B$28,$D35)</f>
        <v>1457500.7199999997</v>
      </c>
      <c r="I35" s="934">
        <f>SUM(E35:H35)</f>
        <v>4296595.3</v>
      </c>
      <c r="J35" s="251"/>
      <c r="K35" s="251"/>
      <c r="L35" s="251"/>
    </row>
    <row r="36" spans="4:21" x14ac:dyDescent="0.2">
      <c r="D36" s="385" t="str">
        <v>Chippewa</v>
      </c>
      <c r="E36" s="256">
        <f t="shared" si="17"/>
        <v>0</v>
      </c>
      <c r="F36" s="256">
        <f t="shared" ref="F36:F41" si="18">SUMIFS(K$3:K$28,$B$3:$B$28,$D36)</f>
        <v>0</v>
      </c>
      <c r="G36" s="256">
        <f t="shared" ref="G36:G41" si="19">SUMIFS(M$3:M$28,$B$3:$B$28,$D36)</f>
        <v>376415.08250000002</v>
      </c>
      <c r="H36" s="275">
        <f t="shared" ref="H36:H41" si="20">SUMIFS(O$3:O$28,$B$3:$B$28,$D36)</f>
        <v>222000.26500000001</v>
      </c>
      <c r="I36" s="934">
        <f t="shared" ref="I36:I42" si="21">SUM(E36:H36)</f>
        <v>598415.34750000003</v>
      </c>
      <c r="J36" s="251"/>
      <c r="K36" s="251"/>
      <c r="L36" s="251"/>
    </row>
    <row r="37" spans="4:21" x14ac:dyDescent="0.2">
      <c r="D37" s="385" t="str">
        <v>Firedex</v>
      </c>
      <c r="E37" s="256">
        <f t="shared" si="17"/>
        <v>0</v>
      </c>
      <c r="F37" s="256">
        <f t="shared" si="18"/>
        <v>0</v>
      </c>
      <c r="G37" s="256">
        <f t="shared" si="19"/>
        <v>91344</v>
      </c>
      <c r="H37" s="275">
        <f t="shared" si="20"/>
        <v>255200</v>
      </c>
      <c r="I37" s="934">
        <f t="shared" si="21"/>
        <v>346544</v>
      </c>
      <c r="J37" s="251"/>
      <c r="K37" s="251"/>
      <c r="L37" s="251"/>
    </row>
    <row r="38" spans="4:21" x14ac:dyDescent="0.2">
      <c r="D38" s="385" t="str">
        <v>US Boot</v>
      </c>
      <c r="E38" s="256">
        <f t="shared" si="17"/>
        <v>95100</v>
      </c>
      <c r="F38" s="256">
        <f t="shared" si="18"/>
        <v>91875</v>
      </c>
      <c r="G38" s="256">
        <f t="shared" si="19"/>
        <v>73750</v>
      </c>
      <c r="H38" s="275">
        <f t="shared" si="20"/>
        <v>62500</v>
      </c>
      <c r="I38" s="934">
        <f t="shared" si="21"/>
        <v>323225</v>
      </c>
      <c r="J38" s="251"/>
      <c r="K38" s="251"/>
      <c r="L38" s="251"/>
    </row>
    <row r="39" spans="4:21" x14ac:dyDescent="0.2">
      <c r="D39" s="385" t="str">
        <v>Weinbrenner</v>
      </c>
      <c r="E39" s="256">
        <f t="shared" si="17"/>
        <v>172200.6</v>
      </c>
      <c r="F39" s="256">
        <f t="shared" si="18"/>
        <v>102972.48</v>
      </c>
      <c r="G39" s="256">
        <f t="shared" si="19"/>
        <v>256039.67999999999</v>
      </c>
      <c r="H39" s="275">
        <f t="shared" si="20"/>
        <v>235079.91</v>
      </c>
      <c r="I39" s="934">
        <f t="shared" si="21"/>
        <v>766292.67</v>
      </c>
      <c r="J39" s="251"/>
      <c r="K39" s="251"/>
      <c r="L39" s="251"/>
    </row>
    <row r="40" spans="4:21" x14ac:dyDescent="0.2">
      <c r="D40" s="385" t="str">
        <v>WWW</v>
      </c>
      <c r="E40" s="256">
        <f t="shared" si="17"/>
        <v>58975.200000000012</v>
      </c>
      <c r="F40" s="256">
        <f t="shared" si="18"/>
        <v>32257.920000000006</v>
      </c>
      <c r="G40" s="256">
        <f t="shared" si="19"/>
        <v>185524.32</v>
      </c>
      <c r="H40" s="275">
        <f t="shared" si="20"/>
        <v>32394</v>
      </c>
      <c r="I40" s="934">
        <f t="shared" si="21"/>
        <v>309151.44000000006</v>
      </c>
      <c r="J40" s="251"/>
      <c r="K40" s="251"/>
      <c r="L40" s="251"/>
    </row>
    <row r="41" spans="4:21" x14ac:dyDescent="0.2">
      <c r="D41" s="385" t="str">
        <v>Ariat</v>
      </c>
      <c r="E41" s="256">
        <f t="shared" si="17"/>
        <v>0</v>
      </c>
      <c r="F41" s="256">
        <f t="shared" si="18"/>
        <v>1634350</v>
      </c>
      <c r="G41" s="256">
        <f t="shared" si="19"/>
        <v>2234950</v>
      </c>
      <c r="H41" s="275">
        <f t="shared" si="20"/>
        <v>2716100</v>
      </c>
      <c r="I41" s="934">
        <f t="shared" si="21"/>
        <v>6585400</v>
      </c>
      <c r="J41" s="255"/>
      <c r="K41" s="255"/>
      <c r="L41" s="255"/>
    </row>
    <row r="42" spans="4:21" ht="16" thickBot="1" x14ac:dyDescent="0.25">
      <c r="D42" s="936" t="s">
        <v>872</v>
      </c>
      <c r="E42" s="935">
        <f>SUM(E35:E41)</f>
        <v>1319560.26</v>
      </c>
      <c r="F42" s="935">
        <f t="shared" ref="F42:H42" si="22">SUM(F35:F41)</f>
        <v>2666926.66</v>
      </c>
      <c r="G42" s="935">
        <f t="shared" si="22"/>
        <v>4258361.9424999999</v>
      </c>
      <c r="H42" s="935">
        <f t="shared" si="22"/>
        <v>4980774.8949999996</v>
      </c>
      <c r="I42" s="936">
        <f t="shared" si="21"/>
        <v>13225623.7575</v>
      </c>
      <c r="M42" s="253"/>
      <c r="N42" s="253"/>
      <c r="O42" s="253"/>
      <c r="P42" s="253"/>
    </row>
    <row r="43" spans="4:21" x14ac:dyDescent="0.2">
      <c r="D43" s="938"/>
      <c r="E43" s="937"/>
      <c r="F43" s="937"/>
      <c r="G43" s="937"/>
      <c r="H43" s="937"/>
      <c r="I43" s="938"/>
      <c r="M43" s="253"/>
      <c r="N43" s="253"/>
      <c r="O43" s="253"/>
      <c r="P43" s="253"/>
    </row>
    <row r="44" spans="4:21" x14ac:dyDescent="0.2">
      <c r="D44" s="938"/>
      <c r="E44" s="937"/>
      <c r="F44" s="937"/>
      <c r="G44" s="937"/>
      <c r="H44" s="937"/>
      <c r="I44" s="938"/>
      <c r="M44" s="253"/>
      <c r="N44" s="253"/>
      <c r="O44" s="253"/>
      <c r="P44" s="253"/>
    </row>
    <row r="45" spans="4:21" x14ac:dyDescent="0.2">
      <c r="D45" s="938"/>
      <c r="E45" s="937"/>
      <c r="F45" s="937"/>
      <c r="G45" s="937"/>
      <c r="H45" s="937"/>
      <c r="I45" s="938"/>
      <c r="M45" s="253"/>
      <c r="N45" s="253"/>
      <c r="O45" s="253"/>
      <c r="P45" s="253"/>
    </row>
    <row r="46" spans="4:21" ht="20" thickBot="1" x14ac:dyDescent="0.3">
      <c r="D46" s="390"/>
      <c r="E46" s="390"/>
      <c r="F46" s="390"/>
      <c r="G46" s="390"/>
      <c r="H46" s="390"/>
      <c r="I46" s="390"/>
      <c r="J46" s="390"/>
      <c r="K46" s="390"/>
      <c r="L46" s="390"/>
      <c r="M46" s="390"/>
      <c r="O46" s="807"/>
      <c r="P46" s="807"/>
      <c r="Q46" s="807"/>
      <c r="R46" s="807"/>
      <c r="U46" s="137"/>
    </row>
    <row r="47" spans="4:21" ht="20" thickBot="1" x14ac:dyDescent="0.3">
      <c r="D47" s="391"/>
      <c r="E47" s="476"/>
      <c r="F47" s="808" t="str">
        <f>year&amp;" Q1"</f>
        <v>2026 Q1</v>
      </c>
      <c r="G47" s="809" t="str">
        <f>year&amp;" Q2"</f>
        <v>2026 Q2</v>
      </c>
      <c r="H47" s="809" t="str">
        <f>year&amp;" Q3"</f>
        <v>2026 Q3</v>
      </c>
      <c r="I47" s="810" t="str">
        <f>year&amp;" Q4"</f>
        <v>2026 Q4</v>
      </c>
      <c r="R47" s="137"/>
    </row>
    <row r="48" spans="4:21" x14ac:dyDescent="0.2">
      <c r="D48" s="392"/>
      <c r="F48" s="893" t="s">
        <v>476</v>
      </c>
      <c r="G48" s="894"/>
      <c r="H48" s="894"/>
      <c r="I48" s="895"/>
      <c r="M48" s="137"/>
    </row>
    <row r="49" spans="4:21" ht="80" x14ac:dyDescent="0.2">
      <c r="D49" s="393" t="s">
        <v>477</v>
      </c>
      <c r="E49" s="811" t="s">
        <v>478</v>
      </c>
      <c r="F49" s="387">
        <f>180000*3</f>
        <v>540000</v>
      </c>
      <c r="G49" s="256">
        <f>+F49+200000</f>
        <v>740000</v>
      </c>
      <c r="H49" s="256">
        <f>F49+(F49*10%)</f>
        <v>594000</v>
      </c>
      <c r="I49" s="275">
        <v>1000000</v>
      </c>
      <c r="K49" t="s">
        <v>479</v>
      </c>
      <c r="M49" s="137"/>
    </row>
    <row r="50" spans="4:21" ht="32" x14ac:dyDescent="0.2">
      <c r="D50" s="393" t="s">
        <v>480</v>
      </c>
      <c r="E50" s="811" t="str">
        <f>+D50</f>
        <v>7.5% Duty &amp; Tariffs</v>
      </c>
      <c r="F50" s="387">
        <f>+R29</f>
        <v>226686</v>
      </c>
      <c r="G50" s="256">
        <f>+S29</f>
        <v>173968</v>
      </c>
      <c r="H50" s="256">
        <f>+T29</f>
        <v>273251</v>
      </c>
      <c r="I50" s="275">
        <f>+U29</f>
        <v>359067.5</v>
      </c>
      <c r="M50" s="137"/>
    </row>
    <row r="51" spans="4:21" ht="32" x14ac:dyDescent="0.2">
      <c r="D51" s="393" t="s">
        <v>481</v>
      </c>
      <c r="E51" s="811" t="s">
        <v>481</v>
      </c>
      <c r="F51" s="388">
        <f>80000*3</f>
        <v>240000</v>
      </c>
      <c r="G51" s="256">
        <f>+F51</f>
        <v>240000</v>
      </c>
      <c r="H51" s="256">
        <f>+G51+(G51*30%)</f>
        <v>312000</v>
      </c>
      <c r="I51" s="275">
        <f>+H51</f>
        <v>312000</v>
      </c>
      <c r="M51" s="137"/>
    </row>
    <row r="52" spans="4:21" ht="32" x14ac:dyDescent="0.2">
      <c r="D52" s="393" t="s">
        <v>482</v>
      </c>
      <c r="E52" s="811" t="s">
        <v>482</v>
      </c>
      <c r="F52" s="388">
        <v>45000</v>
      </c>
      <c r="G52" s="256">
        <f>+F52</f>
        <v>45000</v>
      </c>
      <c r="H52" s="256">
        <f>+G52+(G52*30%)</f>
        <v>58500</v>
      </c>
      <c r="I52" s="275">
        <f>+H52</f>
        <v>58500</v>
      </c>
      <c r="M52" s="137"/>
    </row>
    <row r="53" spans="4:21" ht="17" thickBot="1" x14ac:dyDescent="0.25">
      <c r="D53" s="394" t="s">
        <v>483</v>
      </c>
      <c r="E53" s="395" t="s">
        <v>483</v>
      </c>
      <c r="F53" s="389">
        <f>+F52+F51+F49+F50</f>
        <v>1051686</v>
      </c>
      <c r="G53" s="386">
        <f>+G52+G51+G49+G50</f>
        <v>1198968</v>
      </c>
      <c r="H53" s="386">
        <f>+H52+H51+H49+H50</f>
        <v>1237751</v>
      </c>
      <c r="I53" s="204">
        <f>+I52+I51+I49+I50</f>
        <v>1729567.5</v>
      </c>
      <c r="M53" s="137"/>
    </row>
    <row r="54" spans="4:21" ht="16" thickBot="1" x14ac:dyDescent="0.25">
      <c r="F54" s="890">
        <f>+I53+F53+G53+H53</f>
        <v>5217972.5</v>
      </c>
      <c r="G54" s="891"/>
      <c r="H54" s="891"/>
      <c r="I54" s="892"/>
      <c r="U54" s="137"/>
    </row>
    <row r="55" spans="4:21" ht="16" thickBot="1" x14ac:dyDescent="0.25">
      <c r="I55" s="137"/>
      <c r="U55" s="137"/>
    </row>
    <row r="56" spans="4:21" ht="16" x14ac:dyDescent="0.2">
      <c r="D56" s="812"/>
      <c r="E56" s="294" t="s">
        <v>471</v>
      </c>
      <c r="F56" s="294" t="s">
        <v>472</v>
      </c>
      <c r="G56" s="294" t="s">
        <v>473</v>
      </c>
      <c r="H56" s="294" t="s">
        <v>474</v>
      </c>
      <c r="I56" s="548" t="s">
        <v>397</v>
      </c>
      <c r="J56" s="813"/>
    </row>
    <row r="57" spans="4:21" ht="68" x14ac:dyDescent="0.2">
      <c r="D57" s="291" t="s">
        <v>484</v>
      </c>
      <c r="E57" s="814"/>
      <c r="F57" s="814"/>
      <c r="G57" s="814"/>
      <c r="H57" s="814"/>
      <c r="I57" s="550"/>
      <c r="J57" s="815"/>
    </row>
    <row r="58" spans="4:21" ht="17" x14ac:dyDescent="0.2">
      <c r="D58" s="292" t="s">
        <v>485</v>
      </c>
      <c r="E58" s="816">
        <f>+I3+I4+I6+I7+I8+I16+I5+I9+I10</f>
        <v>993284.45999999985</v>
      </c>
      <c r="F58" s="816">
        <f>+K3+K4+K5+K6+K7+K8+K16+K9+K10</f>
        <v>805471.26</v>
      </c>
      <c r="G58" s="816">
        <f>+M3+M4+M5+M6+M7+M8+M9+M10+M16</f>
        <v>1131682.8600000001</v>
      </c>
      <c r="H58" s="816">
        <f>+O3+O4+O5+O6+O7+O8+O9+O10+O16</f>
        <v>1712700.7199999997</v>
      </c>
      <c r="I58" s="551">
        <f>+H58+G58+F58+E58</f>
        <v>4643139.3</v>
      </c>
      <c r="J58" s="817">
        <f>+I58/I61</f>
        <v>0.36146659015292865</v>
      </c>
    </row>
    <row r="59" spans="4:21" ht="17" x14ac:dyDescent="0.2">
      <c r="D59" s="293" t="s">
        <v>486</v>
      </c>
      <c r="E59" s="816">
        <f>+I11+I12+I13+I14+I21+I22+I20+I19+I15+I23</f>
        <v>326275.80000000005</v>
      </c>
      <c r="F59" s="816">
        <f>+K19+K28+K15+K23+K20+K18</f>
        <v>1861455.4</v>
      </c>
      <c r="G59" s="816">
        <f>+M19+M28+M15+M23+77+M20+M18</f>
        <v>2778728.6025</v>
      </c>
      <c r="H59" s="816">
        <f>+O19+O28+O15+O23+O20+O18</f>
        <v>3235680.1750000003</v>
      </c>
      <c r="I59" s="551">
        <f>+H59+G59+F59+E59</f>
        <v>8202139.9775</v>
      </c>
      <c r="J59" s="817">
        <f>+I59/I61</f>
        <v>0.63853340984707141</v>
      </c>
    </row>
    <row r="60" spans="4:21" ht="16" x14ac:dyDescent="0.2">
      <c r="D60" s="818"/>
      <c r="E60" s="816"/>
      <c r="F60" s="816"/>
      <c r="G60" s="816"/>
      <c r="H60" s="816"/>
      <c r="I60" s="551"/>
      <c r="J60" s="819"/>
    </row>
    <row r="61" spans="4:21" s="89" customFormat="1" ht="34" x14ac:dyDescent="0.2">
      <c r="D61" s="444" t="s">
        <v>487</v>
      </c>
      <c r="E61" s="816">
        <f>+E58+E59</f>
        <v>1319560.2599999998</v>
      </c>
      <c r="F61" s="816">
        <f>+F58+F59</f>
        <v>2666926.66</v>
      </c>
      <c r="G61" s="816">
        <f>+G58+G59</f>
        <v>3910411.4625000004</v>
      </c>
      <c r="H61" s="816">
        <f>+H58+H59</f>
        <v>4948380.8949999996</v>
      </c>
      <c r="I61" s="551">
        <f>+H61+G61+F61+E61</f>
        <v>12845279.2775</v>
      </c>
      <c r="J61" s="819"/>
    </row>
    <row r="62" spans="4:21" s="89" customFormat="1" ht="16" x14ac:dyDescent="0.2">
      <c r="D62" s="444"/>
      <c r="E62" s="549"/>
      <c r="F62" s="816"/>
      <c r="G62" s="816"/>
      <c r="H62" s="816"/>
      <c r="I62" s="551"/>
      <c r="J62" s="819"/>
    </row>
    <row r="63" spans="4:21" s="483" customFormat="1" ht="34" x14ac:dyDescent="0.2">
      <c r="D63" s="538" t="s">
        <v>488</v>
      </c>
      <c r="E63" s="820">
        <f>-F53</f>
        <v>-1051686</v>
      </c>
      <c r="F63" s="820">
        <f>-G53</f>
        <v>-1198968</v>
      </c>
      <c r="G63" s="820">
        <f>-H53</f>
        <v>-1237751</v>
      </c>
      <c r="H63" s="820">
        <f>-I53</f>
        <v>-1729567.5</v>
      </c>
      <c r="I63" s="552">
        <f>+H63+G63+F63+E63</f>
        <v>-5217972.5</v>
      </c>
      <c r="J63" s="821"/>
    </row>
    <row r="64" spans="4:21" s="89" customFormat="1" ht="16" x14ac:dyDescent="0.2">
      <c r="D64" s="444"/>
      <c r="E64" s="816"/>
      <c r="F64" s="816"/>
      <c r="G64" s="816"/>
      <c r="H64" s="816"/>
      <c r="I64" s="551"/>
      <c r="J64" s="819"/>
    </row>
    <row r="65" spans="4:21" s="89" customFormat="1" ht="17" x14ac:dyDescent="0.2">
      <c r="D65" s="444" t="s">
        <v>489</v>
      </c>
      <c r="E65" s="549">
        <f>+E61+E63</f>
        <v>267874.25999999978</v>
      </c>
      <c r="F65" s="549">
        <f>+F61+F63</f>
        <v>1467958.6600000001</v>
      </c>
      <c r="G65" s="549">
        <f>+G61+G63</f>
        <v>2672660.4625000004</v>
      </c>
      <c r="H65" s="549">
        <f>+H61+H63</f>
        <v>3218813.3949999996</v>
      </c>
      <c r="I65" s="551">
        <f>+I61+I63</f>
        <v>7627306.7774999999</v>
      </c>
      <c r="J65" s="819"/>
    </row>
    <row r="66" spans="4:21" ht="16" thickBot="1" x14ac:dyDescent="0.25">
      <c r="P66" s="137"/>
    </row>
    <row r="67" spans="4:21" x14ac:dyDescent="0.2">
      <c r="E67" s="539"/>
      <c r="F67" s="53" t="s">
        <v>397</v>
      </c>
      <c r="G67" s="53" t="s">
        <v>401</v>
      </c>
      <c r="H67" s="53" t="s">
        <v>402</v>
      </c>
      <c r="I67" s="53" t="s">
        <v>403</v>
      </c>
      <c r="J67" s="53" t="s">
        <v>404</v>
      </c>
      <c r="K67" s="53" t="s">
        <v>266</v>
      </c>
      <c r="L67" s="53" t="s">
        <v>445</v>
      </c>
      <c r="M67" s="53" t="s">
        <v>268</v>
      </c>
      <c r="N67" s="53" t="s">
        <v>405</v>
      </c>
      <c r="O67" s="53" t="s">
        <v>446</v>
      </c>
      <c r="P67" s="53" t="s">
        <v>407</v>
      </c>
      <c r="Q67" s="53" t="s">
        <v>408</v>
      </c>
      <c r="R67" s="53" t="s">
        <v>409</v>
      </c>
      <c r="S67" s="545"/>
      <c r="U67" s="137"/>
    </row>
    <row r="68" spans="4:21" x14ac:dyDescent="0.2">
      <c r="E68" s="540"/>
      <c r="F68" s="540"/>
      <c r="G68" s="540"/>
      <c r="H68" s="540"/>
      <c r="I68" s="540"/>
      <c r="J68" s="540"/>
      <c r="K68" s="540"/>
      <c r="L68" s="540"/>
      <c r="M68" s="540"/>
      <c r="N68" s="540"/>
      <c r="O68" s="546" t="s">
        <v>447</v>
      </c>
      <c r="P68" s="540"/>
      <c r="Q68" s="540"/>
      <c r="R68" s="540"/>
      <c r="S68" s="137"/>
      <c r="U68" s="137"/>
    </row>
    <row r="69" spans="4:21" s="15" customFormat="1" x14ac:dyDescent="0.2">
      <c r="E69" s="541" t="s">
        <v>490</v>
      </c>
      <c r="F69" s="541">
        <f>SUM(G69:S69)</f>
        <v>164456</v>
      </c>
      <c r="G69" s="541">
        <f>+'New summary'!L43</f>
        <v>10581</v>
      </c>
      <c r="H69" s="541">
        <f>+'New summary'!M43</f>
        <v>9677</v>
      </c>
      <c r="I69" s="541">
        <f>+'New summary'!N43</f>
        <v>11390</v>
      </c>
      <c r="J69" s="541">
        <f>+'New summary'!O43</f>
        <v>11033</v>
      </c>
      <c r="K69" s="541">
        <f>+'New summary'!P43</f>
        <v>9878</v>
      </c>
      <c r="L69" s="541">
        <f>+'New summary'!Q43</f>
        <v>10590</v>
      </c>
      <c r="M69" s="541">
        <f>+'New summary'!R43</f>
        <v>14298</v>
      </c>
      <c r="N69" s="541">
        <f>+'New summary'!S43</f>
        <v>14458</v>
      </c>
      <c r="O69" s="541">
        <f>+'New summary'!T43</f>
        <v>18229</v>
      </c>
      <c r="P69" s="541">
        <f>+'New summary'!U43</f>
        <v>20296</v>
      </c>
      <c r="Q69" s="541">
        <f>+'New summary'!V43</f>
        <v>15429</v>
      </c>
      <c r="R69" s="541">
        <f>+'New summary'!W43</f>
        <v>18597</v>
      </c>
    </row>
    <row r="70" spans="4:21" s="512" customFormat="1" ht="16" thickBot="1" x14ac:dyDescent="0.25">
      <c r="E70" s="544" t="s">
        <v>491</v>
      </c>
      <c r="F70" s="544">
        <f>SUM(G70:S70)</f>
        <v>8029591.4574999996</v>
      </c>
      <c r="G70" s="544">
        <f>+Cashflow!P50+Cashflow!Q50+Cashflow!R50+Cashflow!S50</f>
        <v>423905.32999999996</v>
      </c>
      <c r="H70" s="544">
        <f>+Cashflow!T50+Cashflow!U50+Cashflow!V50+Cashflow!W50</f>
        <v>525561.89</v>
      </c>
      <c r="I70" s="544">
        <f>+Cashflow!X50+Cashflow!Y50+Cashflow!Z50+Cashflow!AA50+Cashflow!AB50</f>
        <v>630397.04</v>
      </c>
      <c r="J70" s="544">
        <f>+Cashflow!AC50+Cashflow!AD50+Cashflow!AE50+Cashflow!AF50</f>
        <v>447693</v>
      </c>
      <c r="K70" s="544">
        <f>+Cashflow!AG50+Cashflow!AH50+Cashflow!AI50+Cashflow!AJ50</f>
        <v>622411.74</v>
      </c>
      <c r="L70" s="544">
        <f>+Cashflow!AK50+Cashflow!AL50+Cashflow!AM50+Cashflow!AN50+Cashflow!AO50</f>
        <v>474631.92000000004</v>
      </c>
      <c r="M70" s="544">
        <f>+Cashflow!AP50+Cashflow!AQ50+Cashflow!AR50+Cashflow!AS50</f>
        <v>598984.43999999994</v>
      </c>
      <c r="N70" s="544">
        <f>+Cashflow!AT50+Cashflow!AU50+Cashflow!AV50+Cashflow!AW50</f>
        <v>788718.06</v>
      </c>
      <c r="O70" s="544">
        <f>+Cashflow!AX50+Cashflow!AY50+Cashflow!AZ50+Cashflow!BA50+Cashflow!BB50</f>
        <v>915501.14249999996</v>
      </c>
      <c r="P70" s="544">
        <f>+Cashflow!BC50+Cashflow!BD50+Cashflow!BE50+Cashflow!BF50</f>
        <v>775144.255</v>
      </c>
      <c r="Q70" s="544">
        <f>+Cashflow!BG50+Cashflow!BH50+Cashflow!BI50+Cashflow!BJ50</f>
        <v>858424.38</v>
      </c>
      <c r="R70" s="544">
        <f>+Cashflow!BK50+Cashflow!BL50+Cashflow!BM50+Cashflow!BN50+Cashflow!BO50</f>
        <v>968218.26</v>
      </c>
    </row>
    <row r="71" spans="4:21" s="15" customFormat="1" x14ac:dyDescent="0.2">
      <c r="E71" s="540"/>
      <c r="F71" s="540"/>
      <c r="G71" s="540"/>
      <c r="H71" s="540"/>
      <c r="I71" s="540"/>
      <c r="J71" s="540"/>
      <c r="K71" s="540"/>
      <c r="L71" s="540"/>
      <c r="M71" s="540"/>
      <c r="N71" s="540"/>
      <c r="O71" s="540"/>
      <c r="P71" s="540"/>
      <c r="Q71" s="540"/>
      <c r="R71" s="540"/>
    </row>
    <row r="72" spans="4:21" s="15" customFormat="1" x14ac:dyDescent="0.2">
      <c r="E72" s="541" t="s">
        <v>492</v>
      </c>
      <c r="F72" s="540"/>
      <c r="G72" s="540"/>
      <c r="H72" s="540"/>
      <c r="I72" s="540"/>
      <c r="J72" s="540"/>
      <c r="K72" s="540"/>
      <c r="L72" s="540"/>
      <c r="M72" s="540"/>
      <c r="N72" s="540"/>
      <c r="O72" s="540"/>
      <c r="P72" s="540"/>
      <c r="Q72" s="540"/>
      <c r="R72" s="540"/>
    </row>
    <row r="73" spans="4:21" s="512" customFormat="1" x14ac:dyDescent="0.2">
      <c r="E73" s="543" t="s">
        <v>493</v>
      </c>
      <c r="F73" s="543">
        <f t="shared" ref="F73:F79" si="23">SUM(G73:S73)</f>
        <v>2674000</v>
      </c>
      <c r="G73" s="543">
        <f>+F49/3</f>
        <v>180000</v>
      </c>
      <c r="H73" s="543">
        <f>+G73</f>
        <v>180000</v>
      </c>
      <c r="I73" s="543">
        <f>+H73</f>
        <v>180000</v>
      </c>
      <c r="J73" s="543">
        <f>+I73</f>
        <v>180000</v>
      </c>
      <c r="K73" s="543">
        <f>+J73</f>
        <v>180000</v>
      </c>
      <c r="L73" s="543">
        <f>+K73</f>
        <v>180000</v>
      </c>
      <c r="M73" s="646">
        <f>+H49/3</f>
        <v>198000</v>
      </c>
      <c r="N73" s="543">
        <f t="shared" ref="N73:R73" si="24">+M73</f>
        <v>198000</v>
      </c>
      <c r="O73" s="543">
        <f t="shared" si="24"/>
        <v>198000</v>
      </c>
      <c r="P73" s="543">
        <f>+I49/3</f>
        <v>333333.33333333331</v>
      </c>
      <c r="Q73" s="543">
        <f t="shared" si="24"/>
        <v>333333.33333333331</v>
      </c>
      <c r="R73" s="543">
        <f t="shared" si="24"/>
        <v>333333.33333333331</v>
      </c>
    </row>
    <row r="74" spans="4:21" s="512" customFormat="1" x14ac:dyDescent="0.2">
      <c r="E74" s="543" t="s">
        <v>494</v>
      </c>
      <c r="F74" s="543">
        <f t="shared" si="23"/>
        <v>1032972.4999999998</v>
      </c>
      <c r="G74" s="543">
        <f>+F50/3</f>
        <v>75562</v>
      </c>
      <c r="H74" s="543">
        <f>+G74</f>
        <v>75562</v>
      </c>
      <c r="I74" s="543">
        <f t="shared" ref="I74:R74" si="25">+H74</f>
        <v>75562</v>
      </c>
      <c r="J74" s="543">
        <f>+G50/3</f>
        <v>57989.333333333336</v>
      </c>
      <c r="K74" s="543">
        <f t="shared" si="25"/>
        <v>57989.333333333336</v>
      </c>
      <c r="L74" s="543">
        <f t="shared" si="25"/>
        <v>57989.333333333336</v>
      </c>
      <c r="M74" s="646">
        <f>+H50/3</f>
        <v>91083.666666666672</v>
      </c>
      <c r="N74" s="543">
        <f t="shared" si="25"/>
        <v>91083.666666666672</v>
      </c>
      <c r="O74" s="543">
        <f t="shared" si="25"/>
        <v>91083.666666666672</v>
      </c>
      <c r="P74" s="543">
        <f>+I50/3</f>
        <v>119689.16666666667</v>
      </c>
      <c r="Q74" s="543">
        <f t="shared" si="25"/>
        <v>119689.16666666667</v>
      </c>
      <c r="R74" s="543">
        <f t="shared" si="25"/>
        <v>119689.16666666667</v>
      </c>
    </row>
    <row r="75" spans="4:21" s="512" customFormat="1" x14ac:dyDescent="0.2">
      <c r="E75" s="543" t="s">
        <v>495</v>
      </c>
      <c r="F75" s="543">
        <f t="shared" si="23"/>
        <v>1104000</v>
      </c>
      <c r="G75" s="543">
        <f>+F51/3</f>
        <v>80000</v>
      </c>
      <c r="H75" s="543">
        <f>+G75</f>
        <v>80000</v>
      </c>
      <c r="I75" s="543">
        <f t="shared" ref="I75:L76" si="26">+H75</f>
        <v>80000</v>
      </c>
      <c r="J75" s="543">
        <f t="shared" si="26"/>
        <v>80000</v>
      </c>
      <c r="K75" s="543">
        <f t="shared" si="26"/>
        <v>80000</v>
      </c>
      <c r="L75" s="543">
        <f t="shared" si="26"/>
        <v>80000</v>
      </c>
      <c r="M75" s="646">
        <f>+H51/3</f>
        <v>104000</v>
      </c>
      <c r="N75" s="543">
        <f t="shared" ref="N75:R76" si="27">+M75</f>
        <v>104000</v>
      </c>
      <c r="O75" s="543">
        <f t="shared" si="27"/>
        <v>104000</v>
      </c>
      <c r="P75" s="543">
        <f t="shared" si="27"/>
        <v>104000</v>
      </c>
      <c r="Q75" s="543">
        <f t="shared" si="27"/>
        <v>104000</v>
      </c>
      <c r="R75" s="543">
        <f t="shared" si="27"/>
        <v>104000</v>
      </c>
    </row>
    <row r="76" spans="4:21" s="512" customFormat="1" x14ac:dyDescent="0.2">
      <c r="E76" s="543" t="s">
        <v>496</v>
      </c>
      <c r="F76" s="543">
        <f t="shared" si="23"/>
        <v>207000</v>
      </c>
      <c r="G76" s="543">
        <f>+F52/3</f>
        <v>15000</v>
      </c>
      <c r="H76" s="543">
        <f>+G76</f>
        <v>15000</v>
      </c>
      <c r="I76" s="543">
        <f t="shared" si="26"/>
        <v>15000</v>
      </c>
      <c r="J76" s="543">
        <f t="shared" si="26"/>
        <v>15000</v>
      </c>
      <c r="K76" s="543">
        <f t="shared" si="26"/>
        <v>15000</v>
      </c>
      <c r="L76" s="543">
        <f t="shared" si="26"/>
        <v>15000</v>
      </c>
      <c r="M76" s="646">
        <f>+H52/3</f>
        <v>19500</v>
      </c>
      <c r="N76" s="543">
        <f t="shared" si="27"/>
        <v>19500</v>
      </c>
      <c r="O76" s="543">
        <f t="shared" si="27"/>
        <v>19500</v>
      </c>
      <c r="P76" s="543">
        <f t="shared" si="27"/>
        <v>19500</v>
      </c>
      <c r="Q76" s="543">
        <f t="shared" si="27"/>
        <v>19500</v>
      </c>
      <c r="R76" s="543">
        <f t="shared" si="27"/>
        <v>19500</v>
      </c>
    </row>
    <row r="77" spans="4:21" s="512" customFormat="1" x14ac:dyDescent="0.2">
      <c r="E77" s="543" t="s">
        <v>497</v>
      </c>
      <c r="F77" s="543">
        <f t="shared" si="23"/>
        <v>200000</v>
      </c>
      <c r="G77" s="543"/>
      <c r="H77" s="543"/>
      <c r="I77" s="543"/>
      <c r="J77" s="543">
        <v>150000</v>
      </c>
      <c r="K77" s="543">
        <v>50000</v>
      </c>
      <c r="L77" s="543"/>
      <c r="M77" s="543"/>
      <c r="N77" s="543"/>
      <c r="O77" s="543"/>
      <c r="P77" s="543"/>
      <c r="Q77" s="543"/>
      <c r="R77" s="543"/>
    </row>
    <row r="78" spans="4:21" s="512" customFormat="1" x14ac:dyDescent="0.2">
      <c r="E78" s="543"/>
      <c r="F78" s="543"/>
      <c r="G78" s="543"/>
      <c r="H78" s="543"/>
      <c r="I78" s="543"/>
      <c r="J78" s="543"/>
      <c r="K78" s="543"/>
      <c r="L78" s="543"/>
      <c r="M78" s="543"/>
      <c r="N78" s="543"/>
      <c r="O78" s="543"/>
      <c r="P78" s="543"/>
      <c r="Q78" s="543"/>
      <c r="R78" s="543"/>
    </row>
    <row r="79" spans="4:21" s="512" customFormat="1" x14ac:dyDescent="0.2">
      <c r="E79" s="542" t="s">
        <v>498</v>
      </c>
      <c r="F79" s="542">
        <f t="shared" si="23"/>
        <v>5217972.5</v>
      </c>
      <c r="G79" s="542">
        <f>SUM(G73:G78)</f>
        <v>350562</v>
      </c>
      <c r="H79" s="542">
        <f t="shared" ref="H79:R79" si="28">SUM(H73:H78)</f>
        <v>350562</v>
      </c>
      <c r="I79" s="542">
        <f t="shared" si="28"/>
        <v>350562</v>
      </c>
      <c r="J79" s="542">
        <f t="shared" si="28"/>
        <v>482989.33333333337</v>
      </c>
      <c r="K79" s="542">
        <f t="shared" si="28"/>
        <v>382989.33333333337</v>
      </c>
      <c r="L79" s="542">
        <f t="shared" si="28"/>
        <v>332989.33333333337</v>
      </c>
      <c r="M79" s="542">
        <f t="shared" si="28"/>
        <v>412583.66666666669</v>
      </c>
      <c r="N79" s="542">
        <f t="shared" si="28"/>
        <v>412583.66666666669</v>
      </c>
      <c r="O79" s="542">
        <f t="shared" si="28"/>
        <v>412583.66666666669</v>
      </c>
      <c r="P79" s="542">
        <f t="shared" si="28"/>
        <v>576522.5</v>
      </c>
      <c r="Q79" s="542">
        <f t="shared" si="28"/>
        <v>576522.5</v>
      </c>
      <c r="R79" s="542">
        <f t="shared" si="28"/>
        <v>576522.5</v>
      </c>
    </row>
    <row r="80" spans="4:21" s="89" customFormat="1" x14ac:dyDescent="0.2">
      <c r="E80" s="543"/>
      <c r="F80" s="543"/>
      <c r="G80" s="543"/>
      <c r="H80" s="543"/>
      <c r="I80" s="543"/>
      <c r="J80" s="543"/>
      <c r="K80" s="543"/>
      <c r="L80" s="543"/>
      <c r="M80" s="543"/>
      <c r="N80" s="543"/>
      <c r="O80" s="543"/>
      <c r="P80" s="543"/>
      <c r="Q80" s="543"/>
      <c r="R80" s="543"/>
      <c r="U80" s="251"/>
    </row>
    <row r="81" spans="5:21" s="89" customFormat="1" ht="16" thickBot="1" x14ac:dyDescent="0.25">
      <c r="E81" s="547" t="s">
        <v>499</v>
      </c>
      <c r="F81" s="547">
        <f>+F70-F79</f>
        <v>2811618.9574999996</v>
      </c>
      <c r="G81" s="547">
        <f t="shared" ref="G81:R81" si="29">+G70-G79</f>
        <v>73343.329999999958</v>
      </c>
      <c r="H81" s="547">
        <f t="shared" si="29"/>
        <v>174999.89</v>
      </c>
      <c r="I81" s="547">
        <f t="shared" si="29"/>
        <v>279835.04000000004</v>
      </c>
      <c r="J81" s="547">
        <f t="shared" si="29"/>
        <v>-35296.333333333372</v>
      </c>
      <c r="K81" s="547">
        <f t="shared" si="29"/>
        <v>239422.40666666662</v>
      </c>
      <c r="L81" s="547">
        <f t="shared" si="29"/>
        <v>141642.58666666667</v>
      </c>
      <c r="M81" s="547">
        <f t="shared" si="29"/>
        <v>186400.77333333326</v>
      </c>
      <c r="N81" s="547">
        <f t="shared" si="29"/>
        <v>376134.39333333337</v>
      </c>
      <c r="O81" s="547">
        <f t="shared" si="29"/>
        <v>502917.47583333327</v>
      </c>
      <c r="P81" s="547">
        <f t="shared" si="29"/>
        <v>198621.755</v>
      </c>
      <c r="Q81" s="547">
        <f t="shared" si="29"/>
        <v>281901.88</v>
      </c>
      <c r="R81" s="547">
        <f t="shared" si="29"/>
        <v>391695.76</v>
      </c>
      <c r="U81" s="251"/>
    </row>
    <row r="82" spans="5:21" x14ac:dyDescent="0.2">
      <c r="I82" s="137"/>
      <c r="U82" s="137"/>
    </row>
    <row r="83" spans="5:21" x14ac:dyDescent="0.2">
      <c r="E83" t="s">
        <v>500</v>
      </c>
      <c r="F83" s="543">
        <f>SUM(G83:S83)</f>
        <v>600000</v>
      </c>
      <c r="I83" s="137">
        <v>60000</v>
      </c>
      <c r="J83">
        <f>+I83</f>
        <v>60000</v>
      </c>
      <c r="K83">
        <f t="shared" ref="K83:R83" si="30">+J83</f>
        <v>60000</v>
      </c>
      <c r="L83">
        <f t="shared" si="30"/>
        <v>60000</v>
      </c>
      <c r="M83">
        <f t="shared" si="30"/>
        <v>60000</v>
      </c>
      <c r="N83">
        <f t="shared" si="30"/>
        <v>60000</v>
      </c>
      <c r="O83">
        <f t="shared" si="30"/>
        <v>60000</v>
      </c>
      <c r="P83">
        <f t="shared" si="30"/>
        <v>60000</v>
      </c>
      <c r="Q83">
        <f t="shared" si="30"/>
        <v>60000</v>
      </c>
      <c r="R83">
        <f t="shared" si="30"/>
        <v>60000</v>
      </c>
      <c r="U83" s="137"/>
    </row>
    <row r="84" spans="5:21" x14ac:dyDescent="0.2">
      <c r="E84" t="s">
        <v>501</v>
      </c>
      <c r="F84" s="543">
        <f>SUM(G84:S84)</f>
        <v>300000</v>
      </c>
      <c r="I84" s="137">
        <v>30000</v>
      </c>
      <c r="J84">
        <f>+I84</f>
        <v>30000</v>
      </c>
      <c r="K84">
        <f t="shared" ref="K84:R84" si="31">+J84</f>
        <v>30000</v>
      </c>
      <c r="L84">
        <f t="shared" si="31"/>
        <v>30000</v>
      </c>
      <c r="M84">
        <f t="shared" si="31"/>
        <v>30000</v>
      </c>
      <c r="N84">
        <f t="shared" si="31"/>
        <v>30000</v>
      </c>
      <c r="O84">
        <f t="shared" si="31"/>
        <v>30000</v>
      </c>
      <c r="P84">
        <f t="shared" si="31"/>
        <v>30000</v>
      </c>
      <c r="Q84">
        <f t="shared" si="31"/>
        <v>30000</v>
      </c>
      <c r="R84">
        <f t="shared" si="31"/>
        <v>30000</v>
      </c>
      <c r="U84" s="137"/>
    </row>
    <row r="85" spans="5:21" x14ac:dyDescent="0.2">
      <c r="E85" t="s">
        <v>502</v>
      </c>
      <c r="F85" s="543">
        <f>SUM(G85:S85)</f>
        <v>300000</v>
      </c>
      <c r="I85" s="137">
        <v>30000</v>
      </c>
      <c r="J85" s="137">
        <v>30000</v>
      </c>
      <c r="K85" s="137">
        <v>30000</v>
      </c>
      <c r="L85" s="137">
        <v>30000</v>
      </c>
      <c r="M85" s="137">
        <v>30000</v>
      </c>
      <c r="N85" s="137">
        <v>30000</v>
      </c>
      <c r="O85" s="137">
        <v>30000</v>
      </c>
      <c r="P85" s="137">
        <v>30000</v>
      </c>
      <c r="Q85" s="137">
        <v>30000</v>
      </c>
      <c r="R85" s="137">
        <v>30000</v>
      </c>
      <c r="U85" s="137"/>
    </row>
    <row r="86" spans="5:21" x14ac:dyDescent="0.2">
      <c r="I86" s="137"/>
      <c r="U86" s="137"/>
    </row>
    <row r="87" spans="5:21" x14ac:dyDescent="0.2">
      <c r="E87" t="s">
        <v>503</v>
      </c>
      <c r="G87" s="553">
        <v>38353</v>
      </c>
      <c r="H87" s="553">
        <v>36923</v>
      </c>
      <c r="I87" s="554">
        <v>46784</v>
      </c>
      <c r="J87" s="553">
        <v>46813</v>
      </c>
      <c r="K87" s="553">
        <v>37377</v>
      </c>
      <c r="L87" s="553">
        <v>47604</v>
      </c>
      <c r="M87" s="553">
        <v>38169</v>
      </c>
      <c r="N87" s="553">
        <v>37104</v>
      </c>
      <c r="O87" s="553">
        <v>47331</v>
      </c>
      <c r="P87" s="553">
        <v>37895</v>
      </c>
      <c r="Q87" s="553">
        <v>37196</v>
      </c>
      <c r="R87" s="553">
        <v>47058</v>
      </c>
      <c r="U87" s="137"/>
    </row>
    <row r="88" spans="5:21" x14ac:dyDescent="0.2">
      <c r="E88" t="s">
        <v>504</v>
      </c>
      <c r="G88" s="553">
        <v>47484</v>
      </c>
      <c r="H88" s="553">
        <v>46419</v>
      </c>
      <c r="I88" s="554">
        <v>46447</v>
      </c>
      <c r="J88" s="553">
        <v>37012</v>
      </c>
      <c r="K88" s="553">
        <v>47239</v>
      </c>
      <c r="L88" s="553">
        <v>37803</v>
      </c>
      <c r="M88" s="553">
        <v>48030</v>
      </c>
      <c r="N88" s="553">
        <v>46966</v>
      </c>
      <c r="O88" s="553">
        <v>37530</v>
      </c>
      <c r="P88" s="553">
        <v>47757</v>
      </c>
      <c r="Q88" s="553">
        <v>46692</v>
      </c>
      <c r="R88" s="553">
        <v>36892</v>
      </c>
      <c r="U88" s="137"/>
    </row>
    <row r="89" spans="5:21" x14ac:dyDescent="0.2">
      <c r="I89" s="137"/>
      <c r="U89" s="137"/>
    </row>
    <row r="90" spans="5:21" x14ac:dyDescent="0.2">
      <c r="I90" s="137"/>
      <c r="U90" s="137"/>
    </row>
    <row r="91" spans="5:21" x14ac:dyDescent="0.2">
      <c r="I91" s="137"/>
      <c r="U91" s="137"/>
    </row>
    <row r="92" spans="5:21" x14ac:dyDescent="0.2">
      <c r="I92" s="137"/>
      <c r="U92" s="137"/>
    </row>
    <row r="93" spans="5:21" x14ac:dyDescent="0.2">
      <c r="H93" s="137"/>
      <c r="U93" s="137"/>
    </row>
    <row r="94" spans="5:21" x14ac:dyDescent="0.2">
      <c r="H94" s="137"/>
      <c r="U94" s="137"/>
    </row>
    <row r="95" spans="5:21" x14ac:dyDescent="0.2">
      <c r="H95" s="137"/>
      <c r="U95" s="137"/>
    </row>
    <row r="96" spans="5:21" x14ac:dyDescent="0.2">
      <c r="H96" s="137"/>
      <c r="U96" s="137"/>
    </row>
    <row r="97" spans="8:21" x14ac:dyDescent="0.2">
      <c r="H97" s="137"/>
      <c r="U97" s="137"/>
    </row>
    <row r="98" spans="8:21" x14ac:dyDescent="0.2">
      <c r="H98" s="137"/>
      <c r="U98" s="137"/>
    </row>
    <row r="99" spans="8:21" x14ac:dyDescent="0.2">
      <c r="H99" s="137"/>
      <c r="U99" s="137"/>
    </row>
    <row r="100" spans="8:21" x14ac:dyDescent="0.2">
      <c r="H100" s="137"/>
      <c r="U100" s="137"/>
    </row>
    <row r="101" spans="8:21" x14ac:dyDescent="0.2">
      <c r="H101" s="137"/>
      <c r="U101" s="137"/>
    </row>
    <row r="102" spans="8:21" x14ac:dyDescent="0.2">
      <c r="H102" s="137"/>
      <c r="U102" s="137"/>
    </row>
    <row r="103" spans="8:21" x14ac:dyDescent="0.2">
      <c r="H103" s="137"/>
      <c r="U103" s="137"/>
    </row>
    <row r="104" spans="8:21" x14ac:dyDescent="0.2">
      <c r="H104" s="137"/>
      <c r="U104" s="137"/>
    </row>
    <row r="105" spans="8:21" x14ac:dyDescent="0.2">
      <c r="H105" s="137"/>
      <c r="U105" s="137"/>
    </row>
    <row r="106" spans="8:21" x14ac:dyDescent="0.2">
      <c r="H106" s="137"/>
      <c r="U106" s="137"/>
    </row>
    <row r="107" spans="8:21" x14ac:dyDescent="0.2">
      <c r="H107" s="137"/>
      <c r="U107" s="137"/>
    </row>
    <row r="108" spans="8:21" x14ac:dyDescent="0.2">
      <c r="H108" s="137"/>
      <c r="U108" s="137"/>
    </row>
    <row r="109" spans="8:21" x14ac:dyDescent="0.2">
      <c r="H109" s="137"/>
      <c r="U109" s="137"/>
    </row>
    <row r="110" spans="8:21" x14ac:dyDescent="0.2">
      <c r="H110" s="137"/>
      <c r="U110" s="137"/>
    </row>
    <row r="111" spans="8:21" x14ac:dyDescent="0.2">
      <c r="H111" s="137"/>
      <c r="U111" s="137"/>
    </row>
    <row r="112" spans="8:21" x14ac:dyDescent="0.2">
      <c r="H112" s="137"/>
      <c r="U112" s="137"/>
    </row>
    <row r="113" spans="8:21" x14ac:dyDescent="0.2">
      <c r="H113" s="137"/>
      <c r="U113" s="137"/>
    </row>
    <row r="114" spans="8:21" x14ac:dyDescent="0.2">
      <c r="H114" s="137"/>
      <c r="U114" s="137"/>
    </row>
    <row r="115" spans="8:21" x14ac:dyDescent="0.2">
      <c r="H115" s="137"/>
      <c r="U115" s="137"/>
    </row>
    <row r="116" spans="8:21" x14ac:dyDescent="0.2">
      <c r="H116" s="137"/>
      <c r="U116" s="137"/>
    </row>
    <row r="117" spans="8:21" x14ac:dyDescent="0.2">
      <c r="H117" s="137"/>
      <c r="U117" s="137"/>
    </row>
    <row r="118" spans="8:21" x14ac:dyDescent="0.2">
      <c r="H118" s="137"/>
      <c r="U118" s="137"/>
    </row>
    <row r="119" spans="8:21" x14ac:dyDescent="0.2">
      <c r="H119" s="137"/>
      <c r="U119" s="137"/>
    </row>
    <row r="120" spans="8:21" x14ac:dyDescent="0.2">
      <c r="H120" s="137"/>
      <c r="U120" s="137"/>
    </row>
    <row r="121" spans="8:21" x14ac:dyDescent="0.2">
      <c r="H121" s="137"/>
      <c r="U121" s="137"/>
    </row>
    <row r="122" spans="8:21" x14ac:dyDescent="0.2">
      <c r="H122" s="137"/>
      <c r="U122" s="137"/>
    </row>
    <row r="123" spans="8:21" x14ac:dyDescent="0.2">
      <c r="H123" s="137"/>
      <c r="U123" s="137"/>
    </row>
    <row r="124" spans="8:21" x14ac:dyDescent="0.2">
      <c r="H124" s="137"/>
      <c r="U124" s="137"/>
    </row>
    <row r="125" spans="8:21" x14ac:dyDescent="0.2">
      <c r="H125" s="137"/>
      <c r="U125" s="137"/>
    </row>
    <row r="126" spans="8:21" x14ac:dyDescent="0.2">
      <c r="H126" s="137"/>
      <c r="U126" s="137"/>
    </row>
    <row r="127" spans="8:21" x14ac:dyDescent="0.2">
      <c r="H127" s="137"/>
      <c r="U127" s="137"/>
    </row>
    <row r="128" spans="8:21" x14ac:dyDescent="0.2">
      <c r="H128" s="137"/>
      <c r="U128" s="137"/>
    </row>
    <row r="129" spans="8:21" x14ac:dyDescent="0.2">
      <c r="H129" s="137"/>
      <c r="U129" s="137"/>
    </row>
    <row r="130" spans="8:21" x14ac:dyDescent="0.2">
      <c r="H130" s="137"/>
      <c r="U130" s="137"/>
    </row>
    <row r="131" spans="8:21" x14ac:dyDescent="0.2">
      <c r="H131" s="137"/>
      <c r="U131" s="137"/>
    </row>
    <row r="132" spans="8:21" x14ac:dyDescent="0.2">
      <c r="H132" s="137"/>
      <c r="U132" s="137"/>
    </row>
    <row r="133" spans="8:21" x14ac:dyDescent="0.2">
      <c r="H133" s="137"/>
      <c r="U133" s="137"/>
    </row>
    <row r="134" spans="8:21" x14ac:dyDescent="0.2">
      <c r="H134" s="137"/>
      <c r="U134" s="137"/>
    </row>
    <row r="135" spans="8:21" x14ac:dyDescent="0.2">
      <c r="H135" s="137"/>
      <c r="U135" s="137"/>
    </row>
    <row r="136" spans="8:21" x14ac:dyDescent="0.2">
      <c r="H136" s="137"/>
      <c r="U136" s="137"/>
    </row>
    <row r="137" spans="8:21" x14ac:dyDescent="0.2">
      <c r="H137" s="137"/>
      <c r="U137" s="137"/>
    </row>
    <row r="138" spans="8:21" x14ac:dyDescent="0.2">
      <c r="H138" s="137"/>
      <c r="U138" s="137"/>
    </row>
    <row r="139" spans="8:21" x14ac:dyDescent="0.2">
      <c r="H139" s="137"/>
      <c r="U139" s="137"/>
    </row>
    <row r="140" spans="8:21" x14ac:dyDescent="0.2">
      <c r="H140" s="137"/>
      <c r="U140" s="137"/>
    </row>
    <row r="141" spans="8:21" x14ac:dyDescent="0.2">
      <c r="H141" s="137"/>
      <c r="U141" s="137"/>
    </row>
    <row r="142" spans="8:21" x14ac:dyDescent="0.2">
      <c r="H142" s="137"/>
      <c r="U142" s="137"/>
    </row>
    <row r="143" spans="8:21" x14ac:dyDescent="0.2">
      <c r="H143" s="137"/>
      <c r="U143" s="137"/>
    </row>
    <row r="144" spans="8:21" x14ac:dyDescent="0.2">
      <c r="H144" s="137"/>
      <c r="U144" s="137"/>
    </row>
    <row r="145" spans="8:21" x14ac:dyDescent="0.2">
      <c r="H145" s="137"/>
      <c r="U145" s="137"/>
    </row>
    <row r="146" spans="8:21" x14ac:dyDescent="0.2">
      <c r="H146" s="137"/>
      <c r="U146" s="137"/>
    </row>
    <row r="147" spans="8:21" x14ac:dyDescent="0.2">
      <c r="H147" s="137"/>
      <c r="U147" s="137"/>
    </row>
    <row r="148" spans="8:21" x14ac:dyDescent="0.2">
      <c r="H148" s="137"/>
      <c r="U148" s="137"/>
    </row>
    <row r="149" spans="8:21" x14ac:dyDescent="0.2">
      <c r="H149" s="137"/>
      <c r="U149" s="137"/>
    </row>
    <row r="150" spans="8:21" x14ac:dyDescent="0.2">
      <c r="H150" s="137"/>
      <c r="U150" s="137"/>
    </row>
    <row r="151" spans="8:21" x14ac:dyDescent="0.2">
      <c r="H151" s="137"/>
      <c r="U151" s="137"/>
    </row>
    <row r="152" spans="8:21" x14ac:dyDescent="0.2">
      <c r="H152" s="137"/>
      <c r="U152" s="137"/>
    </row>
    <row r="153" spans="8:21" x14ac:dyDescent="0.2">
      <c r="H153" s="137"/>
      <c r="U153" s="137"/>
    </row>
    <row r="154" spans="8:21" x14ac:dyDescent="0.2">
      <c r="H154" s="137"/>
      <c r="U154" s="137"/>
    </row>
    <row r="155" spans="8:21" x14ac:dyDescent="0.2">
      <c r="H155" s="137"/>
      <c r="U155" s="137"/>
    </row>
    <row r="156" spans="8:21" x14ac:dyDescent="0.2">
      <c r="H156" s="137"/>
      <c r="U156" s="137"/>
    </row>
    <row r="157" spans="8:21" x14ac:dyDescent="0.2">
      <c r="H157" s="137"/>
      <c r="U157" s="137"/>
    </row>
    <row r="158" spans="8:21" x14ac:dyDescent="0.2">
      <c r="H158" s="137"/>
      <c r="U158" s="137"/>
    </row>
    <row r="159" spans="8:21" x14ac:dyDescent="0.2">
      <c r="H159" s="137"/>
      <c r="U159" s="137"/>
    </row>
    <row r="160" spans="8:21" x14ac:dyDescent="0.2">
      <c r="H160" s="137"/>
      <c r="U160" s="137"/>
    </row>
    <row r="161" spans="8:21" x14ac:dyDescent="0.2">
      <c r="H161" s="137"/>
      <c r="U161" s="137"/>
    </row>
    <row r="162" spans="8:21" x14ac:dyDescent="0.2">
      <c r="H162" s="137"/>
      <c r="U162" s="137"/>
    </row>
    <row r="163" spans="8:21" x14ac:dyDescent="0.2">
      <c r="H163" s="137"/>
      <c r="U163" s="137"/>
    </row>
    <row r="164" spans="8:21" x14ac:dyDescent="0.2">
      <c r="H164" s="137"/>
      <c r="U164" s="137"/>
    </row>
    <row r="165" spans="8:21" x14ac:dyDescent="0.2">
      <c r="H165" s="137"/>
      <c r="U165" s="137"/>
    </row>
    <row r="166" spans="8:21" x14ac:dyDescent="0.2">
      <c r="H166" s="137"/>
      <c r="U166" s="137"/>
    </row>
    <row r="167" spans="8:21" x14ac:dyDescent="0.2">
      <c r="H167" s="137"/>
      <c r="U167" s="137"/>
    </row>
    <row r="168" spans="8:21" x14ac:dyDescent="0.2">
      <c r="H168" s="137"/>
      <c r="U168" s="137"/>
    </row>
    <row r="169" spans="8:21" x14ac:dyDescent="0.2">
      <c r="H169" s="137"/>
      <c r="U169" s="137"/>
    </row>
    <row r="170" spans="8:21" x14ac:dyDescent="0.2">
      <c r="H170" s="137"/>
      <c r="U170" s="137"/>
    </row>
    <row r="171" spans="8:21" x14ac:dyDescent="0.2">
      <c r="H171" s="137"/>
      <c r="U171" s="137"/>
    </row>
    <row r="172" spans="8:21" x14ac:dyDescent="0.2">
      <c r="H172" s="137"/>
      <c r="U172" s="137"/>
    </row>
    <row r="173" spans="8:21" x14ac:dyDescent="0.2">
      <c r="H173" s="137"/>
      <c r="U173" s="137"/>
    </row>
    <row r="174" spans="8:21" x14ac:dyDescent="0.2">
      <c r="H174" s="137"/>
      <c r="U174" s="137"/>
    </row>
    <row r="175" spans="8:21" x14ac:dyDescent="0.2">
      <c r="H175" s="137"/>
      <c r="U175" s="137"/>
    </row>
    <row r="176" spans="8:21" x14ac:dyDescent="0.2">
      <c r="H176" s="137"/>
      <c r="U176" s="137"/>
    </row>
    <row r="177" spans="8:21" x14ac:dyDescent="0.2">
      <c r="H177" s="137"/>
      <c r="U177" s="137"/>
    </row>
    <row r="178" spans="8:21" x14ac:dyDescent="0.2">
      <c r="H178" s="137"/>
      <c r="U178" s="137"/>
    </row>
    <row r="179" spans="8:21" x14ac:dyDescent="0.2">
      <c r="H179" s="137"/>
      <c r="U179" s="137"/>
    </row>
    <row r="180" spans="8:21" x14ac:dyDescent="0.2">
      <c r="H180" s="137"/>
      <c r="U180" s="137"/>
    </row>
    <row r="181" spans="8:21" x14ac:dyDescent="0.2">
      <c r="H181" s="137"/>
      <c r="U181" s="137"/>
    </row>
    <row r="182" spans="8:21" x14ac:dyDescent="0.2">
      <c r="H182" s="137"/>
      <c r="U182" s="137"/>
    </row>
    <row r="183" spans="8:21" x14ac:dyDescent="0.2">
      <c r="H183" s="137"/>
      <c r="U183" s="137"/>
    </row>
    <row r="184" spans="8:21" x14ac:dyDescent="0.2">
      <c r="H184" s="137"/>
      <c r="U184" s="137"/>
    </row>
    <row r="185" spans="8:21" x14ac:dyDescent="0.2">
      <c r="H185" s="137"/>
      <c r="U185" s="137"/>
    </row>
    <row r="186" spans="8:21" x14ac:dyDescent="0.2">
      <c r="H186" s="137"/>
      <c r="U186" s="137"/>
    </row>
    <row r="187" spans="8:21" x14ac:dyDescent="0.2">
      <c r="H187" s="137"/>
      <c r="U187" s="137"/>
    </row>
    <row r="188" spans="8:21" x14ac:dyDescent="0.2">
      <c r="H188" s="137"/>
      <c r="U188" s="137"/>
    </row>
    <row r="189" spans="8:21" x14ac:dyDescent="0.2">
      <c r="H189" s="137"/>
      <c r="U189" s="137"/>
    </row>
    <row r="190" spans="8:21" x14ac:dyDescent="0.2">
      <c r="H190" s="137"/>
      <c r="U190" s="137"/>
    </row>
    <row r="191" spans="8:21" x14ac:dyDescent="0.2">
      <c r="H191" s="137"/>
      <c r="U191" s="137"/>
    </row>
    <row r="192" spans="8:21" x14ac:dyDescent="0.2">
      <c r="H192" s="137"/>
      <c r="U192" s="137"/>
    </row>
    <row r="193" spans="8:21" x14ac:dyDescent="0.2">
      <c r="H193" s="137"/>
      <c r="U193" s="137"/>
    </row>
    <row r="194" spans="8:21" x14ac:dyDescent="0.2">
      <c r="H194" s="137"/>
      <c r="U194" s="137"/>
    </row>
    <row r="195" spans="8:21" x14ac:dyDescent="0.2">
      <c r="H195" s="137"/>
      <c r="U195" s="137"/>
    </row>
    <row r="196" spans="8:21" x14ac:dyDescent="0.2">
      <c r="H196" s="137"/>
      <c r="U196" s="137"/>
    </row>
    <row r="197" spans="8:21" x14ac:dyDescent="0.2">
      <c r="H197" s="137"/>
      <c r="U197" s="137"/>
    </row>
    <row r="198" spans="8:21" x14ac:dyDescent="0.2">
      <c r="H198" s="137"/>
      <c r="U198" s="137"/>
    </row>
    <row r="199" spans="8:21" x14ac:dyDescent="0.2">
      <c r="H199" s="137"/>
      <c r="U199" s="137"/>
    </row>
    <row r="200" spans="8:21" x14ac:dyDescent="0.2">
      <c r="H200" s="137"/>
      <c r="U200" s="137"/>
    </row>
    <row r="201" spans="8:21" x14ac:dyDescent="0.2">
      <c r="H201" s="137"/>
      <c r="U201" s="137"/>
    </row>
    <row r="202" spans="8:21" x14ac:dyDescent="0.2">
      <c r="H202" s="137"/>
      <c r="U202" s="137"/>
    </row>
    <row r="203" spans="8:21" x14ac:dyDescent="0.2">
      <c r="H203" s="137"/>
      <c r="U203" s="137"/>
    </row>
    <row r="204" spans="8:21" x14ac:dyDescent="0.2">
      <c r="H204" s="137"/>
      <c r="U204" s="137"/>
    </row>
    <row r="205" spans="8:21" x14ac:dyDescent="0.2">
      <c r="H205" s="137"/>
      <c r="U205" s="137"/>
    </row>
    <row r="206" spans="8:21" x14ac:dyDescent="0.2">
      <c r="H206" s="137"/>
      <c r="U206" s="137"/>
    </row>
    <row r="207" spans="8:21" x14ac:dyDescent="0.2">
      <c r="H207" s="137"/>
      <c r="U207" s="137"/>
    </row>
    <row r="208" spans="8:21" x14ac:dyDescent="0.2">
      <c r="H208" s="137"/>
      <c r="U208" s="137"/>
    </row>
    <row r="209" spans="8:21" x14ac:dyDescent="0.2">
      <c r="H209" s="137"/>
      <c r="U209" s="137"/>
    </row>
    <row r="210" spans="8:21" x14ac:dyDescent="0.2">
      <c r="H210" s="137"/>
      <c r="U210" s="137"/>
    </row>
    <row r="211" spans="8:21" x14ac:dyDescent="0.2">
      <c r="H211" s="137"/>
      <c r="U211" s="137"/>
    </row>
    <row r="212" spans="8:21" x14ac:dyDescent="0.2">
      <c r="H212" s="137"/>
      <c r="U212" s="137"/>
    </row>
    <row r="213" spans="8:21" x14ac:dyDescent="0.2">
      <c r="H213" s="137"/>
      <c r="U213" s="137"/>
    </row>
    <row r="214" spans="8:21" x14ac:dyDescent="0.2">
      <c r="H214" s="137"/>
      <c r="U214" s="137"/>
    </row>
    <row r="215" spans="8:21" x14ac:dyDescent="0.2">
      <c r="H215" s="137"/>
      <c r="U215" s="137"/>
    </row>
    <row r="216" spans="8:21" x14ac:dyDescent="0.2">
      <c r="H216" s="137"/>
      <c r="U216" s="137"/>
    </row>
    <row r="217" spans="8:21" x14ac:dyDescent="0.2">
      <c r="H217" s="137"/>
      <c r="U217" s="137"/>
    </row>
    <row r="218" spans="8:21" x14ac:dyDescent="0.2">
      <c r="H218" s="137"/>
      <c r="U218" s="137"/>
    </row>
    <row r="219" spans="8:21" x14ac:dyDescent="0.2">
      <c r="H219" s="137"/>
      <c r="U219" s="137"/>
    </row>
    <row r="220" spans="8:21" x14ac:dyDescent="0.2">
      <c r="H220" s="137"/>
      <c r="U220" s="137"/>
    </row>
    <row r="221" spans="8:21" x14ac:dyDescent="0.2">
      <c r="H221" s="137"/>
      <c r="U221" s="137"/>
    </row>
    <row r="222" spans="8:21" x14ac:dyDescent="0.2">
      <c r="H222" s="137"/>
      <c r="U222" s="137"/>
    </row>
    <row r="223" spans="8:21" x14ac:dyDescent="0.2">
      <c r="H223" s="137"/>
      <c r="U223" s="137"/>
    </row>
    <row r="224" spans="8:21" x14ac:dyDescent="0.2">
      <c r="H224" s="137"/>
      <c r="U224" s="137"/>
    </row>
    <row r="225" spans="8:21" x14ac:dyDescent="0.2">
      <c r="H225" s="137"/>
      <c r="U225" s="137"/>
    </row>
    <row r="226" spans="8:21" x14ac:dyDescent="0.2">
      <c r="H226" s="137"/>
      <c r="U226" s="137"/>
    </row>
    <row r="227" spans="8:21" x14ac:dyDescent="0.2">
      <c r="H227" s="137"/>
      <c r="U227" s="137"/>
    </row>
    <row r="228" spans="8:21" x14ac:dyDescent="0.2">
      <c r="H228" s="137"/>
      <c r="U228" s="137"/>
    </row>
    <row r="229" spans="8:21" x14ac:dyDescent="0.2">
      <c r="H229" s="137"/>
      <c r="U229" s="137"/>
    </row>
    <row r="230" spans="8:21" x14ac:dyDescent="0.2">
      <c r="H230" s="137"/>
      <c r="U230" s="137"/>
    </row>
    <row r="231" spans="8:21" x14ac:dyDescent="0.2">
      <c r="H231" s="137"/>
      <c r="U231" s="137"/>
    </row>
    <row r="232" spans="8:21" x14ac:dyDescent="0.2">
      <c r="H232" s="137"/>
      <c r="U232" s="137"/>
    </row>
    <row r="233" spans="8:21" x14ac:dyDescent="0.2">
      <c r="H233" s="137"/>
      <c r="U233" s="137"/>
    </row>
    <row r="234" spans="8:21" x14ac:dyDescent="0.2">
      <c r="H234" s="137"/>
      <c r="U234" s="137"/>
    </row>
    <row r="235" spans="8:21" x14ac:dyDescent="0.2">
      <c r="H235" s="137"/>
      <c r="U235" s="137"/>
    </row>
    <row r="236" spans="8:21" x14ac:dyDescent="0.2">
      <c r="H236" s="137"/>
      <c r="U236" s="137"/>
    </row>
    <row r="237" spans="8:21" x14ac:dyDescent="0.2">
      <c r="H237" s="137"/>
      <c r="U237" s="137"/>
    </row>
    <row r="238" spans="8:21" x14ac:dyDescent="0.2">
      <c r="H238" s="137"/>
      <c r="U238" s="137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801FAE5-5BD9-2B43-BA0B-F70298CEBEAD}">
          <x14:formula1>
            <xm:f>_xlfn.ANCHORARRAY(DataValidation!$H$4)</xm:f>
          </x14:formula1>
          <xm:sqref>B3:B28</xm:sqref>
        </x14:dataValidation>
        <x14:dataValidation type="list" allowBlank="1" showInputMessage="1" showErrorMessage="1" xr:uid="{819B72C6-E069-DD4E-8A8C-6446BD6A3355}">
          <x14:formula1>
            <xm:f>_xlfn.ANCHORARRAY(_xlfn.XLOOKUP($B3,_xlfn.ANCHORARRAY(DataValidation!$H$4),DataValidation!$H$5:$O$5))</xm:f>
          </x14:formula1>
          <xm:sqref>C3:C28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CCBAA-7DBC-4563-9EDA-A4F2D0977CA1}">
  <sheetPr codeName="Sheet7"/>
  <dimension ref="A1:BS144"/>
  <sheetViews>
    <sheetView topLeftCell="D32" zoomScale="125" workbookViewId="0">
      <selection activeCell="J37" sqref="J37"/>
    </sheetView>
  </sheetViews>
  <sheetFormatPr baseColWidth="10" defaultColWidth="8.83203125" defaultRowHeight="15" x14ac:dyDescent="0.2"/>
  <cols>
    <col min="4" max="4" width="13" customWidth="1"/>
    <col min="5" max="5" width="20.1640625" customWidth="1"/>
    <col min="6" max="6" width="17.1640625" customWidth="1"/>
    <col min="7" max="7" width="14.5" bestFit="1" customWidth="1"/>
    <col min="8" max="8" width="13" customWidth="1"/>
    <col min="9" max="9" width="12.5" bestFit="1" customWidth="1"/>
    <col min="10" max="10" width="8.33203125" style="253" bestFit="1" customWidth="1"/>
    <col min="11" max="15" width="8.33203125" style="252" hidden="1" customWidth="1"/>
    <col min="16" max="20" width="11" bestFit="1" customWidth="1"/>
    <col min="21" max="21" width="10.83203125" bestFit="1" customWidth="1"/>
    <col min="22" max="23" width="11" bestFit="1" customWidth="1"/>
    <col min="24" max="24" width="10.83203125" bestFit="1" customWidth="1"/>
    <col min="25" max="25" width="10.6640625" bestFit="1" customWidth="1"/>
    <col min="26" max="26" width="12.1640625" bestFit="1" customWidth="1"/>
    <col min="27" max="35" width="10.83203125" bestFit="1" customWidth="1"/>
    <col min="36" max="36" width="9.83203125" bestFit="1" customWidth="1"/>
    <col min="37" max="38" width="10.83203125" bestFit="1" customWidth="1"/>
    <col min="39" max="39" width="9.83203125" bestFit="1" customWidth="1"/>
    <col min="40" max="40" width="8.83203125" bestFit="1" customWidth="1"/>
    <col min="41" max="43" width="10.83203125" bestFit="1" customWidth="1"/>
    <col min="44" max="44" width="9.83203125" bestFit="1" customWidth="1"/>
    <col min="45" max="47" width="10.83203125" bestFit="1" customWidth="1"/>
    <col min="48" max="48" width="9.83203125" bestFit="1" customWidth="1"/>
    <col min="49" max="55" width="10.83203125" bestFit="1" customWidth="1"/>
    <col min="56" max="57" width="9.83203125" bestFit="1" customWidth="1"/>
    <col min="58" max="67" width="10.83203125" bestFit="1" customWidth="1"/>
  </cols>
  <sheetData>
    <row r="1" spans="2:67" ht="16" thickBot="1" x14ac:dyDescent="0.25">
      <c r="B1" s="1080"/>
      <c r="C1" s="1081"/>
      <c r="D1" s="1081"/>
      <c r="E1" s="1081"/>
      <c r="F1" s="1081"/>
      <c r="G1" s="1081"/>
      <c r="H1" s="1081"/>
      <c r="I1" s="1081"/>
      <c r="J1" s="1081"/>
      <c r="K1" s="1075"/>
      <c r="L1" s="1075"/>
      <c r="M1" s="1075"/>
      <c r="N1" s="1075"/>
      <c r="O1" s="1075"/>
      <c r="P1" s="1069" t="s">
        <v>439</v>
      </c>
      <c r="Q1" s="1070"/>
      <c r="R1" s="1070"/>
      <c r="S1" s="1070"/>
      <c r="T1" s="1070"/>
      <c r="U1" s="1070"/>
      <c r="V1" s="1070"/>
      <c r="W1" s="1070"/>
      <c r="X1" s="1070"/>
      <c r="Y1" s="1070"/>
      <c r="Z1" s="1070"/>
      <c r="AA1" s="1071"/>
      <c r="AB1" s="1072" t="s">
        <v>440</v>
      </c>
      <c r="AC1" s="1073"/>
      <c r="AD1" s="1073"/>
      <c r="AE1" s="1073"/>
      <c r="AF1" s="1073"/>
      <c r="AG1" s="1073"/>
      <c r="AH1" s="1073"/>
      <c r="AI1" s="1073"/>
      <c r="AJ1" s="1073"/>
      <c r="AK1" s="1073"/>
      <c r="AL1" s="1073"/>
      <c r="AM1" s="1073"/>
      <c r="AN1" s="1073"/>
      <c r="AO1" s="1074"/>
      <c r="AP1" s="1062" t="s">
        <v>441</v>
      </c>
      <c r="AQ1" s="1062"/>
      <c r="AR1" s="1062"/>
      <c r="AS1" s="1062"/>
      <c r="AT1" s="1062"/>
      <c r="AU1" s="1062"/>
      <c r="AV1" s="1062"/>
      <c r="AW1" s="1062"/>
      <c r="AX1" s="1062"/>
      <c r="AY1" s="1062"/>
      <c r="AZ1" s="1062"/>
      <c r="BA1" s="1062"/>
      <c r="BB1" s="1062"/>
      <c r="BC1" s="1075" t="s">
        <v>442</v>
      </c>
      <c r="BD1" s="1075"/>
      <c r="BE1" s="1075"/>
      <c r="BF1" s="1075"/>
      <c r="BG1" s="1075"/>
      <c r="BH1" s="1075"/>
      <c r="BI1" s="1075"/>
      <c r="BJ1" s="1075"/>
      <c r="BK1" s="1075"/>
      <c r="BL1" s="1075"/>
      <c r="BM1" s="1075"/>
      <c r="BN1" s="1075"/>
      <c r="BO1" s="1076"/>
    </row>
    <row r="2" spans="2:67" x14ac:dyDescent="0.2">
      <c r="B2" s="1078" t="s">
        <v>82</v>
      </c>
      <c r="C2" s="1079"/>
      <c r="D2" s="1079"/>
      <c r="E2" s="1079"/>
      <c r="F2" s="1079"/>
      <c r="G2" s="1079"/>
      <c r="H2" s="1082" t="s">
        <v>83</v>
      </c>
      <c r="I2" s="1082"/>
      <c r="J2" s="401" t="s">
        <v>491</v>
      </c>
      <c r="K2" s="534">
        <f t="shared" ref="K2:N2" si="0">+L2-7</f>
        <v>45996</v>
      </c>
      <c r="L2" s="534">
        <f t="shared" si="0"/>
        <v>46003</v>
      </c>
      <c r="M2" s="534">
        <f t="shared" si="0"/>
        <v>46010</v>
      </c>
      <c r="N2" s="534">
        <f t="shared" si="0"/>
        <v>46017</v>
      </c>
      <c r="O2" s="534">
        <f>+P2-7</f>
        <v>46024</v>
      </c>
      <c r="P2" s="559">
        <f>+'New summary'!J3</f>
        <v>46031</v>
      </c>
      <c r="Q2" s="560">
        <f>+P2+7</f>
        <v>46038</v>
      </c>
      <c r="R2" s="560">
        <f t="shared" ref="R2:BO2" si="1">+Q2+7</f>
        <v>46045</v>
      </c>
      <c r="S2" s="561">
        <f t="shared" si="1"/>
        <v>46052</v>
      </c>
      <c r="T2" s="559">
        <f t="shared" si="1"/>
        <v>46059</v>
      </c>
      <c r="U2" s="560">
        <f t="shared" si="1"/>
        <v>46066</v>
      </c>
      <c r="V2" s="560">
        <f t="shared" si="1"/>
        <v>46073</v>
      </c>
      <c r="W2" s="561">
        <f t="shared" si="1"/>
        <v>46080</v>
      </c>
      <c r="X2" s="559">
        <f t="shared" si="1"/>
        <v>46087</v>
      </c>
      <c r="Y2" s="560">
        <f t="shared" si="1"/>
        <v>46094</v>
      </c>
      <c r="Z2" s="560">
        <f t="shared" si="1"/>
        <v>46101</v>
      </c>
      <c r="AA2" s="561">
        <f t="shared" si="1"/>
        <v>46108</v>
      </c>
      <c r="AB2" s="535">
        <f t="shared" si="1"/>
        <v>46115</v>
      </c>
      <c r="AC2" s="398">
        <f t="shared" si="1"/>
        <v>46122</v>
      </c>
      <c r="AD2" s="398">
        <f t="shared" si="1"/>
        <v>46129</v>
      </c>
      <c r="AE2" s="398">
        <f t="shared" si="1"/>
        <v>46136</v>
      </c>
      <c r="AF2" s="398">
        <f t="shared" si="1"/>
        <v>46143</v>
      </c>
      <c r="AG2" s="398">
        <f t="shared" si="1"/>
        <v>46150</v>
      </c>
      <c r="AH2" s="398">
        <f t="shared" si="1"/>
        <v>46157</v>
      </c>
      <c r="AI2" s="398">
        <f t="shared" si="1"/>
        <v>46164</v>
      </c>
      <c r="AJ2" s="398">
        <f t="shared" si="1"/>
        <v>46171</v>
      </c>
      <c r="AK2" s="398">
        <f t="shared" si="1"/>
        <v>46178</v>
      </c>
      <c r="AL2" s="398">
        <f t="shared" si="1"/>
        <v>46185</v>
      </c>
      <c r="AM2" s="398">
        <f t="shared" si="1"/>
        <v>46192</v>
      </c>
      <c r="AN2" s="398">
        <f t="shared" si="1"/>
        <v>46199</v>
      </c>
      <c r="AO2" s="398">
        <f t="shared" si="1"/>
        <v>46206</v>
      </c>
      <c r="AP2" s="398">
        <f t="shared" si="1"/>
        <v>46213</v>
      </c>
      <c r="AQ2" s="398">
        <f t="shared" si="1"/>
        <v>46220</v>
      </c>
      <c r="AR2" s="398">
        <f t="shared" si="1"/>
        <v>46227</v>
      </c>
      <c r="AS2" s="398">
        <f t="shared" si="1"/>
        <v>46234</v>
      </c>
      <c r="AT2" s="398">
        <f t="shared" si="1"/>
        <v>46241</v>
      </c>
      <c r="AU2" s="398">
        <f t="shared" si="1"/>
        <v>46248</v>
      </c>
      <c r="AV2" s="398">
        <f t="shared" si="1"/>
        <v>46255</v>
      </c>
      <c r="AW2" s="398">
        <f t="shared" si="1"/>
        <v>46262</v>
      </c>
      <c r="AX2" s="398">
        <f t="shared" si="1"/>
        <v>46269</v>
      </c>
      <c r="AY2" s="398">
        <f t="shared" si="1"/>
        <v>46276</v>
      </c>
      <c r="AZ2" s="398">
        <f t="shared" si="1"/>
        <v>46283</v>
      </c>
      <c r="BA2" s="398">
        <f t="shared" si="1"/>
        <v>46290</v>
      </c>
      <c r="BB2" s="398">
        <f t="shared" si="1"/>
        <v>46297</v>
      </c>
      <c r="BC2" s="398">
        <f t="shared" si="1"/>
        <v>46304</v>
      </c>
      <c r="BD2" s="398">
        <f t="shared" si="1"/>
        <v>46311</v>
      </c>
      <c r="BE2" s="398">
        <f t="shared" si="1"/>
        <v>46318</v>
      </c>
      <c r="BF2" s="398">
        <f t="shared" si="1"/>
        <v>46325</v>
      </c>
      <c r="BG2" s="398">
        <f t="shared" si="1"/>
        <v>46332</v>
      </c>
      <c r="BH2" s="398">
        <f t="shared" si="1"/>
        <v>46339</v>
      </c>
      <c r="BI2" s="398">
        <f t="shared" si="1"/>
        <v>46346</v>
      </c>
      <c r="BJ2" s="398">
        <f t="shared" si="1"/>
        <v>46353</v>
      </c>
      <c r="BK2" s="398">
        <f t="shared" si="1"/>
        <v>46360</v>
      </c>
      <c r="BL2" s="398">
        <f t="shared" si="1"/>
        <v>46367</v>
      </c>
      <c r="BM2" s="398">
        <f t="shared" si="1"/>
        <v>46374</v>
      </c>
      <c r="BN2" s="398">
        <f t="shared" si="1"/>
        <v>46381</v>
      </c>
      <c r="BO2" s="400">
        <f t="shared" si="1"/>
        <v>46388</v>
      </c>
    </row>
    <row r="3" spans="2:67" x14ac:dyDescent="0.2">
      <c r="B3" s="1083"/>
      <c r="C3" s="1084"/>
      <c r="D3" s="1084"/>
      <c r="E3" s="1084"/>
      <c r="F3" s="1084"/>
      <c r="G3" s="1084"/>
      <c r="H3" s="1084"/>
      <c r="I3" s="1084"/>
      <c r="J3" s="401"/>
      <c r="K3" s="401"/>
      <c r="L3" s="401"/>
      <c r="M3" s="401"/>
      <c r="N3" s="401"/>
      <c r="O3" s="555"/>
      <c r="P3" s="96"/>
      <c r="Q3" s="138"/>
      <c r="R3" s="138"/>
      <c r="S3" s="280"/>
      <c r="T3" s="96"/>
      <c r="U3" s="138"/>
      <c r="V3" s="138"/>
      <c r="W3" s="280"/>
      <c r="X3" s="96"/>
      <c r="Y3" s="138"/>
      <c r="Z3" s="138"/>
      <c r="AA3" s="280"/>
      <c r="AB3" s="202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38"/>
      <c r="AU3" s="138"/>
      <c r="AV3" s="138"/>
      <c r="AW3" s="138"/>
      <c r="AX3" s="138"/>
      <c r="AY3" s="138"/>
      <c r="AZ3" s="138"/>
      <c r="BA3" s="138"/>
      <c r="BB3" s="138"/>
      <c r="BC3" s="138"/>
      <c r="BD3" s="138"/>
      <c r="BE3" s="138"/>
      <c r="BF3" s="138"/>
      <c r="BG3" s="138"/>
      <c r="BH3" s="138"/>
      <c r="BI3" s="138"/>
      <c r="BJ3" s="138"/>
      <c r="BK3" s="138"/>
      <c r="BL3" s="138"/>
      <c r="BM3" s="138"/>
      <c r="BN3" s="138"/>
      <c r="BO3" s="280"/>
    </row>
    <row r="4" spans="2:67" x14ac:dyDescent="0.2">
      <c r="B4" s="1077" t="s">
        <v>505</v>
      </c>
      <c r="C4" s="1056"/>
      <c r="D4" s="1056"/>
      <c r="E4" s="1056"/>
      <c r="F4" s="1056"/>
      <c r="G4" s="1056"/>
      <c r="H4" s="1056"/>
      <c r="I4" s="402">
        <f>SUM(P4:CG4)</f>
        <v>13003</v>
      </c>
      <c r="J4" s="401">
        <f>+Margins!F3</f>
        <v>45.000000000000007</v>
      </c>
      <c r="K4" s="403">
        <f>+'New summary'!E6</f>
        <v>847</v>
      </c>
      <c r="L4" s="403">
        <f>+'New summary'!F6</f>
        <v>611</v>
      </c>
      <c r="M4" s="403">
        <f>+'New summary'!G6</f>
        <v>0</v>
      </c>
      <c r="N4" s="403">
        <f>+'New summary'!H6</f>
        <v>274</v>
      </c>
      <c r="O4" s="555">
        <f>+'New summary'!I6</f>
        <v>0</v>
      </c>
      <c r="P4" s="96">
        <f>+'New summary'!J6</f>
        <v>0</v>
      </c>
      <c r="Q4" s="138">
        <f>+'New summary'!K6</f>
        <v>864</v>
      </c>
      <c r="R4" s="138">
        <f>+'New summary'!L6</f>
        <v>0</v>
      </c>
      <c r="S4" s="280">
        <f>+'New summary'!M6</f>
        <v>0</v>
      </c>
      <c r="T4" s="96">
        <f>+'New summary'!N6</f>
        <v>0</v>
      </c>
      <c r="U4" s="138">
        <f>+'New summary'!O6</f>
        <v>0</v>
      </c>
      <c r="V4" s="138">
        <f>+'New summary'!P6</f>
        <v>0</v>
      </c>
      <c r="W4" s="280">
        <f>+'New summary'!Q6</f>
        <v>0</v>
      </c>
      <c r="X4" s="96">
        <f>+'New summary'!R6</f>
        <v>575</v>
      </c>
      <c r="Y4" s="138">
        <f>+'New summary'!S6</f>
        <v>937</v>
      </c>
      <c r="Z4" s="138">
        <f>+'New summary'!T6</f>
        <v>0</v>
      </c>
      <c r="AA4" s="280">
        <f>+'New summary'!U6</f>
        <v>624</v>
      </c>
      <c r="AB4" s="202">
        <f>+'New summary'!V6</f>
        <v>0</v>
      </c>
      <c r="AC4" s="138">
        <f>+'New summary'!W6</f>
        <v>0</v>
      </c>
      <c r="AD4" s="138">
        <f>+'New summary'!X6</f>
        <v>684</v>
      </c>
      <c r="AE4" s="138">
        <f>+'New summary'!Y6</f>
        <v>0</v>
      </c>
      <c r="AF4" s="138">
        <f>+'New summary'!Z6</f>
        <v>0</v>
      </c>
      <c r="AG4" s="138">
        <f>+'New summary'!AA6</f>
        <v>0</v>
      </c>
      <c r="AH4" s="138">
        <f>+'New summary'!AB6</f>
        <v>0</v>
      </c>
      <c r="AI4" s="138">
        <f>+'New summary'!AC6</f>
        <v>0</v>
      </c>
      <c r="AJ4" s="138">
        <f>+'New summary'!AD6</f>
        <v>0</v>
      </c>
      <c r="AK4" s="138">
        <f>+'New summary'!AE6</f>
        <v>400</v>
      </c>
      <c r="AL4" s="138">
        <f>+'New summary'!AF6</f>
        <v>200</v>
      </c>
      <c r="AM4" s="138">
        <f>+'New summary'!AG6</f>
        <v>0</v>
      </c>
      <c r="AN4" s="138">
        <f>+'New summary'!AH6</f>
        <v>0</v>
      </c>
      <c r="AO4" s="138">
        <f>+'New summary'!AI6</f>
        <v>0</v>
      </c>
      <c r="AP4" s="138">
        <f>+'New summary'!AJ6</f>
        <v>0</v>
      </c>
      <c r="AQ4" s="138">
        <f>+'New summary'!AK6</f>
        <v>600</v>
      </c>
      <c r="AR4" s="138">
        <f>+'New summary'!AL6</f>
        <v>0</v>
      </c>
      <c r="AS4" s="138">
        <f>+'New summary'!AM6</f>
        <v>0</v>
      </c>
      <c r="AT4" s="138">
        <f>+'New summary'!AN6</f>
        <v>0</v>
      </c>
      <c r="AU4" s="138">
        <f>+'New summary'!AO6</f>
        <v>0</v>
      </c>
      <c r="AV4" s="138">
        <f>+'New summary'!AP6</f>
        <v>600</v>
      </c>
      <c r="AW4" s="138">
        <f>+'New summary'!AQ6</f>
        <v>0</v>
      </c>
      <c r="AX4" s="138">
        <f>+'New summary'!AR6</f>
        <v>0</v>
      </c>
      <c r="AY4" s="138">
        <f>+'New summary'!AS6</f>
        <v>0</v>
      </c>
      <c r="AZ4" s="138">
        <f>+'New summary'!AT6</f>
        <v>1286</v>
      </c>
      <c r="BA4" s="138">
        <f>+'New summary'!AU6</f>
        <v>0</v>
      </c>
      <c r="BB4" s="138">
        <f>+'New summary'!AV6</f>
        <v>0</v>
      </c>
      <c r="BC4" s="138">
        <f>+'New summary'!AW6</f>
        <v>1749</v>
      </c>
      <c r="BD4" s="138">
        <f>+'New summary'!AX6</f>
        <v>0</v>
      </c>
      <c r="BE4" s="138">
        <f>+'New summary'!AY6</f>
        <v>0</v>
      </c>
      <c r="BF4" s="138">
        <f>+'New summary'!AZ6</f>
        <v>450</v>
      </c>
      <c r="BG4" s="138">
        <f>+'New summary'!BA6</f>
        <v>2039</v>
      </c>
      <c r="BH4" s="138">
        <f>+'New summary'!BB6</f>
        <v>0</v>
      </c>
      <c r="BI4" s="138">
        <f>+'New summary'!BC6</f>
        <v>0</v>
      </c>
      <c r="BJ4" s="138">
        <f>+'New summary'!BD6</f>
        <v>0</v>
      </c>
      <c r="BK4" s="138">
        <f>+'New summary'!BE6</f>
        <v>1995</v>
      </c>
      <c r="BL4" s="138">
        <f>+'New summary'!BF6</f>
        <v>0</v>
      </c>
      <c r="BM4" s="138">
        <f>+'New summary'!BG6</f>
        <v>0</v>
      </c>
      <c r="BN4" s="138">
        <f>+'New summary'!BH6</f>
        <v>0</v>
      </c>
      <c r="BO4" s="280">
        <f>+'New summary'!BI6</f>
        <v>0</v>
      </c>
    </row>
    <row r="5" spans="2:67" x14ac:dyDescent="0.2">
      <c r="B5" s="1077" t="s">
        <v>506</v>
      </c>
      <c r="C5" s="1056"/>
      <c r="D5" s="1056"/>
      <c r="E5" s="1056"/>
      <c r="F5" s="1056"/>
      <c r="G5" s="1056"/>
      <c r="H5" s="1056"/>
      <c r="I5" s="402">
        <f t="shared" ref="I5:I25" si="2">SUM(P5:CG5)</f>
        <v>34409</v>
      </c>
      <c r="J5" s="401">
        <f>+Margins!F4</f>
        <v>42.809999999999995</v>
      </c>
      <c r="K5" s="403">
        <f>+'New summary'!E7</f>
        <v>0</v>
      </c>
      <c r="L5" s="403">
        <f>+'New summary'!F7</f>
        <v>0</v>
      </c>
      <c r="M5" s="403">
        <f>+'New summary'!G7</f>
        <v>0</v>
      </c>
      <c r="N5" s="403">
        <f>+'New summary'!H7</f>
        <v>1176</v>
      </c>
      <c r="O5" s="556">
        <f>+'New summary'!I7</f>
        <v>1050</v>
      </c>
      <c r="P5" s="96">
        <f>+'New summary'!J7</f>
        <v>1170</v>
      </c>
      <c r="Q5" s="138">
        <f>+'New summary'!K7</f>
        <v>36</v>
      </c>
      <c r="R5" s="138">
        <f>+'New summary'!L7</f>
        <v>2537</v>
      </c>
      <c r="S5" s="280">
        <f>+'New summary'!M7</f>
        <v>2750</v>
      </c>
      <c r="T5" s="96">
        <f>+'New summary'!N7</f>
        <v>2150</v>
      </c>
      <c r="U5" s="138">
        <f>+'New summary'!O7</f>
        <v>2425</v>
      </c>
      <c r="V5" s="138">
        <f>+'New summary'!P7</f>
        <v>1490</v>
      </c>
      <c r="W5" s="280">
        <f>+'New summary'!Q7</f>
        <v>0</v>
      </c>
      <c r="X5" s="96">
        <f>+'New summary'!R7</f>
        <v>2676</v>
      </c>
      <c r="Y5" s="138">
        <f>+'New summary'!S7</f>
        <v>0</v>
      </c>
      <c r="Z5" s="138">
        <f>+'New summary'!T7</f>
        <v>0</v>
      </c>
      <c r="AA5" s="280">
        <f>+'New summary'!U7</f>
        <v>648</v>
      </c>
      <c r="AB5" s="202">
        <f>+'New summary'!V7</f>
        <v>0</v>
      </c>
      <c r="AC5" s="138">
        <f>+'New summary'!W7</f>
        <v>200</v>
      </c>
      <c r="AD5" s="138">
        <f>+'New summary'!X7</f>
        <v>484</v>
      </c>
      <c r="AE5" s="138">
        <f>+'New summary'!Y7</f>
        <v>0</v>
      </c>
      <c r="AF5" s="138">
        <f>+'New summary'!Z7</f>
        <v>0</v>
      </c>
      <c r="AG5" s="138">
        <f>+'New summary'!AA7</f>
        <v>0</v>
      </c>
      <c r="AH5" s="138">
        <f>+'New summary'!AB7</f>
        <v>0</v>
      </c>
      <c r="AI5" s="138">
        <f>+'New summary'!AC7</f>
        <v>0</v>
      </c>
      <c r="AJ5" s="138">
        <f>+'New summary'!AD7</f>
        <v>0</v>
      </c>
      <c r="AK5" s="138">
        <f>+'New summary'!AE7</f>
        <v>600</v>
      </c>
      <c r="AL5" s="138">
        <f>+'New summary'!AF7</f>
        <v>0</v>
      </c>
      <c r="AM5" s="138">
        <f>+'New summary'!AG7</f>
        <v>0</v>
      </c>
      <c r="AN5" s="138">
        <f>+'New summary'!AH7</f>
        <v>0</v>
      </c>
      <c r="AO5" s="138">
        <f>+'New summary'!AI7</f>
        <v>0</v>
      </c>
      <c r="AP5" s="138">
        <f>+'New summary'!AJ7</f>
        <v>0</v>
      </c>
      <c r="AQ5" s="138">
        <f>+'New summary'!AK7</f>
        <v>600</v>
      </c>
      <c r="AR5" s="138">
        <f>+'New summary'!AL7</f>
        <v>0</v>
      </c>
      <c r="AS5" s="138">
        <f>+'New summary'!AM7</f>
        <v>0</v>
      </c>
      <c r="AT5" s="138">
        <f>+'New summary'!AN7</f>
        <v>0</v>
      </c>
      <c r="AU5" s="138">
        <f>+'New summary'!AO7</f>
        <v>0</v>
      </c>
      <c r="AV5" s="138">
        <f>+'New summary'!AP7</f>
        <v>0</v>
      </c>
      <c r="AW5" s="138">
        <f>+'New summary'!AQ7</f>
        <v>0</v>
      </c>
      <c r="AX5" s="138">
        <f>+'New summary'!AR7</f>
        <v>0</v>
      </c>
      <c r="AY5" s="138">
        <f>+'New summary'!AS7</f>
        <v>3747</v>
      </c>
      <c r="AZ5" s="138">
        <f>+'New summary'!AT7</f>
        <v>0</v>
      </c>
      <c r="BA5" s="138">
        <f>+'New summary'!AU7</f>
        <v>0</v>
      </c>
      <c r="BB5" s="138">
        <f>+'New summary'!AV7</f>
        <v>3500</v>
      </c>
      <c r="BC5" s="138">
        <f>+'New summary'!AW7</f>
        <v>670</v>
      </c>
      <c r="BD5" s="138">
        <f>+'New summary'!AX7</f>
        <v>0</v>
      </c>
      <c r="BE5" s="138">
        <f>+'New summary'!AY7</f>
        <v>400</v>
      </c>
      <c r="BF5" s="138">
        <f>+'New summary'!AZ7</f>
        <v>4537</v>
      </c>
      <c r="BG5" s="138">
        <f>+'New summary'!BA7</f>
        <v>0</v>
      </c>
      <c r="BH5" s="138">
        <f>+'New summary'!BB7</f>
        <v>0</v>
      </c>
      <c r="BI5" s="138">
        <f>+'New summary'!BC7</f>
        <v>0</v>
      </c>
      <c r="BJ5" s="138">
        <f>+'New summary'!BD7</f>
        <v>1700</v>
      </c>
      <c r="BK5" s="138">
        <f>+'New summary'!BE7</f>
        <v>2089</v>
      </c>
      <c r="BL5" s="138">
        <f>+'New summary'!BF7</f>
        <v>0</v>
      </c>
      <c r="BM5" s="138">
        <f>+'New summary'!BG7</f>
        <v>0</v>
      </c>
      <c r="BN5" s="138">
        <f>+'New summary'!BH7</f>
        <v>0</v>
      </c>
      <c r="BO5" s="280">
        <f>+'New summary'!BI7</f>
        <v>0</v>
      </c>
    </row>
    <row r="6" spans="2:67" x14ac:dyDescent="0.2">
      <c r="B6" s="1077" t="s">
        <v>507</v>
      </c>
      <c r="C6" s="1056"/>
      <c r="D6" s="1056"/>
      <c r="E6" s="1056"/>
      <c r="F6" s="1056"/>
      <c r="G6" s="1056"/>
      <c r="H6" s="1056"/>
      <c r="I6" s="402">
        <f t="shared" si="2"/>
        <v>6223</v>
      </c>
      <c r="J6" s="401">
        <f>+Margins!F5</f>
        <v>45.15</v>
      </c>
      <c r="K6" s="403">
        <f>+'New summary'!E8</f>
        <v>0</v>
      </c>
      <c r="L6" s="403">
        <f>+'New summary'!F8</f>
        <v>0</v>
      </c>
      <c r="M6" s="403">
        <f>+'New summary'!G8</f>
        <v>0</v>
      </c>
      <c r="N6" s="403">
        <f>+'New summary'!H8</f>
        <v>0</v>
      </c>
      <c r="O6" s="556">
        <f>+'New summary'!I8</f>
        <v>0</v>
      </c>
      <c r="P6" s="96">
        <f>+'New summary'!J8</f>
        <v>0</v>
      </c>
      <c r="Q6" s="138">
        <f>+'New summary'!K8</f>
        <v>0</v>
      </c>
      <c r="R6" s="138">
        <f>+'New summary'!L8</f>
        <v>0</v>
      </c>
      <c r="S6" s="280">
        <f>+'New summary'!M8</f>
        <v>0</v>
      </c>
      <c r="T6" s="96">
        <f>+'New summary'!N8</f>
        <v>0</v>
      </c>
      <c r="U6" s="138">
        <f>+'New summary'!O8</f>
        <v>0</v>
      </c>
      <c r="V6" s="138">
        <f>+'New summary'!P8</f>
        <v>0</v>
      </c>
      <c r="W6" s="280">
        <f>+'New summary'!Q8</f>
        <v>0</v>
      </c>
      <c r="X6" s="96">
        <f>+'New summary'!R8</f>
        <v>0</v>
      </c>
      <c r="Y6" s="138">
        <f>+'New summary'!S8</f>
        <v>0</v>
      </c>
      <c r="Z6" s="138">
        <f>+'New summary'!T8</f>
        <v>0</v>
      </c>
      <c r="AA6" s="280">
        <f>+'New summary'!U8</f>
        <v>930</v>
      </c>
      <c r="AB6" s="202">
        <f>+'New summary'!V8</f>
        <v>0</v>
      </c>
      <c r="AC6" s="138">
        <f>+'New summary'!W8</f>
        <v>0</v>
      </c>
      <c r="AD6" s="138">
        <f>+'New summary'!X8</f>
        <v>0</v>
      </c>
      <c r="AE6" s="138">
        <f>+'New summary'!Y8</f>
        <v>696</v>
      </c>
      <c r="AF6" s="138">
        <f>+'New summary'!Z8</f>
        <v>0</v>
      </c>
      <c r="AG6" s="138">
        <f>+'New summary'!AA8</f>
        <v>0</v>
      </c>
      <c r="AH6" s="138">
        <f>+'New summary'!AB8</f>
        <v>0</v>
      </c>
      <c r="AI6" s="138">
        <f>+'New summary'!AC8</f>
        <v>0</v>
      </c>
      <c r="AJ6" s="138">
        <f>+'New summary'!AD8</f>
        <v>600</v>
      </c>
      <c r="AK6" s="138">
        <f>+'New summary'!AE8</f>
        <v>0</v>
      </c>
      <c r="AL6" s="138">
        <f>+'New summary'!AF8</f>
        <v>0</v>
      </c>
      <c r="AM6" s="138">
        <f>+'New summary'!AG8</f>
        <v>600</v>
      </c>
      <c r="AN6" s="138">
        <f>+'New summary'!AH8</f>
        <v>0</v>
      </c>
      <c r="AO6" s="138">
        <f>+'New summary'!AI8</f>
        <v>0</v>
      </c>
      <c r="AP6" s="138">
        <f>+'New summary'!AJ8</f>
        <v>0</v>
      </c>
      <c r="AQ6" s="138">
        <f>+'New summary'!AK8</f>
        <v>600</v>
      </c>
      <c r="AR6" s="138">
        <f>+'New summary'!AL8</f>
        <v>0</v>
      </c>
      <c r="AS6" s="138">
        <f>+'New summary'!AM8</f>
        <v>0</v>
      </c>
      <c r="AT6" s="138">
        <f>+'New summary'!AN8</f>
        <v>0</v>
      </c>
      <c r="AU6" s="138">
        <f>+'New summary'!AO8</f>
        <v>0</v>
      </c>
      <c r="AV6" s="138">
        <f>+'New summary'!AP8</f>
        <v>600</v>
      </c>
      <c r="AW6" s="138">
        <f>+'New summary'!AQ8</f>
        <v>0</v>
      </c>
      <c r="AX6" s="138">
        <f>+'New summary'!AR8</f>
        <v>0</v>
      </c>
      <c r="AY6" s="138">
        <f>+'New summary'!AS8</f>
        <v>0</v>
      </c>
      <c r="AZ6" s="138">
        <f>+'New summary'!AT8</f>
        <v>0</v>
      </c>
      <c r="BA6" s="138">
        <f>+'New summary'!AU8</f>
        <v>997</v>
      </c>
      <c r="BB6" s="138">
        <f>+'New summary'!AV8</f>
        <v>0</v>
      </c>
      <c r="BC6" s="138">
        <f>+'New summary'!AW8</f>
        <v>0</v>
      </c>
      <c r="BD6" s="138">
        <f>+'New summary'!AX8</f>
        <v>600</v>
      </c>
      <c r="BE6" s="138">
        <f>+'New summary'!AY8</f>
        <v>0</v>
      </c>
      <c r="BF6" s="138">
        <f>+'New summary'!AZ8</f>
        <v>0</v>
      </c>
      <c r="BG6" s="138">
        <f>+'New summary'!BA8</f>
        <v>0</v>
      </c>
      <c r="BH6" s="138">
        <f>+'New summary'!BB8</f>
        <v>0</v>
      </c>
      <c r="BI6" s="138">
        <f>+'New summary'!BC8</f>
        <v>0</v>
      </c>
      <c r="BJ6" s="138">
        <f>+'New summary'!BD8</f>
        <v>0</v>
      </c>
      <c r="BK6" s="138">
        <f>+'New summary'!BE8</f>
        <v>0</v>
      </c>
      <c r="BL6" s="138">
        <f>+'New summary'!BF8</f>
        <v>600</v>
      </c>
      <c r="BM6" s="138">
        <f>+'New summary'!BG8</f>
        <v>0</v>
      </c>
      <c r="BN6" s="138">
        <f>+'New summary'!BH8</f>
        <v>0</v>
      </c>
      <c r="BO6" s="280">
        <f>+'New summary'!BI8</f>
        <v>0</v>
      </c>
    </row>
    <row r="7" spans="2:67" x14ac:dyDescent="0.2">
      <c r="B7" s="1077" t="s">
        <v>465</v>
      </c>
      <c r="C7" s="1056"/>
      <c r="D7" s="1056"/>
      <c r="E7" s="1056"/>
      <c r="F7" s="1056"/>
      <c r="G7" s="1056"/>
      <c r="H7" s="1056"/>
      <c r="I7" s="402">
        <f t="shared" si="2"/>
        <v>8334</v>
      </c>
      <c r="J7" s="401">
        <f>+Margins!F6</f>
        <v>43.710000000000008</v>
      </c>
      <c r="K7" s="403">
        <f>+'New summary'!E9</f>
        <v>0</v>
      </c>
      <c r="L7" s="403">
        <f>+'New summary'!F9</f>
        <v>0</v>
      </c>
      <c r="M7" s="403">
        <f>+'New summary'!G9</f>
        <v>0</v>
      </c>
      <c r="N7" s="403">
        <f>+'New summary'!H9</f>
        <v>0</v>
      </c>
      <c r="O7" s="556">
        <f>+'New summary'!I9</f>
        <v>0</v>
      </c>
      <c r="P7" s="96">
        <f>+'New summary'!J9</f>
        <v>0</v>
      </c>
      <c r="Q7" s="138">
        <f>+'New summary'!K9</f>
        <v>0</v>
      </c>
      <c r="R7" s="138">
        <f>+'New summary'!L9</f>
        <v>0</v>
      </c>
      <c r="S7" s="280">
        <f>+'New summary'!M9</f>
        <v>0</v>
      </c>
      <c r="T7" s="96">
        <f>+'New summary'!N9</f>
        <v>0</v>
      </c>
      <c r="U7" s="138">
        <f>+'New summary'!O9</f>
        <v>0</v>
      </c>
      <c r="V7" s="138">
        <f>+'New summary'!P9</f>
        <v>0</v>
      </c>
      <c r="W7" s="280">
        <f>+'New summary'!Q9</f>
        <v>0</v>
      </c>
      <c r="X7" s="96">
        <f>+'New summary'!R9</f>
        <v>0</v>
      </c>
      <c r="Y7" s="138">
        <f>+'New summary'!S9</f>
        <v>612</v>
      </c>
      <c r="Z7" s="138">
        <f>+'New summary'!T9</f>
        <v>642</v>
      </c>
      <c r="AA7" s="280">
        <f>+'New summary'!U9</f>
        <v>0</v>
      </c>
      <c r="AB7" s="202">
        <f>+'New summary'!V9</f>
        <v>0</v>
      </c>
      <c r="AC7" s="138">
        <f>+'New summary'!W9</f>
        <v>0</v>
      </c>
      <c r="AD7" s="138">
        <f>+'New summary'!X9</f>
        <v>684</v>
      </c>
      <c r="AE7" s="138">
        <f>+'New summary'!Y9</f>
        <v>0</v>
      </c>
      <c r="AF7" s="138">
        <f>+'New summary'!Z9</f>
        <v>0</v>
      </c>
      <c r="AG7" s="138">
        <f>+'New summary'!AA9</f>
        <v>0</v>
      </c>
      <c r="AH7" s="138">
        <f>+'New summary'!AB9</f>
        <v>0</v>
      </c>
      <c r="AI7" s="138">
        <f>+'New summary'!AC9</f>
        <v>0</v>
      </c>
      <c r="AJ7" s="138">
        <f>+'New summary'!AD9</f>
        <v>0</v>
      </c>
      <c r="AK7" s="138">
        <f>+'New summary'!AE9</f>
        <v>0</v>
      </c>
      <c r="AL7" s="138">
        <f>+'New summary'!AF9</f>
        <v>600</v>
      </c>
      <c r="AM7" s="138">
        <f>+'New summary'!AG9</f>
        <v>0</v>
      </c>
      <c r="AN7" s="138">
        <f>+'New summary'!AH9</f>
        <v>0</v>
      </c>
      <c r="AO7" s="138">
        <f>+'New summary'!AI9</f>
        <v>0</v>
      </c>
      <c r="AP7" s="138">
        <f>+'New summary'!AJ9</f>
        <v>0</v>
      </c>
      <c r="AQ7" s="138">
        <f>+'New summary'!AK9</f>
        <v>1200</v>
      </c>
      <c r="AR7" s="138">
        <f>+'New summary'!AL9</f>
        <v>0</v>
      </c>
      <c r="AS7" s="138">
        <f>+'New summary'!AM9</f>
        <v>0</v>
      </c>
      <c r="AT7" s="138">
        <f>+'New summary'!AN9</f>
        <v>0</v>
      </c>
      <c r="AU7" s="138">
        <f>+'New summary'!AO9</f>
        <v>0</v>
      </c>
      <c r="AV7" s="138">
        <f>+'New summary'!AP9</f>
        <v>996</v>
      </c>
      <c r="AW7" s="138">
        <f>+'New summary'!AQ9</f>
        <v>0</v>
      </c>
      <c r="AX7" s="138">
        <f>+'New summary'!AR9</f>
        <v>0</v>
      </c>
      <c r="AY7" s="138">
        <f>+'New summary'!AS9</f>
        <v>0</v>
      </c>
      <c r="AZ7" s="138">
        <f>+'New summary'!AT9</f>
        <v>360</v>
      </c>
      <c r="BA7" s="138">
        <f>+'New summary'!AU9</f>
        <v>240</v>
      </c>
      <c r="BB7" s="138">
        <f>+'New summary'!AV9</f>
        <v>0</v>
      </c>
      <c r="BC7" s="138">
        <f>+'New summary'!AW9</f>
        <v>900</v>
      </c>
      <c r="BD7" s="138">
        <f>+'New summary'!AX9</f>
        <v>0</v>
      </c>
      <c r="BE7" s="138">
        <f>+'New summary'!AY9</f>
        <v>0</v>
      </c>
      <c r="BF7" s="138">
        <f>+'New summary'!AZ9</f>
        <v>0</v>
      </c>
      <c r="BG7" s="138">
        <f>+'New summary'!BA9</f>
        <v>1000</v>
      </c>
      <c r="BH7" s="138">
        <f>+'New summary'!BB9</f>
        <v>0</v>
      </c>
      <c r="BI7" s="138">
        <f>+'New summary'!BC9</f>
        <v>0</v>
      </c>
      <c r="BJ7" s="138">
        <f>+'New summary'!BD9</f>
        <v>0</v>
      </c>
      <c r="BK7" s="138">
        <f>+'New summary'!BE9</f>
        <v>800</v>
      </c>
      <c r="BL7" s="138">
        <f>+'New summary'!BF9</f>
        <v>300</v>
      </c>
      <c r="BM7" s="138">
        <f>+'New summary'!BG9</f>
        <v>0</v>
      </c>
      <c r="BN7" s="138">
        <f>+'New summary'!BH9</f>
        <v>0</v>
      </c>
      <c r="BO7" s="280">
        <f>+'New summary'!BI9</f>
        <v>0</v>
      </c>
    </row>
    <row r="8" spans="2:67" x14ac:dyDescent="0.2">
      <c r="B8" s="1077" t="s">
        <v>466</v>
      </c>
      <c r="C8" s="1056"/>
      <c r="D8" s="1056"/>
      <c r="E8" s="1056"/>
      <c r="F8" s="1056"/>
      <c r="G8" s="1056"/>
      <c r="H8" s="1056"/>
      <c r="I8" s="402">
        <f t="shared" si="2"/>
        <v>5131</v>
      </c>
      <c r="J8" s="401">
        <f>+Margins!F7</f>
        <v>43.769999999999996</v>
      </c>
      <c r="K8" s="403">
        <f>+'New summary'!E10</f>
        <v>0</v>
      </c>
      <c r="L8" s="403">
        <f>+'New summary'!F10</f>
        <v>0</v>
      </c>
      <c r="M8" s="403">
        <f>+'New summary'!G10</f>
        <v>0</v>
      </c>
      <c r="N8" s="403">
        <f>+'New summary'!H10</f>
        <v>0</v>
      </c>
      <c r="O8" s="556">
        <f>+'New summary'!I10</f>
        <v>0</v>
      </c>
      <c r="P8" s="96">
        <f>+'New summary'!J10</f>
        <v>0</v>
      </c>
      <c r="Q8" s="138">
        <f>+'New summary'!K10</f>
        <v>0</v>
      </c>
      <c r="R8" s="138">
        <f>+'New summary'!L10</f>
        <v>0</v>
      </c>
      <c r="S8" s="280">
        <f>+'New summary'!M10</f>
        <v>0</v>
      </c>
      <c r="T8" s="96">
        <f>+'New summary'!N10</f>
        <v>0</v>
      </c>
      <c r="U8" s="138">
        <f>+'New summary'!O10</f>
        <v>0</v>
      </c>
      <c r="V8" s="138">
        <f>+'New summary'!P10</f>
        <v>0</v>
      </c>
      <c r="W8" s="280">
        <f>+'New summary'!Q10</f>
        <v>0</v>
      </c>
      <c r="X8" s="96">
        <f>+'New summary'!R10</f>
        <v>0</v>
      </c>
      <c r="Y8" s="138">
        <f>+'New summary'!S10</f>
        <v>606</v>
      </c>
      <c r="Z8" s="138">
        <f>+'New summary'!T10</f>
        <v>0</v>
      </c>
      <c r="AA8" s="280">
        <f>+'New summary'!U10</f>
        <v>654</v>
      </c>
      <c r="AB8" s="202">
        <f>+'New summary'!V10</f>
        <v>0</v>
      </c>
      <c r="AC8" s="138">
        <f>+'New summary'!W10</f>
        <v>0</v>
      </c>
      <c r="AD8" s="138">
        <f>+'New summary'!X10</f>
        <v>624</v>
      </c>
      <c r="AE8" s="138">
        <f>+'New summary'!Y10</f>
        <v>0</v>
      </c>
      <c r="AF8" s="138">
        <f>+'New summary'!Z10</f>
        <v>0</v>
      </c>
      <c r="AG8" s="138">
        <f>+'New summary'!AA10</f>
        <v>0</v>
      </c>
      <c r="AH8" s="138">
        <f>+'New summary'!AB10</f>
        <v>0</v>
      </c>
      <c r="AI8" s="138">
        <f>+'New summary'!AC10</f>
        <v>0</v>
      </c>
      <c r="AJ8" s="138">
        <f>+'New summary'!AD10</f>
        <v>0</v>
      </c>
      <c r="AK8" s="138">
        <f>+'New summary'!AE10</f>
        <v>0</v>
      </c>
      <c r="AL8" s="138">
        <f>+'New summary'!AF10</f>
        <v>600</v>
      </c>
      <c r="AM8" s="138">
        <f>+'New summary'!AG10</f>
        <v>0</v>
      </c>
      <c r="AN8" s="138">
        <f>+'New summary'!AH10</f>
        <v>0</v>
      </c>
      <c r="AO8" s="138">
        <f>+'New summary'!AI10</f>
        <v>0</v>
      </c>
      <c r="AP8" s="138">
        <f>+'New summary'!AJ10</f>
        <v>0</v>
      </c>
      <c r="AQ8" s="138">
        <f>+'New summary'!AK10</f>
        <v>0</v>
      </c>
      <c r="AR8" s="138">
        <f>+'New summary'!AL10</f>
        <v>0</v>
      </c>
      <c r="AS8" s="138">
        <f>+'New summary'!AM10</f>
        <v>0</v>
      </c>
      <c r="AT8" s="138">
        <f>+'New summary'!AN10</f>
        <v>0</v>
      </c>
      <c r="AU8" s="138">
        <f>+'New summary'!AO10</f>
        <v>600</v>
      </c>
      <c r="AV8" s="138">
        <f>+'New summary'!AP10</f>
        <v>0</v>
      </c>
      <c r="AW8" s="138">
        <f>+'New summary'!AQ10</f>
        <v>0</v>
      </c>
      <c r="AX8" s="138">
        <f>+'New summary'!AR10</f>
        <v>0</v>
      </c>
      <c r="AY8" s="138">
        <f>+'New summary'!AS10</f>
        <v>0</v>
      </c>
      <c r="AZ8" s="138">
        <f>+'New summary'!AT10</f>
        <v>600</v>
      </c>
      <c r="BA8" s="138">
        <f>+'New summary'!AU10</f>
        <v>0</v>
      </c>
      <c r="BB8" s="138">
        <f>+'New summary'!AV10</f>
        <v>0</v>
      </c>
      <c r="BC8" s="138">
        <f>+'New summary'!AW10</f>
        <v>600</v>
      </c>
      <c r="BD8" s="138">
        <f>+'New summary'!AX10</f>
        <v>0</v>
      </c>
      <c r="BE8" s="138">
        <f>+'New summary'!AY10</f>
        <v>0</v>
      </c>
      <c r="BF8" s="138">
        <f>+'New summary'!AZ10</f>
        <v>0</v>
      </c>
      <c r="BG8" s="138">
        <f>+'New summary'!BA10</f>
        <v>847</v>
      </c>
      <c r="BH8" s="138">
        <f>+'New summary'!BB10</f>
        <v>0</v>
      </c>
      <c r="BI8" s="138">
        <f>+'New summary'!BC10</f>
        <v>0</v>
      </c>
      <c r="BJ8" s="138">
        <f>+'New summary'!BD10</f>
        <v>0</v>
      </c>
      <c r="BK8" s="138">
        <f>+'New summary'!BE10</f>
        <v>0</v>
      </c>
      <c r="BL8" s="138">
        <f>+'New summary'!BF10</f>
        <v>0</v>
      </c>
      <c r="BM8" s="138">
        <f>+'New summary'!BG10</f>
        <v>0</v>
      </c>
      <c r="BN8" s="138">
        <f>+'New summary'!BH10</f>
        <v>0</v>
      </c>
      <c r="BO8" s="280">
        <f>+'New summary'!BI10</f>
        <v>0</v>
      </c>
    </row>
    <row r="9" spans="2:67" x14ac:dyDescent="0.2">
      <c r="B9" s="1077" t="s">
        <v>467</v>
      </c>
      <c r="C9" s="1056"/>
      <c r="D9" s="1056"/>
      <c r="E9" s="1056"/>
      <c r="F9" s="1056"/>
      <c r="G9" s="1056"/>
      <c r="H9" s="1056"/>
      <c r="I9" s="402">
        <f t="shared" si="2"/>
        <v>12028</v>
      </c>
      <c r="J9" s="401">
        <f>+Margins!F8</f>
        <v>44.040000000000006</v>
      </c>
      <c r="K9" s="403">
        <f>+'New summary'!E11</f>
        <v>0</v>
      </c>
      <c r="L9" s="403">
        <f>+'New summary'!F11</f>
        <v>0</v>
      </c>
      <c r="M9" s="403">
        <f>+'New summary'!G11</f>
        <v>0</v>
      </c>
      <c r="N9" s="403">
        <f>+'New summary'!H11</f>
        <v>0</v>
      </c>
      <c r="O9" s="556">
        <f>+'New summary'!I11</f>
        <v>0</v>
      </c>
      <c r="P9" s="96">
        <f>+'New summary'!J11</f>
        <v>0</v>
      </c>
      <c r="Q9" s="138">
        <f>+'New summary'!K11</f>
        <v>0</v>
      </c>
      <c r="R9" s="138">
        <f>+'New summary'!L11</f>
        <v>0</v>
      </c>
      <c r="S9" s="280">
        <f>+'New summary'!M11</f>
        <v>0</v>
      </c>
      <c r="T9" s="96">
        <f>+'New summary'!N11</f>
        <v>0</v>
      </c>
      <c r="U9" s="138">
        <f>+'New summary'!O11</f>
        <v>0</v>
      </c>
      <c r="V9" s="138">
        <f>+'New summary'!P11</f>
        <v>0</v>
      </c>
      <c r="W9" s="280">
        <f>+'New summary'!Q11</f>
        <v>0</v>
      </c>
      <c r="X9" s="96">
        <f>+'New summary'!R11</f>
        <v>0</v>
      </c>
      <c r="Y9" s="138">
        <f>+'New summary'!S11</f>
        <v>600</v>
      </c>
      <c r="Z9" s="138">
        <f>+'New summary'!T11</f>
        <v>0</v>
      </c>
      <c r="AA9" s="280">
        <f>+'New summary'!U11</f>
        <v>0</v>
      </c>
      <c r="AB9" s="202">
        <f>+'New summary'!V11</f>
        <v>0</v>
      </c>
      <c r="AC9" s="138">
        <f>+'New summary'!W11</f>
        <v>2508</v>
      </c>
      <c r="AD9" s="138">
        <f>+'New summary'!X11</f>
        <v>240</v>
      </c>
      <c r="AE9" s="138">
        <f>+'New summary'!Y11</f>
        <v>600</v>
      </c>
      <c r="AF9" s="138">
        <f>+'New summary'!Z11</f>
        <v>1788</v>
      </c>
      <c r="AG9" s="138">
        <f>+'New summary'!AA11</f>
        <v>0</v>
      </c>
      <c r="AH9" s="138">
        <f>+'New summary'!AB11</f>
        <v>0</v>
      </c>
      <c r="AI9" s="138">
        <f>+'New summary'!AC11</f>
        <v>0</v>
      </c>
      <c r="AJ9" s="138">
        <f>+'New summary'!AD11</f>
        <v>0</v>
      </c>
      <c r="AK9" s="138">
        <f>+'New summary'!AE11</f>
        <v>0</v>
      </c>
      <c r="AL9" s="138">
        <f>+'New summary'!AF11</f>
        <v>0</v>
      </c>
      <c r="AM9" s="138">
        <f>+'New summary'!AG11</f>
        <v>600</v>
      </c>
      <c r="AN9" s="138">
        <f>+'New summary'!AH11</f>
        <v>0</v>
      </c>
      <c r="AO9" s="138">
        <f>+'New summary'!AI11</f>
        <v>0</v>
      </c>
      <c r="AP9" s="138">
        <f>+'New summary'!AJ11</f>
        <v>600</v>
      </c>
      <c r="AQ9" s="138">
        <f>+'New summary'!AK11</f>
        <v>0</v>
      </c>
      <c r="AR9" s="138">
        <f>+'New summary'!AL11</f>
        <v>0</v>
      </c>
      <c r="AS9" s="138">
        <f>+'New summary'!AM11</f>
        <v>0</v>
      </c>
      <c r="AT9" s="138">
        <f>+'New summary'!AN11</f>
        <v>0</v>
      </c>
      <c r="AU9" s="138">
        <f>+'New summary'!AO11</f>
        <v>0</v>
      </c>
      <c r="AV9" s="138">
        <f>+'New summary'!AP11</f>
        <v>0</v>
      </c>
      <c r="AW9" s="138">
        <f>+'New summary'!AQ11</f>
        <v>600</v>
      </c>
      <c r="AX9" s="138">
        <f>+'New summary'!AR11</f>
        <v>0</v>
      </c>
      <c r="AY9" s="138">
        <f>+'New summary'!AS11</f>
        <v>0</v>
      </c>
      <c r="AZ9" s="138">
        <f>+'New summary'!AT11</f>
        <v>600</v>
      </c>
      <c r="BA9" s="138">
        <f>+'New summary'!AU11</f>
        <v>0</v>
      </c>
      <c r="BB9" s="138">
        <f>+'New summary'!AV11</f>
        <v>0</v>
      </c>
      <c r="BC9" s="138">
        <f>+'New summary'!AW11</f>
        <v>1084</v>
      </c>
      <c r="BD9" s="138">
        <f>+'New summary'!AX11</f>
        <v>0</v>
      </c>
      <c r="BE9" s="138">
        <f>+'New summary'!AY11</f>
        <v>0</v>
      </c>
      <c r="BF9" s="138">
        <f>+'New summary'!AZ11</f>
        <v>0</v>
      </c>
      <c r="BG9" s="138">
        <f>+'New summary'!BA11</f>
        <v>1100</v>
      </c>
      <c r="BH9" s="138">
        <f>+'New summary'!BB11</f>
        <v>476</v>
      </c>
      <c r="BI9" s="138">
        <f>+'New summary'!BC11</f>
        <v>0</v>
      </c>
      <c r="BJ9" s="138">
        <f>+'New summary'!BD11</f>
        <v>0</v>
      </c>
      <c r="BK9" s="138">
        <f>+'New summary'!BE11</f>
        <v>0</v>
      </c>
      <c r="BL9" s="138">
        <f>+'New summary'!BF11</f>
        <v>1232</v>
      </c>
      <c r="BM9" s="138">
        <f>+'New summary'!BG11</f>
        <v>0</v>
      </c>
      <c r="BN9" s="138">
        <f>+'New summary'!BH11</f>
        <v>0</v>
      </c>
      <c r="BO9" s="280">
        <f>+'New summary'!BI11</f>
        <v>0</v>
      </c>
    </row>
    <row r="10" spans="2:67" x14ac:dyDescent="0.2">
      <c r="B10" s="1077" t="s">
        <v>508</v>
      </c>
      <c r="C10" s="1056"/>
      <c r="D10" s="1056"/>
      <c r="E10" s="1056"/>
      <c r="F10" s="1056"/>
      <c r="G10" s="1056"/>
      <c r="H10" s="1056"/>
      <c r="I10" s="402">
        <f t="shared" si="2"/>
        <v>7669</v>
      </c>
      <c r="J10" s="401">
        <f>+Margins!F9</f>
        <v>43.27</v>
      </c>
      <c r="K10" s="403">
        <f>+'New summary'!E12</f>
        <v>0</v>
      </c>
      <c r="L10" s="403">
        <f>+'New summary'!F12</f>
        <v>0</v>
      </c>
      <c r="M10" s="403">
        <f>+'New summary'!G12</f>
        <v>0</v>
      </c>
      <c r="N10" s="403">
        <f>+'New summary'!H12</f>
        <v>0</v>
      </c>
      <c r="O10" s="556">
        <f>+'New summary'!I12</f>
        <v>0</v>
      </c>
      <c r="P10" s="96">
        <f>+'New summary'!J12</f>
        <v>0</v>
      </c>
      <c r="Q10" s="138">
        <f>+'New summary'!K12</f>
        <v>0</v>
      </c>
      <c r="R10" s="138">
        <f>+'New summary'!L12</f>
        <v>0</v>
      </c>
      <c r="S10" s="280">
        <f>+'New summary'!M12</f>
        <v>0</v>
      </c>
      <c r="T10" s="96">
        <f>+'New summary'!N12</f>
        <v>0</v>
      </c>
      <c r="U10" s="138">
        <f>+'New summary'!O12</f>
        <v>0</v>
      </c>
      <c r="V10" s="138">
        <f>+'New summary'!P12</f>
        <v>0</v>
      </c>
      <c r="W10" s="280">
        <f>+'New summary'!Q12</f>
        <v>0</v>
      </c>
      <c r="X10" s="96">
        <f>+'New summary'!R12</f>
        <v>0</v>
      </c>
      <c r="Y10" s="138">
        <f>+'New summary'!S12</f>
        <v>0</v>
      </c>
      <c r="Z10" s="138">
        <f>+'New summary'!T12</f>
        <v>0</v>
      </c>
      <c r="AA10" s="280">
        <f>+'New summary'!U12</f>
        <v>0</v>
      </c>
      <c r="AB10" s="202">
        <f>+'New summary'!V12</f>
        <v>0</v>
      </c>
      <c r="AC10" s="138">
        <f>+'New summary'!W12</f>
        <v>0</v>
      </c>
      <c r="AD10" s="138">
        <f>+'New summary'!X12</f>
        <v>0</v>
      </c>
      <c r="AE10" s="138">
        <f>+'New summary'!Y12</f>
        <v>0</v>
      </c>
      <c r="AF10" s="138">
        <f>+'New summary'!Z12</f>
        <v>0</v>
      </c>
      <c r="AG10" s="138">
        <f>+'New summary'!AA12</f>
        <v>0</v>
      </c>
      <c r="AH10" s="138">
        <f>+'New summary'!AB12</f>
        <v>0</v>
      </c>
      <c r="AI10" s="138">
        <f>+'New summary'!AC12</f>
        <v>1440</v>
      </c>
      <c r="AJ10" s="138">
        <f>+'New summary'!AD12</f>
        <v>0</v>
      </c>
      <c r="AK10" s="138">
        <f>+'New summary'!AE12</f>
        <v>0</v>
      </c>
      <c r="AL10" s="138">
        <f>+'New summary'!AF12</f>
        <v>0</v>
      </c>
      <c r="AM10" s="138">
        <f>+'New summary'!AG12</f>
        <v>600</v>
      </c>
      <c r="AN10" s="138">
        <f>+'New summary'!AH12</f>
        <v>0</v>
      </c>
      <c r="AO10" s="138">
        <f>+'New summary'!AI12</f>
        <v>0</v>
      </c>
      <c r="AP10" s="138">
        <f>+'New summary'!AJ12</f>
        <v>600</v>
      </c>
      <c r="AQ10" s="138">
        <f>+'New summary'!AK12</f>
        <v>0</v>
      </c>
      <c r="AR10" s="138">
        <f>+'New summary'!AL12</f>
        <v>0</v>
      </c>
      <c r="AS10" s="138">
        <f>+'New summary'!AM12</f>
        <v>0</v>
      </c>
      <c r="AT10" s="138">
        <f>+'New summary'!AN12</f>
        <v>0</v>
      </c>
      <c r="AU10" s="138">
        <f>+'New summary'!AO12</f>
        <v>0</v>
      </c>
      <c r="AV10" s="138">
        <f>+'New summary'!AP12</f>
        <v>650</v>
      </c>
      <c r="AW10" s="138">
        <f>+'New summary'!AQ12</f>
        <v>808</v>
      </c>
      <c r="AX10" s="138">
        <f>+'New summary'!AR12</f>
        <v>0</v>
      </c>
      <c r="AY10" s="138">
        <f>+'New summary'!AS12</f>
        <v>0</v>
      </c>
      <c r="AZ10" s="138">
        <f>+'New summary'!AT12</f>
        <v>0</v>
      </c>
      <c r="BA10" s="138">
        <f>+'New summary'!AU12</f>
        <v>0</v>
      </c>
      <c r="BB10" s="138">
        <f>+'New summary'!AV12</f>
        <v>0</v>
      </c>
      <c r="BC10" s="138">
        <f>+'New summary'!AW12</f>
        <v>0</v>
      </c>
      <c r="BD10" s="138">
        <f>+'New summary'!AX12</f>
        <v>1026</v>
      </c>
      <c r="BE10" s="138">
        <f>+'New summary'!AY12</f>
        <v>0</v>
      </c>
      <c r="BF10" s="138">
        <f>+'New summary'!AZ12</f>
        <v>0</v>
      </c>
      <c r="BG10" s="138">
        <f>+'New summary'!BA12</f>
        <v>0</v>
      </c>
      <c r="BH10" s="138">
        <f>+'New summary'!BB12</f>
        <v>1447</v>
      </c>
      <c r="BI10" s="138">
        <f>+'New summary'!BC12</f>
        <v>0</v>
      </c>
      <c r="BJ10" s="138">
        <f>+'New summary'!BD12</f>
        <v>0</v>
      </c>
      <c r="BK10" s="138">
        <f>+'New summary'!BE12</f>
        <v>0</v>
      </c>
      <c r="BL10" s="138">
        <f>+'New summary'!BF12</f>
        <v>1098</v>
      </c>
      <c r="BM10" s="138">
        <f>+'New summary'!BG12</f>
        <v>0</v>
      </c>
      <c r="BN10" s="138">
        <f>+'New summary'!BH12</f>
        <v>0</v>
      </c>
      <c r="BO10" s="280">
        <f>+'New summary'!BI12</f>
        <v>0</v>
      </c>
    </row>
    <row r="11" spans="2:67" x14ac:dyDescent="0.2">
      <c r="B11" s="1077" t="s">
        <v>509</v>
      </c>
      <c r="C11" s="1056"/>
      <c r="D11" s="1056"/>
      <c r="E11" s="1056"/>
      <c r="F11" s="1056"/>
      <c r="G11" s="1056"/>
      <c r="H11" s="1056"/>
      <c r="I11" s="402">
        <f t="shared" si="2"/>
        <v>11680</v>
      </c>
      <c r="J11" s="401">
        <f>+Margins!F10</f>
        <v>43.410000000000004</v>
      </c>
      <c r="K11" s="403">
        <f>+'New summary'!E13</f>
        <v>0</v>
      </c>
      <c r="L11" s="403">
        <f>+'New summary'!F13</f>
        <v>0</v>
      </c>
      <c r="M11" s="403">
        <f>+'New summary'!G13</f>
        <v>0</v>
      </c>
      <c r="N11" s="403">
        <f>+'New summary'!H13</f>
        <v>0</v>
      </c>
      <c r="O11" s="556">
        <f>+'New summary'!I13</f>
        <v>0</v>
      </c>
      <c r="P11" s="96">
        <f>+'New summary'!J13</f>
        <v>0</v>
      </c>
      <c r="Q11" s="138">
        <f>+'New summary'!K13</f>
        <v>0</v>
      </c>
      <c r="R11" s="138">
        <f>+'New summary'!L13</f>
        <v>0</v>
      </c>
      <c r="S11" s="280">
        <f>+'New summary'!M13</f>
        <v>0</v>
      </c>
      <c r="T11" s="96">
        <f>+'New summary'!N13</f>
        <v>0</v>
      </c>
      <c r="U11" s="138">
        <f>+'New summary'!O13</f>
        <v>0</v>
      </c>
      <c r="V11" s="138">
        <f>+'New summary'!P13</f>
        <v>0</v>
      </c>
      <c r="W11" s="280">
        <f>+'New summary'!Q13</f>
        <v>0</v>
      </c>
      <c r="X11" s="96">
        <f>+'New summary'!R13</f>
        <v>0</v>
      </c>
      <c r="Y11" s="138">
        <f>+'New summary'!S13</f>
        <v>0</v>
      </c>
      <c r="Z11" s="138">
        <f>+'New summary'!T13</f>
        <v>0</v>
      </c>
      <c r="AA11" s="280">
        <f>+'New summary'!U13</f>
        <v>0</v>
      </c>
      <c r="AB11" s="202">
        <f>+'New summary'!V13</f>
        <v>0</v>
      </c>
      <c r="AC11" s="138">
        <f>+'New summary'!W13</f>
        <v>0</v>
      </c>
      <c r="AD11" s="138">
        <f>+'New summary'!X13</f>
        <v>0</v>
      </c>
      <c r="AE11" s="138">
        <f>+'New summary'!Y13</f>
        <v>0</v>
      </c>
      <c r="AF11" s="138">
        <f>+'New summary'!Z13</f>
        <v>0</v>
      </c>
      <c r="AG11" s="138">
        <f>+'New summary'!AA13</f>
        <v>0</v>
      </c>
      <c r="AH11" s="138">
        <f>+'New summary'!AB13</f>
        <v>0</v>
      </c>
      <c r="AI11" s="138">
        <f>+'New summary'!AC13</f>
        <v>0</v>
      </c>
      <c r="AJ11" s="138">
        <f>+'New summary'!AD13</f>
        <v>1806</v>
      </c>
      <c r="AK11" s="138">
        <f>+'New summary'!AE13</f>
        <v>0</v>
      </c>
      <c r="AL11" s="138">
        <f>+'New summary'!AF13</f>
        <v>0</v>
      </c>
      <c r="AM11" s="138">
        <f>+'New summary'!AG13</f>
        <v>1800</v>
      </c>
      <c r="AN11" s="138">
        <f>+'New summary'!AH13</f>
        <v>0</v>
      </c>
      <c r="AO11" s="138">
        <f>+'New summary'!AI13</f>
        <v>0</v>
      </c>
      <c r="AP11" s="138">
        <f>+'New summary'!AJ13</f>
        <v>1800</v>
      </c>
      <c r="AQ11" s="138">
        <f>+'New summary'!AK13</f>
        <v>0</v>
      </c>
      <c r="AR11" s="138">
        <f>+'New summary'!AL13</f>
        <v>0</v>
      </c>
      <c r="AS11" s="138">
        <f>+'New summary'!AM13</f>
        <v>0</v>
      </c>
      <c r="AT11" s="138">
        <f>+'New summary'!AN13</f>
        <v>0</v>
      </c>
      <c r="AU11" s="138">
        <f>+'New summary'!AO13</f>
        <v>0</v>
      </c>
      <c r="AV11" s="138">
        <f>+'New summary'!AP13</f>
        <v>0</v>
      </c>
      <c r="AW11" s="138">
        <f>+'New summary'!AQ13</f>
        <v>1662</v>
      </c>
      <c r="AX11" s="138">
        <f>+'New summary'!AR13</f>
        <v>0</v>
      </c>
      <c r="AY11" s="138">
        <f>+'New summary'!AS13</f>
        <v>0</v>
      </c>
      <c r="AZ11" s="138">
        <f>+'New summary'!AT13</f>
        <v>0</v>
      </c>
      <c r="BA11" s="138">
        <f>+'New summary'!AU13</f>
        <v>0</v>
      </c>
      <c r="BB11" s="138">
        <f>+'New summary'!AV13</f>
        <v>0</v>
      </c>
      <c r="BC11" s="138">
        <f>+'New summary'!AW13</f>
        <v>0</v>
      </c>
      <c r="BD11" s="138">
        <f>+'New summary'!AX13</f>
        <v>1433</v>
      </c>
      <c r="BE11" s="138">
        <f>+'New summary'!AY13</f>
        <v>0</v>
      </c>
      <c r="BF11" s="138">
        <f>+'New summary'!AZ13</f>
        <v>0</v>
      </c>
      <c r="BG11" s="138">
        <f>+'New summary'!BA13</f>
        <v>0</v>
      </c>
      <c r="BH11" s="138">
        <f>+'New summary'!BB13</f>
        <v>1806</v>
      </c>
      <c r="BI11" s="138">
        <f>+'New summary'!BC13</f>
        <v>0</v>
      </c>
      <c r="BJ11" s="138">
        <f>+'New summary'!BD13</f>
        <v>0</v>
      </c>
      <c r="BK11" s="138">
        <f>+'New summary'!BE13</f>
        <v>0</v>
      </c>
      <c r="BL11" s="138">
        <f>+'New summary'!BF13</f>
        <v>1373</v>
      </c>
      <c r="BM11" s="138">
        <f>+'New summary'!BG13</f>
        <v>0</v>
      </c>
      <c r="BN11" s="138">
        <f>+'New summary'!BH13</f>
        <v>0</v>
      </c>
      <c r="BO11" s="280">
        <f>+'New summary'!BI13</f>
        <v>0</v>
      </c>
    </row>
    <row r="12" spans="2:67" x14ac:dyDescent="0.2">
      <c r="B12" s="1077" t="s">
        <v>510</v>
      </c>
      <c r="C12" s="1056"/>
      <c r="D12" s="1056"/>
      <c r="E12" s="1056"/>
      <c r="F12" s="1056"/>
      <c r="G12" s="1056"/>
      <c r="H12" s="1056"/>
      <c r="I12" s="402">
        <f t="shared" si="2"/>
        <v>2550</v>
      </c>
      <c r="J12" s="401">
        <f>+Margins!F11</f>
        <v>62.31</v>
      </c>
      <c r="K12" s="403">
        <f>+'New summary'!E14</f>
        <v>0</v>
      </c>
      <c r="L12" s="403">
        <f>+'New summary'!F14</f>
        <v>0</v>
      </c>
      <c r="M12" s="403">
        <f>+'New summary'!G14</f>
        <v>0</v>
      </c>
      <c r="N12" s="403">
        <f>+'New summary'!H14</f>
        <v>0</v>
      </c>
      <c r="O12" s="556">
        <f>+'New summary'!I14</f>
        <v>0</v>
      </c>
      <c r="P12" s="96">
        <f>+'New summary'!J14</f>
        <v>0</v>
      </c>
      <c r="Q12" s="138">
        <f>+'New summary'!K14</f>
        <v>0</v>
      </c>
      <c r="R12" s="138">
        <f>+'New summary'!L14</f>
        <v>0</v>
      </c>
      <c r="S12" s="280">
        <f>+'New summary'!M14</f>
        <v>0</v>
      </c>
      <c r="T12" s="96">
        <f>+'New summary'!N14</f>
        <v>0</v>
      </c>
      <c r="U12" s="138">
        <f>+'New summary'!O14</f>
        <v>0</v>
      </c>
      <c r="V12" s="138">
        <f>+'New summary'!P14</f>
        <v>0</v>
      </c>
      <c r="W12" s="280">
        <f>+'New summary'!Q14</f>
        <v>0</v>
      </c>
      <c r="X12" s="96">
        <f>+'New summary'!R14</f>
        <v>0</v>
      </c>
      <c r="Y12" s="138">
        <f>+'New summary'!S14</f>
        <v>0</v>
      </c>
      <c r="Z12" s="138">
        <f>+'New summary'!T14</f>
        <v>0</v>
      </c>
      <c r="AA12" s="280">
        <f>+'New summary'!U14</f>
        <v>0</v>
      </c>
      <c r="AB12" s="202">
        <f>+'New summary'!V14</f>
        <v>0</v>
      </c>
      <c r="AC12" s="138">
        <f>+'New summary'!W14</f>
        <v>0</v>
      </c>
      <c r="AD12" s="138">
        <f>+'New summary'!X14</f>
        <v>0</v>
      </c>
      <c r="AE12" s="138">
        <f>+'New summary'!Y14</f>
        <v>0</v>
      </c>
      <c r="AF12" s="138">
        <f>+'New summary'!Z14</f>
        <v>0</v>
      </c>
      <c r="AG12" s="138">
        <f>+'New summary'!AA14</f>
        <v>0</v>
      </c>
      <c r="AH12" s="138">
        <f>+'New summary'!AB14</f>
        <v>0</v>
      </c>
      <c r="AI12" s="138">
        <f>+'New summary'!AC14</f>
        <v>0</v>
      </c>
      <c r="AJ12" s="138">
        <f>+'New summary'!AD14</f>
        <v>0</v>
      </c>
      <c r="AK12" s="138">
        <f>+'New summary'!AE14</f>
        <v>0</v>
      </c>
      <c r="AL12" s="138">
        <f>+'New summary'!AF14</f>
        <v>0</v>
      </c>
      <c r="AM12" s="138">
        <f>+'New summary'!AG14</f>
        <v>0</v>
      </c>
      <c r="AN12" s="138">
        <f>+'New summary'!AH14</f>
        <v>0</v>
      </c>
      <c r="AO12" s="138">
        <f>+'New summary'!AI14</f>
        <v>0</v>
      </c>
      <c r="AP12" s="138">
        <f>+'New summary'!AJ14</f>
        <v>0</v>
      </c>
      <c r="AQ12" s="138">
        <f>+'New summary'!AK14</f>
        <v>0</v>
      </c>
      <c r="AR12" s="138">
        <f>+'New summary'!AL14</f>
        <v>0</v>
      </c>
      <c r="AS12" s="138">
        <f>+'New summary'!AM14</f>
        <v>250</v>
      </c>
      <c r="AT12" s="138">
        <f>+'New summary'!AN14</f>
        <v>2300</v>
      </c>
      <c r="AU12" s="138">
        <f>+'New summary'!AO14</f>
        <v>0</v>
      </c>
      <c r="AV12" s="138">
        <f>+'New summary'!AP14</f>
        <v>0</v>
      </c>
      <c r="AW12" s="138">
        <f>+'New summary'!AQ14</f>
        <v>0</v>
      </c>
      <c r="AX12" s="138">
        <f>+'New summary'!AR14</f>
        <v>0</v>
      </c>
      <c r="AY12" s="138">
        <f>+'New summary'!AS14</f>
        <v>0</v>
      </c>
      <c r="AZ12" s="138">
        <f>+'New summary'!AT14</f>
        <v>0</v>
      </c>
      <c r="BA12" s="138">
        <f>+'New summary'!AU14</f>
        <v>0</v>
      </c>
      <c r="BB12" s="138">
        <f>+'New summary'!AV14</f>
        <v>0</v>
      </c>
      <c r="BC12" s="138">
        <f>+'New summary'!AW14</f>
        <v>0</v>
      </c>
      <c r="BD12" s="138">
        <f>+'New summary'!AX14</f>
        <v>0</v>
      </c>
      <c r="BE12" s="138">
        <f>+'New summary'!AY14</f>
        <v>0</v>
      </c>
      <c r="BF12" s="138">
        <f>+'New summary'!AZ14</f>
        <v>0</v>
      </c>
      <c r="BG12" s="138">
        <f>+'New summary'!BA14</f>
        <v>0</v>
      </c>
      <c r="BH12" s="138">
        <f>+'New summary'!BB14</f>
        <v>0</v>
      </c>
      <c r="BI12" s="138">
        <f>+'New summary'!BC14</f>
        <v>0</v>
      </c>
      <c r="BJ12" s="138">
        <f>+'New summary'!BD14</f>
        <v>0</v>
      </c>
      <c r="BK12" s="138">
        <f>+'New summary'!BE14</f>
        <v>0</v>
      </c>
      <c r="BL12" s="138">
        <f>+'New summary'!BF14</f>
        <v>0</v>
      </c>
      <c r="BM12" s="138">
        <f>+'New summary'!BG14</f>
        <v>0</v>
      </c>
      <c r="BN12" s="138">
        <f>+'New summary'!BH14</f>
        <v>0</v>
      </c>
      <c r="BO12" s="280">
        <f>+'New summary'!BI14</f>
        <v>0</v>
      </c>
    </row>
    <row r="13" spans="2:67" x14ac:dyDescent="0.2">
      <c r="B13" s="1077" t="s">
        <v>511</v>
      </c>
      <c r="C13" s="1056"/>
      <c r="D13" s="1056"/>
      <c r="E13" s="1056"/>
      <c r="F13" s="1056"/>
      <c r="G13" s="1056"/>
      <c r="H13" s="1056"/>
      <c r="I13" s="402">
        <f t="shared" si="2"/>
        <v>684</v>
      </c>
      <c r="J13" s="401">
        <f>+Margins!F12</f>
        <v>64.670000000000016</v>
      </c>
      <c r="K13" s="403">
        <f>+'New summary'!E17</f>
        <v>0</v>
      </c>
      <c r="L13" s="403">
        <f>+'New summary'!F17</f>
        <v>0</v>
      </c>
      <c r="M13" s="403">
        <f>+'New summary'!G17</f>
        <v>0</v>
      </c>
      <c r="N13" s="403">
        <f>+'New summary'!H17</f>
        <v>0</v>
      </c>
      <c r="O13" s="556">
        <f>+'New summary'!I17</f>
        <v>0</v>
      </c>
      <c r="P13" s="96">
        <f>+'New summary'!J17</f>
        <v>0</v>
      </c>
      <c r="Q13" s="138">
        <f>+'New summary'!K17</f>
        <v>0</v>
      </c>
      <c r="R13" s="138">
        <f>+'New summary'!L17</f>
        <v>0</v>
      </c>
      <c r="S13" s="280">
        <f>+'New summary'!M17</f>
        <v>0</v>
      </c>
      <c r="T13" s="96">
        <f>+'New summary'!N17</f>
        <v>0</v>
      </c>
      <c r="U13" s="138">
        <f>+'New summary'!O17</f>
        <v>0</v>
      </c>
      <c r="V13" s="138">
        <f>+'New summary'!P17</f>
        <v>0</v>
      </c>
      <c r="W13" s="280">
        <f>+'New summary'!Q17</f>
        <v>0</v>
      </c>
      <c r="X13" s="96">
        <f>+'New summary'!R17</f>
        <v>0</v>
      </c>
      <c r="Y13" s="138">
        <f>+'New summary'!S17</f>
        <v>0</v>
      </c>
      <c r="Z13" s="138">
        <f>+'New summary'!T17</f>
        <v>0</v>
      </c>
      <c r="AA13" s="280">
        <f>+'New summary'!U17</f>
        <v>0</v>
      </c>
      <c r="AB13" s="202">
        <f>+'New summary'!V17</f>
        <v>0</v>
      </c>
      <c r="AC13" s="138">
        <f>+'New summary'!W17</f>
        <v>0</v>
      </c>
      <c r="AD13" s="138">
        <f>+'New summary'!X17</f>
        <v>0</v>
      </c>
      <c r="AE13" s="138">
        <f>+'New summary'!Y17</f>
        <v>0</v>
      </c>
      <c r="AF13" s="138">
        <f>+'New summary'!Z17</f>
        <v>0</v>
      </c>
      <c r="AG13" s="138">
        <f>+'New summary'!AA17</f>
        <v>0</v>
      </c>
      <c r="AH13" s="138">
        <f>+'New summary'!AB17</f>
        <v>0</v>
      </c>
      <c r="AI13" s="138">
        <f>+'New summary'!AC17</f>
        <v>0</v>
      </c>
      <c r="AJ13" s="138">
        <f>+'New summary'!AD17</f>
        <v>0</v>
      </c>
      <c r="AK13" s="138">
        <f>+'New summary'!AE17</f>
        <v>0</v>
      </c>
      <c r="AL13" s="138">
        <f>+'New summary'!AF17</f>
        <v>0</v>
      </c>
      <c r="AM13" s="138">
        <f>+'New summary'!AG17</f>
        <v>0</v>
      </c>
      <c r="AN13" s="138">
        <f>+'New summary'!AH17</f>
        <v>0</v>
      </c>
      <c r="AO13" s="138">
        <f>+'New summary'!AI17</f>
        <v>0</v>
      </c>
      <c r="AP13" s="138">
        <f>+'New summary'!AJ17</f>
        <v>0</v>
      </c>
      <c r="AQ13" s="138">
        <f>+'New summary'!AK17</f>
        <v>0</v>
      </c>
      <c r="AR13" s="138">
        <f>+'New summary'!AL17</f>
        <v>0</v>
      </c>
      <c r="AS13" s="138">
        <f>+'New summary'!AM17</f>
        <v>0</v>
      </c>
      <c r="AT13" s="138">
        <f>+'New summary'!AN17</f>
        <v>0</v>
      </c>
      <c r="AU13" s="138">
        <f>+'New summary'!AO17</f>
        <v>0</v>
      </c>
      <c r="AV13" s="138">
        <f>+'New summary'!AP17</f>
        <v>0</v>
      </c>
      <c r="AW13" s="138">
        <f>+'New summary'!AQ17</f>
        <v>0</v>
      </c>
      <c r="AX13" s="138">
        <f>+'New summary'!AR17</f>
        <v>684</v>
      </c>
      <c r="AY13" s="138">
        <f>+'New summary'!AS17</f>
        <v>0</v>
      </c>
      <c r="AZ13" s="138">
        <f>+'New summary'!AT17</f>
        <v>0</v>
      </c>
      <c r="BA13" s="138">
        <f>+'New summary'!AU17</f>
        <v>0</v>
      </c>
      <c r="BB13" s="138">
        <f>+'New summary'!AV17</f>
        <v>0</v>
      </c>
      <c r="BC13" s="138">
        <f>+'New summary'!AW17</f>
        <v>0</v>
      </c>
      <c r="BD13" s="138">
        <f>+'New summary'!AX17</f>
        <v>0</v>
      </c>
      <c r="BE13" s="138">
        <f>+'New summary'!AY17</f>
        <v>0</v>
      </c>
      <c r="BF13" s="138">
        <f>+'New summary'!AZ17</f>
        <v>0</v>
      </c>
      <c r="BG13" s="138">
        <f>+'New summary'!BA17</f>
        <v>0</v>
      </c>
      <c r="BH13" s="138">
        <f>+'New summary'!BB17</f>
        <v>0</v>
      </c>
      <c r="BI13" s="138">
        <f>+'New summary'!BC17</f>
        <v>0</v>
      </c>
      <c r="BJ13" s="138">
        <f>+'New summary'!BD17</f>
        <v>0</v>
      </c>
      <c r="BK13" s="138">
        <f>+'New summary'!BE17</f>
        <v>0</v>
      </c>
      <c r="BL13" s="138">
        <f>+'New summary'!BF17</f>
        <v>0</v>
      </c>
      <c r="BM13" s="138">
        <f>+'New summary'!BG17</f>
        <v>0</v>
      </c>
      <c r="BN13" s="138">
        <f>+'New summary'!BH17</f>
        <v>0</v>
      </c>
      <c r="BO13" s="280">
        <f>+'New summary'!BI17</f>
        <v>0</v>
      </c>
    </row>
    <row r="14" spans="2:67" x14ac:dyDescent="0.2">
      <c r="B14" s="1077" t="s">
        <v>512</v>
      </c>
      <c r="C14" s="1056"/>
      <c r="D14" s="1056"/>
      <c r="E14" s="1056"/>
      <c r="F14" s="1056"/>
      <c r="G14" s="1056"/>
      <c r="H14" s="1056"/>
      <c r="I14" s="402">
        <f t="shared" si="2"/>
        <v>858</v>
      </c>
      <c r="J14" s="401">
        <f>+Margins!F13</f>
        <v>58.08</v>
      </c>
      <c r="K14" s="403">
        <f>+'New summary'!E15</f>
        <v>1329</v>
      </c>
      <c r="L14" s="403">
        <f>+'New summary'!F15</f>
        <v>0</v>
      </c>
      <c r="M14" s="403">
        <f>+'New summary'!G15</f>
        <v>0</v>
      </c>
      <c r="N14" s="403">
        <f>+'New summary'!H15</f>
        <v>0</v>
      </c>
      <c r="O14" s="556">
        <f>+'New summary'!I15</f>
        <v>0</v>
      </c>
      <c r="P14" s="96">
        <f>+'New summary'!J15</f>
        <v>0</v>
      </c>
      <c r="Q14" s="138">
        <f>+'New summary'!K15</f>
        <v>0</v>
      </c>
      <c r="R14" s="138">
        <f>+'New summary'!L15</f>
        <v>0</v>
      </c>
      <c r="S14" s="280">
        <f>+'New summary'!M15</f>
        <v>0</v>
      </c>
      <c r="T14" s="96">
        <f>+'New summary'!N15</f>
        <v>0</v>
      </c>
      <c r="U14" s="138">
        <f>+'New summary'!O15</f>
        <v>0</v>
      </c>
      <c r="V14" s="138">
        <f>+'New summary'!P15</f>
        <v>0</v>
      </c>
      <c r="W14" s="280">
        <f>+'New summary'!Q15</f>
        <v>0</v>
      </c>
      <c r="X14" s="96">
        <f>+'New summary'!R15</f>
        <v>0</v>
      </c>
      <c r="Y14" s="138">
        <f>+'New summary'!S15</f>
        <v>0</v>
      </c>
      <c r="Z14" s="138">
        <f>+'New summary'!T15</f>
        <v>0</v>
      </c>
      <c r="AA14" s="280">
        <f>+'New summary'!U15</f>
        <v>0</v>
      </c>
      <c r="AB14" s="202">
        <f>+'New summary'!V15</f>
        <v>0</v>
      </c>
      <c r="AC14" s="138">
        <f>+'New summary'!W15</f>
        <v>0</v>
      </c>
      <c r="AD14" s="138">
        <f>+'New summary'!X15</f>
        <v>0</v>
      </c>
      <c r="AE14" s="138">
        <f>+'New summary'!Y15</f>
        <v>0</v>
      </c>
      <c r="AF14" s="138">
        <f>+'New summary'!Z15</f>
        <v>0</v>
      </c>
      <c r="AG14" s="138">
        <f>+'New summary'!AA15</f>
        <v>0</v>
      </c>
      <c r="AH14" s="138">
        <f>+'New summary'!AB15</f>
        <v>0</v>
      </c>
      <c r="AI14" s="138">
        <f>+'New summary'!AC15</f>
        <v>0</v>
      </c>
      <c r="AJ14" s="138">
        <f>+'New summary'!AD15</f>
        <v>0</v>
      </c>
      <c r="AK14" s="138">
        <f>+'New summary'!AE15</f>
        <v>0</v>
      </c>
      <c r="AL14" s="138">
        <f>+'New summary'!AF15</f>
        <v>0</v>
      </c>
      <c r="AM14" s="138">
        <f>+'New summary'!AG15</f>
        <v>0</v>
      </c>
      <c r="AN14" s="138">
        <f>+'New summary'!AH15</f>
        <v>0</v>
      </c>
      <c r="AO14" s="138">
        <f>+'New summary'!AI15</f>
        <v>0</v>
      </c>
      <c r="AP14" s="138">
        <f>+'New summary'!AJ15</f>
        <v>0</v>
      </c>
      <c r="AQ14" s="138">
        <f>+'New summary'!AK15</f>
        <v>0</v>
      </c>
      <c r="AR14" s="138">
        <f>+'New summary'!AL15</f>
        <v>0</v>
      </c>
      <c r="AS14" s="138">
        <f>+'New summary'!AM15</f>
        <v>0</v>
      </c>
      <c r="AT14" s="138">
        <f>+'New summary'!AN15</f>
        <v>0</v>
      </c>
      <c r="AU14" s="138">
        <f>+'New summary'!AO15</f>
        <v>0</v>
      </c>
      <c r="AV14" s="138">
        <f>+'New summary'!AP15</f>
        <v>0</v>
      </c>
      <c r="AW14" s="138">
        <f>+'New summary'!AQ15</f>
        <v>450</v>
      </c>
      <c r="AX14" s="138">
        <f>+'New summary'!AR15</f>
        <v>408</v>
      </c>
      <c r="AY14" s="138">
        <f>+'New summary'!AS15</f>
        <v>0</v>
      </c>
      <c r="AZ14" s="138">
        <f>+'New summary'!AT15</f>
        <v>0</v>
      </c>
      <c r="BA14" s="138">
        <f>+'New summary'!AU15</f>
        <v>0</v>
      </c>
      <c r="BB14" s="138">
        <f>+'New summary'!AV15</f>
        <v>0</v>
      </c>
      <c r="BC14" s="138">
        <f>+'New summary'!AW15</f>
        <v>0</v>
      </c>
      <c r="BD14" s="138">
        <f>+'New summary'!AX15</f>
        <v>0</v>
      </c>
      <c r="BE14" s="138">
        <f>+'New summary'!AY15</f>
        <v>0</v>
      </c>
      <c r="BF14" s="138">
        <f>+'New summary'!AZ15</f>
        <v>0</v>
      </c>
      <c r="BG14" s="138">
        <f>+'New summary'!BA15</f>
        <v>0</v>
      </c>
      <c r="BH14" s="138">
        <f>+'New summary'!BB15</f>
        <v>0</v>
      </c>
      <c r="BI14" s="138">
        <f>+'New summary'!BC15</f>
        <v>0</v>
      </c>
      <c r="BJ14" s="138">
        <f>+'New summary'!BD15</f>
        <v>0</v>
      </c>
      <c r="BK14" s="138">
        <f>+'New summary'!BE15</f>
        <v>0</v>
      </c>
      <c r="BL14" s="138">
        <f>+'New summary'!BF15</f>
        <v>0</v>
      </c>
      <c r="BM14" s="138">
        <f>+'New summary'!BG15</f>
        <v>0</v>
      </c>
      <c r="BN14" s="138">
        <f>+'New summary'!BH15</f>
        <v>0</v>
      </c>
      <c r="BO14" s="280">
        <f>+'New summary'!BI15</f>
        <v>0</v>
      </c>
    </row>
    <row r="15" spans="2:67" x14ac:dyDescent="0.2">
      <c r="B15" s="1077" t="s">
        <v>513</v>
      </c>
      <c r="C15" s="1056"/>
      <c r="D15" s="1056"/>
      <c r="E15" s="1056"/>
      <c r="F15" s="1056"/>
      <c r="G15" s="1056"/>
      <c r="H15" s="1056"/>
      <c r="I15" s="402">
        <f t="shared" si="2"/>
        <v>1008</v>
      </c>
      <c r="J15" s="401">
        <f>+Margins!F14</f>
        <v>61.470000000000013</v>
      </c>
      <c r="K15" s="403">
        <f>+'New summary'!E16</f>
        <v>0</v>
      </c>
      <c r="L15" s="403">
        <f>+'New summary'!F16</f>
        <v>0</v>
      </c>
      <c r="M15" s="403">
        <f>+'New summary'!G16</f>
        <v>0</v>
      </c>
      <c r="N15" s="403">
        <f>+'New summary'!H16</f>
        <v>0</v>
      </c>
      <c r="O15" s="556">
        <f>+'New summary'!I16</f>
        <v>0</v>
      </c>
      <c r="P15" s="96">
        <f>+'New summary'!J16</f>
        <v>0</v>
      </c>
      <c r="Q15" s="138">
        <f>+'New summary'!K16</f>
        <v>0</v>
      </c>
      <c r="R15" s="138">
        <f>+'New summary'!L16</f>
        <v>0</v>
      </c>
      <c r="S15" s="280">
        <f>+'New summary'!M16</f>
        <v>0</v>
      </c>
      <c r="T15" s="96">
        <f>+'New summary'!N16</f>
        <v>0</v>
      </c>
      <c r="U15" s="138">
        <f>+'New summary'!O16</f>
        <v>0</v>
      </c>
      <c r="V15" s="138">
        <f>+'New summary'!P16</f>
        <v>0</v>
      </c>
      <c r="W15" s="280">
        <f>+'New summary'!Q16</f>
        <v>0</v>
      </c>
      <c r="X15" s="96">
        <f>+'New summary'!R16</f>
        <v>0</v>
      </c>
      <c r="Y15" s="138">
        <f>+'New summary'!S16</f>
        <v>0</v>
      </c>
      <c r="Z15" s="138">
        <f>+'New summary'!T16</f>
        <v>0</v>
      </c>
      <c r="AA15" s="280">
        <f>+'New summary'!U16</f>
        <v>0</v>
      </c>
      <c r="AB15" s="202">
        <f>+'New summary'!V16</f>
        <v>0</v>
      </c>
      <c r="AC15" s="138">
        <f>+'New summary'!W16</f>
        <v>0</v>
      </c>
      <c r="AD15" s="138">
        <f>+'New summary'!X16</f>
        <v>0</v>
      </c>
      <c r="AE15" s="138">
        <f>+'New summary'!Y16</f>
        <v>0</v>
      </c>
      <c r="AF15" s="138">
        <f>+'New summary'!Z16</f>
        <v>0</v>
      </c>
      <c r="AG15" s="138">
        <f>+'New summary'!AA16</f>
        <v>0</v>
      </c>
      <c r="AH15" s="138">
        <f>+'New summary'!AB16</f>
        <v>0</v>
      </c>
      <c r="AI15" s="138">
        <f>+'New summary'!AC16</f>
        <v>0</v>
      </c>
      <c r="AJ15" s="138">
        <f>+'New summary'!AD16</f>
        <v>0</v>
      </c>
      <c r="AK15" s="138">
        <f>+'New summary'!AE16</f>
        <v>0</v>
      </c>
      <c r="AL15" s="138">
        <f>+'New summary'!AF16</f>
        <v>0</v>
      </c>
      <c r="AM15" s="138">
        <f>+'New summary'!AG16</f>
        <v>0</v>
      </c>
      <c r="AN15" s="138">
        <f>+'New summary'!AH16</f>
        <v>0</v>
      </c>
      <c r="AO15" s="138">
        <f>+'New summary'!AI16</f>
        <v>0</v>
      </c>
      <c r="AP15" s="138">
        <f>+'New summary'!AJ16</f>
        <v>0</v>
      </c>
      <c r="AQ15" s="138">
        <f>+'New summary'!AK16</f>
        <v>0</v>
      </c>
      <c r="AR15" s="138">
        <f>+'New summary'!AL16</f>
        <v>0</v>
      </c>
      <c r="AS15" s="138">
        <f>+'New summary'!AM16</f>
        <v>0</v>
      </c>
      <c r="AT15" s="138">
        <f>+'New summary'!AN16</f>
        <v>0</v>
      </c>
      <c r="AU15" s="138">
        <f>+'New summary'!AO16</f>
        <v>0</v>
      </c>
      <c r="AV15" s="138">
        <f>+'New summary'!AP16</f>
        <v>0</v>
      </c>
      <c r="AW15" s="138">
        <f>+'New summary'!AQ16</f>
        <v>0</v>
      </c>
      <c r="AX15" s="138">
        <f>+'New summary'!AR16</f>
        <v>1008</v>
      </c>
      <c r="AY15" s="138">
        <f>+'New summary'!AS16</f>
        <v>0</v>
      </c>
      <c r="AZ15" s="138">
        <f>+'New summary'!AT16</f>
        <v>0</v>
      </c>
      <c r="BA15" s="138">
        <f>+'New summary'!AU16</f>
        <v>0</v>
      </c>
      <c r="BB15" s="138">
        <f>+'New summary'!AV16</f>
        <v>0</v>
      </c>
      <c r="BC15" s="138">
        <f>+'New summary'!AW16</f>
        <v>0</v>
      </c>
      <c r="BD15" s="138">
        <f>+'New summary'!AX16</f>
        <v>0</v>
      </c>
      <c r="BE15" s="138">
        <f>+'New summary'!AY16</f>
        <v>0</v>
      </c>
      <c r="BF15" s="138">
        <f>+'New summary'!AZ16</f>
        <v>0</v>
      </c>
      <c r="BG15" s="138">
        <f>+'New summary'!BA16</f>
        <v>0</v>
      </c>
      <c r="BH15" s="138">
        <f>+'New summary'!BB16</f>
        <v>0</v>
      </c>
      <c r="BI15" s="138">
        <f>+'New summary'!BC16</f>
        <v>0</v>
      </c>
      <c r="BJ15" s="138">
        <f>+'New summary'!BD16</f>
        <v>0</v>
      </c>
      <c r="BK15" s="138">
        <f>+'New summary'!BE16</f>
        <v>0</v>
      </c>
      <c r="BL15" s="138">
        <f>+'New summary'!BF16</f>
        <v>0</v>
      </c>
      <c r="BM15" s="138">
        <f>+'New summary'!BG16</f>
        <v>0</v>
      </c>
      <c r="BN15" s="138">
        <f>+'New summary'!BH16</f>
        <v>0</v>
      </c>
      <c r="BO15" s="280">
        <f>+'New summary'!BI16</f>
        <v>0</v>
      </c>
    </row>
    <row r="16" spans="2:67" x14ac:dyDescent="0.2">
      <c r="B16" s="1077" t="s">
        <v>15</v>
      </c>
      <c r="C16" s="1056"/>
      <c r="D16" s="1056"/>
      <c r="E16" s="1056"/>
      <c r="F16" s="1056"/>
      <c r="G16" s="1056"/>
      <c r="H16" s="1056"/>
      <c r="I16" s="402">
        <f t="shared" si="2"/>
        <v>18420</v>
      </c>
      <c r="J16" s="401">
        <f>+Margins!F16</f>
        <v>88</v>
      </c>
      <c r="K16" s="403">
        <f>+'New summary'!E20</f>
        <v>0</v>
      </c>
      <c r="L16" s="403">
        <f>+'New summary'!F20</f>
        <v>160</v>
      </c>
      <c r="M16" s="403">
        <f>+'New summary'!G20</f>
        <v>1814</v>
      </c>
      <c r="N16" s="403">
        <f>+'New summary'!H20</f>
        <v>0</v>
      </c>
      <c r="O16" s="556">
        <f>+'New summary'!I20</f>
        <v>0</v>
      </c>
      <c r="P16" s="96">
        <f>+'New summary'!J20</f>
        <v>0</v>
      </c>
      <c r="Q16" s="138">
        <f>+'New summary'!K20</f>
        <v>420</v>
      </c>
      <c r="R16" s="138">
        <f>+'New summary'!L20</f>
        <v>0</v>
      </c>
      <c r="S16" s="280">
        <f>+'New summary'!M20</f>
        <v>0</v>
      </c>
      <c r="T16" s="96">
        <f>+'New summary'!N20</f>
        <v>0</v>
      </c>
      <c r="U16" s="138">
        <f>+'New summary'!O20</f>
        <v>0</v>
      </c>
      <c r="V16" s="138">
        <f>+'New summary'!P20</f>
        <v>696</v>
      </c>
      <c r="W16" s="280">
        <f>+'New summary'!Q20</f>
        <v>624</v>
      </c>
      <c r="X16" s="96">
        <f>+'New summary'!R20</f>
        <v>0</v>
      </c>
      <c r="Y16" s="138">
        <f>+'New summary'!S20</f>
        <v>0</v>
      </c>
      <c r="Z16" s="138">
        <f>+'New summary'!T20</f>
        <v>0</v>
      </c>
      <c r="AA16" s="280">
        <f>+'New summary'!U20</f>
        <v>200</v>
      </c>
      <c r="AB16" s="202">
        <f>+'New summary'!V20</f>
        <v>1018</v>
      </c>
      <c r="AC16" s="138">
        <f>+'New summary'!W20</f>
        <v>0</v>
      </c>
      <c r="AD16" s="138">
        <f>+'New summary'!X20</f>
        <v>0</v>
      </c>
      <c r="AE16" s="138">
        <f>+'New summary'!Y20</f>
        <v>0</v>
      </c>
      <c r="AF16" s="138">
        <f>+'New summary'!Z20</f>
        <v>0</v>
      </c>
      <c r="AG16" s="138">
        <f>+'New summary'!AA20</f>
        <v>1666</v>
      </c>
      <c r="AH16" s="138">
        <f>+'New summary'!AB20</f>
        <v>2242</v>
      </c>
      <c r="AI16" s="138">
        <f>+'New summary'!AC20</f>
        <v>340</v>
      </c>
      <c r="AJ16" s="138">
        <f>+'New summary'!AD20</f>
        <v>0</v>
      </c>
      <c r="AK16" s="138">
        <f>+'New summary'!AE20</f>
        <v>0</v>
      </c>
      <c r="AL16" s="138">
        <f>+'New summary'!AF20</f>
        <v>1572</v>
      </c>
      <c r="AM16" s="138">
        <f>+'New summary'!AG20</f>
        <v>0</v>
      </c>
      <c r="AN16" s="138">
        <f>+'New summary'!AH20</f>
        <v>0</v>
      </c>
      <c r="AO16" s="138">
        <f>+'New summary'!AI20</f>
        <v>0</v>
      </c>
      <c r="AP16" s="138">
        <f>+'New summary'!AJ20</f>
        <v>0</v>
      </c>
      <c r="AQ16" s="138">
        <f>+'New summary'!AK20</f>
        <v>0</v>
      </c>
      <c r="AR16" s="138">
        <f>+'New summary'!AL20</f>
        <v>0</v>
      </c>
      <c r="AS16" s="138">
        <f>+'New summary'!AM20</f>
        <v>1560</v>
      </c>
      <c r="AT16" s="138">
        <f>+'New summary'!AN20</f>
        <v>0</v>
      </c>
      <c r="AU16" s="138">
        <f>+'New summary'!AO20</f>
        <v>1548</v>
      </c>
      <c r="AV16" s="138">
        <f>+'New summary'!AP20</f>
        <v>0</v>
      </c>
      <c r="AW16" s="138">
        <f>+'New summary'!AQ20</f>
        <v>0</v>
      </c>
      <c r="AX16" s="138">
        <f>+'New summary'!AR20</f>
        <v>0</v>
      </c>
      <c r="AY16" s="138">
        <f>+'New summary'!AS20</f>
        <v>400</v>
      </c>
      <c r="AZ16" s="138">
        <f>+'New summary'!AT20</f>
        <v>710</v>
      </c>
      <c r="BA16" s="138">
        <f>+'New summary'!AU20</f>
        <v>0</v>
      </c>
      <c r="BB16" s="138">
        <f>+'New summary'!AV20</f>
        <v>0</v>
      </c>
      <c r="BC16" s="138">
        <f>+'New summary'!AW20</f>
        <v>0</v>
      </c>
      <c r="BD16" s="138">
        <f>+'New summary'!AX20</f>
        <v>0</v>
      </c>
      <c r="BE16" s="138">
        <f>+'New summary'!AY20</f>
        <v>0</v>
      </c>
      <c r="BF16" s="138">
        <f>+'New summary'!AZ20</f>
        <v>0</v>
      </c>
      <c r="BG16" s="138">
        <f>+'New summary'!BA20</f>
        <v>0</v>
      </c>
      <c r="BH16" s="138">
        <f>+'New summary'!BB20</f>
        <v>300</v>
      </c>
      <c r="BI16" s="138">
        <f>+'New summary'!BC20</f>
        <v>2664</v>
      </c>
      <c r="BJ16" s="138">
        <f>+'New summary'!BD20</f>
        <v>0</v>
      </c>
      <c r="BK16" s="138">
        <f>+'New summary'!BE20</f>
        <v>0</v>
      </c>
      <c r="BL16" s="138">
        <f>+'New summary'!BF20</f>
        <v>60</v>
      </c>
      <c r="BM16" s="138">
        <f>+'New summary'!BG20</f>
        <v>2400</v>
      </c>
      <c r="BN16" s="138">
        <f>+'New summary'!BH20</f>
        <v>0</v>
      </c>
      <c r="BO16" s="280">
        <f>+'New summary'!BI20</f>
        <v>0</v>
      </c>
    </row>
    <row r="17" spans="2:67" x14ac:dyDescent="0.2">
      <c r="B17" s="1077" t="s">
        <v>514</v>
      </c>
      <c r="C17" s="1056"/>
      <c r="D17" s="1056"/>
      <c r="E17" s="1056"/>
      <c r="F17" s="1056"/>
      <c r="G17" s="1056"/>
      <c r="H17" s="1056"/>
      <c r="I17" s="402">
        <f t="shared" si="2"/>
        <v>600</v>
      </c>
      <c r="J17" s="401">
        <v>25</v>
      </c>
      <c r="K17" s="403">
        <f>+'New summary'!E21</f>
        <v>0</v>
      </c>
      <c r="L17" s="403">
        <f>+'New summary'!F21</f>
        <v>0</v>
      </c>
      <c r="M17" s="403">
        <f>+'New summary'!G21</f>
        <v>0</v>
      </c>
      <c r="N17" s="403">
        <f>+'New summary'!H21</f>
        <v>0</v>
      </c>
      <c r="O17" s="556">
        <f>+'New summary'!I21</f>
        <v>0</v>
      </c>
      <c r="P17" s="96">
        <f>+'New summary'!J21</f>
        <v>0</v>
      </c>
      <c r="Q17" s="138">
        <f>+'New summary'!K21</f>
        <v>0</v>
      </c>
      <c r="R17" s="138">
        <f>+'New summary'!L21</f>
        <v>0</v>
      </c>
      <c r="S17" s="280">
        <f>+'New summary'!M21</f>
        <v>0</v>
      </c>
      <c r="T17" s="96">
        <f>+'New summary'!N21</f>
        <v>0</v>
      </c>
      <c r="U17" s="138">
        <f>+'New summary'!O21</f>
        <v>0</v>
      </c>
      <c r="V17" s="138">
        <f>+'New summary'!P21</f>
        <v>0</v>
      </c>
      <c r="W17" s="280">
        <f>+'New summary'!Q21</f>
        <v>0</v>
      </c>
      <c r="X17" s="96">
        <f>+'New summary'!R21</f>
        <v>0</v>
      </c>
      <c r="Y17" s="138">
        <f>+'New summary'!S21</f>
        <v>0</v>
      </c>
      <c r="Z17" s="138">
        <f>+'New summary'!T21</f>
        <v>0</v>
      </c>
      <c r="AA17" s="280">
        <f>+'New summary'!U21</f>
        <v>0</v>
      </c>
      <c r="AB17" s="202">
        <f>+'New summary'!V21</f>
        <v>0</v>
      </c>
      <c r="AC17" s="138">
        <f>+'New summary'!W21</f>
        <v>0</v>
      </c>
      <c r="AD17" s="138">
        <f>+'New summary'!X21</f>
        <v>0</v>
      </c>
      <c r="AE17" s="138">
        <f>+'New summary'!Y21</f>
        <v>0</v>
      </c>
      <c r="AF17" s="138">
        <f>+'New summary'!Z21</f>
        <v>0</v>
      </c>
      <c r="AG17" s="138">
        <f>+'New summary'!AA21</f>
        <v>0</v>
      </c>
      <c r="AH17" s="138">
        <f>+'New summary'!AB21</f>
        <v>0</v>
      </c>
      <c r="AI17" s="138">
        <f>+'New summary'!AC21</f>
        <v>0</v>
      </c>
      <c r="AJ17" s="138">
        <f>+'New summary'!AD21</f>
        <v>0</v>
      </c>
      <c r="AK17" s="138">
        <f>+'New summary'!AE21</f>
        <v>0</v>
      </c>
      <c r="AL17" s="138">
        <f>+'New summary'!AF21</f>
        <v>0</v>
      </c>
      <c r="AM17" s="138">
        <f>+'New summary'!AG21</f>
        <v>0</v>
      </c>
      <c r="AN17" s="138">
        <f>+'New summary'!AH21</f>
        <v>0</v>
      </c>
      <c r="AO17" s="138">
        <f>+'New summary'!AI21</f>
        <v>0</v>
      </c>
      <c r="AP17" s="138">
        <f>+'New summary'!AJ21</f>
        <v>0</v>
      </c>
      <c r="AQ17" s="138">
        <f>+'New summary'!AK21</f>
        <v>600</v>
      </c>
      <c r="AR17" s="138">
        <f>+'New summary'!AL21</f>
        <v>0</v>
      </c>
      <c r="AS17" s="138">
        <f>+'New summary'!AM21</f>
        <v>0</v>
      </c>
      <c r="AT17" s="138">
        <f>+'New summary'!AN21</f>
        <v>0</v>
      </c>
      <c r="AU17" s="138">
        <f>+'New summary'!AO21</f>
        <v>0</v>
      </c>
      <c r="AV17" s="138">
        <f>+'New summary'!AP21</f>
        <v>0</v>
      </c>
      <c r="AW17" s="138">
        <f>+'New summary'!AQ21</f>
        <v>0</v>
      </c>
      <c r="AX17" s="138">
        <f>+'New summary'!AR21</f>
        <v>0</v>
      </c>
      <c r="AY17" s="138">
        <f>+'New summary'!AS21</f>
        <v>0</v>
      </c>
      <c r="AZ17" s="138">
        <f>+'New summary'!AT21</f>
        <v>0</v>
      </c>
      <c r="BA17" s="138">
        <f>+'New summary'!AU21</f>
        <v>0</v>
      </c>
      <c r="BB17" s="138">
        <f>+'New summary'!AV21</f>
        <v>0</v>
      </c>
      <c r="BC17" s="138">
        <f>+'New summary'!AW21</f>
        <v>0</v>
      </c>
      <c r="BD17" s="138">
        <f>+'New summary'!AX21</f>
        <v>0</v>
      </c>
      <c r="BE17" s="138">
        <f>+'New summary'!AY21</f>
        <v>0</v>
      </c>
      <c r="BF17" s="138">
        <f>+'New summary'!AZ21</f>
        <v>0</v>
      </c>
      <c r="BG17" s="138">
        <f>+'New summary'!BA21</f>
        <v>0</v>
      </c>
      <c r="BH17" s="138">
        <f>+'New summary'!BB21</f>
        <v>0</v>
      </c>
      <c r="BI17" s="138">
        <f>+'New summary'!BC21</f>
        <v>0</v>
      </c>
      <c r="BJ17" s="138">
        <f>+'New summary'!BD21</f>
        <v>0</v>
      </c>
      <c r="BK17" s="138">
        <f>+'New summary'!BE21</f>
        <v>0</v>
      </c>
      <c r="BL17" s="138">
        <f>+'New summary'!BF21</f>
        <v>0</v>
      </c>
      <c r="BM17" s="138">
        <f>+'New summary'!BG21</f>
        <v>0</v>
      </c>
      <c r="BN17" s="138">
        <f>+'New summary'!BH21</f>
        <v>0</v>
      </c>
      <c r="BO17" s="280">
        <f>+'New summary'!BI21</f>
        <v>0</v>
      </c>
    </row>
    <row r="18" spans="2:67" x14ac:dyDescent="0.2">
      <c r="B18" s="1077" t="s">
        <v>515</v>
      </c>
      <c r="C18" s="1056"/>
      <c r="D18" s="1056"/>
      <c r="E18" s="1056"/>
      <c r="F18" s="1056"/>
      <c r="G18" s="1056"/>
      <c r="H18" s="1056"/>
      <c r="I18" s="402">
        <f t="shared" si="2"/>
        <v>8811</v>
      </c>
      <c r="J18" s="401">
        <f>+Margins!F20</f>
        <v>86.97</v>
      </c>
      <c r="K18" s="403">
        <f>+'New summary'!E23</f>
        <v>0</v>
      </c>
      <c r="L18" s="403">
        <f>+'New summary'!F23</f>
        <v>0</v>
      </c>
      <c r="M18" s="403">
        <f>+'New summary'!G23</f>
        <v>0</v>
      </c>
      <c r="N18" s="403">
        <f>+'New summary'!H23</f>
        <v>0</v>
      </c>
      <c r="O18" s="556">
        <f>+'New summary'!I23</f>
        <v>0</v>
      </c>
      <c r="P18" s="96">
        <f>+'New summary'!J23</f>
        <v>0</v>
      </c>
      <c r="Q18" s="138">
        <f>+'New summary'!K23</f>
        <v>0</v>
      </c>
      <c r="R18" s="138">
        <f>+'New summary'!L23</f>
        <v>0</v>
      </c>
      <c r="S18" s="280">
        <f>+'New summary'!M23</f>
        <v>0</v>
      </c>
      <c r="T18" s="96">
        <f>+'New summary'!N23</f>
        <v>0</v>
      </c>
      <c r="U18" s="138">
        <f>+'New summary'!O23</f>
        <v>700</v>
      </c>
      <c r="V18" s="138">
        <f>+'New summary'!P23</f>
        <v>0</v>
      </c>
      <c r="W18" s="280">
        <f>+'New summary'!Q23</f>
        <v>792</v>
      </c>
      <c r="X18" s="96">
        <f>+'New summary'!R23</f>
        <v>0</v>
      </c>
      <c r="Y18" s="138">
        <f>+'New summary'!S23</f>
        <v>0</v>
      </c>
      <c r="Z18" s="138">
        <f>+'New summary'!T23</f>
        <v>0</v>
      </c>
      <c r="AA18" s="280">
        <f>+'New summary'!U23</f>
        <v>488</v>
      </c>
      <c r="AB18" s="202">
        <f>+'New summary'!V23</f>
        <v>0</v>
      </c>
      <c r="AC18" s="138">
        <f>+'New summary'!W23</f>
        <v>0</v>
      </c>
      <c r="AD18" s="138">
        <f>+'New summary'!X23</f>
        <v>0</v>
      </c>
      <c r="AE18" s="138">
        <f>+'New summary'!Y23</f>
        <v>0</v>
      </c>
      <c r="AF18" s="138">
        <f>+'New summary'!Z23</f>
        <v>600</v>
      </c>
      <c r="AG18" s="138">
        <f>+'New summary'!AA23</f>
        <v>584</v>
      </c>
      <c r="AH18" s="138">
        <f>+'New summary'!AB23</f>
        <v>0</v>
      </c>
      <c r="AI18" s="138">
        <f>+'New summary'!AC23</f>
        <v>0</v>
      </c>
      <c r="AJ18" s="138">
        <f>+'New summary'!AD23</f>
        <v>0</v>
      </c>
      <c r="AK18" s="138">
        <f>+'New summary'!AE23</f>
        <v>0</v>
      </c>
      <c r="AL18" s="138">
        <f>+'New summary'!AF23</f>
        <v>0</v>
      </c>
      <c r="AM18" s="138">
        <f>+'New summary'!AG23</f>
        <v>0</v>
      </c>
      <c r="AN18" s="138">
        <f>+'New summary'!AH23</f>
        <v>0</v>
      </c>
      <c r="AO18" s="138">
        <f>+'New summary'!AI23</f>
        <v>0</v>
      </c>
      <c r="AP18" s="138">
        <f>+'New summary'!AJ23</f>
        <v>0</v>
      </c>
      <c r="AQ18" s="138">
        <f>+'New summary'!AK23</f>
        <v>0</v>
      </c>
      <c r="AR18" s="138">
        <f>+'New summary'!AL23</f>
        <v>0</v>
      </c>
      <c r="AS18" s="138">
        <f>+'New summary'!AM23</f>
        <v>350</v>
      </c>
      <c r="AT18" s="138">
        <f>+'New summary'!AN23</f>
        <v>652</v>
      </c>
      <c r="AU18" s="138">
        <f>+'New summary'!AO23</f>
        <v>1150</v>
      </c>
      <c r="AV18" s="138">
        <f>+'New summary'!AP23</f>
        <v>0</v>
      </c>
      <c r="AW18" s="138">
        <f>+'New summary'!AQ23</f>
        <v>0</v>
      </c>
      <c r="AX18" s="138">
        <f>+'New summary'!AR23</f>
        <v>0</v>
      </c>
      <c r="AY18" s="138">
        <f>+'New summary'!AS23</f>
        <v>400</v>
      </c>
      <c r="AZ18" s="138">
        <f>+'New summary'!AT23</f>
        <v>392</v>
      </c>
      <c r="BA18" s="138">
        <f>+'New summary'!AU23</f>
        <v>0</v>
      </c>
      <c r="BB18" s="138">
        <f>+'New summary'!AV23</f>
        <v>0</v>
      </c>
      <c r="BC18" s="138">
        <f>+'New summary'!AW23</f>
        <v>0</v>
      </c>
      <c r="BD18" s="138">
        <f>+'New summary'!AX23</f>
        <v>0</v>
      </c>
      <c r="BE18" s="138">
        <f>+'New summary'!AY23</f>
        <v>1203</v>
      </c>
      <c r="BF18" s="138">
        <f>+'New summary'!AZ23</f>
        <v>0</v>
      </c>
      <c r="BG18" s="138">
        <f>+'New summary'!BA23</f>
        <v>0</v>
      </c>
      <c r="BH18" s="138">
        <f>+'New summary'!BB23</f>
        <v>0</v>
      </c>
      <c r="BI18" s="138">
        <f>+'New summary'!BC23</f>
        <v>750</v>
      </c>
      <c r="BJ18" s="138">
        <f>+'New summary'!BD23</f>
        <v>0</v>
      </c>
      <c r="BK18" s="138">
        <f>+'New summary'!BE23</f>
        <v>0</v>
      </c>
      <c r="BL18" s="138">
        <f>+'New summary'!BF23</f>
        <v>0</v>
      </c>
      <c r="BM18" s="138">
        <f>+'New summary'!BG23</f>
        <v>600</v>
      </c>
      <c r="BN18" s="138">
        <f>+'New summary'!BH23</f>
        <v>150</v>
      </c>
      <c r="BO18" s="280">
        <f>+'New summary'!BI23</f>
        <v>0</v>
      </c>
    </row>
    <row r="19" spans="2:67" x14ac:dyDescent="0.2">
      <c r="B19" s="1077" t="s">
        <v>34</v>
      </c>
      <c r="C19" s="1056"/>
      <c r="D19" s="1056"/>
      <c r="E19" s="1056"/>
      <c r="F19" s="1056"/>
      <c r="G19" s="1056"/>
      <c r="H19" s="1056"/>
      <c r="I19" s="402">
        <f t="shared" si="2"/>
        <v>12329</v>
      </c>
      <c r="J19" s="401">
        <v>25</v>
      </c>
      <c r="K19" s="403">
        <f>+'New summary'!E22</f>
        <v>0</v>
      </c>
      <c r="L19" s="403">
        <f>+'New summary'!F22</f>
        <v>729</v>
      </c>
      <c r="M19" s="403">
        <f>+'New summary'!G22</f>
        <v>0</v>
      </c>
      <c r="N19" s="403">
        <f>+'New summary'!H22</f>
        <v>0</v>
      </c>
      <c r="O19" s="556">
        <f>+'New summary'!I22</f>
        <v>0</v>
      </c>
      <c r="P19" s="96">
        <f>+'New summary'!J22</f>
        <v>2161</v>
      </c>
      <c r="Q19" s="138">
        <f>+'New summary'!K22</f>
        <v>643</v>
      </c>
      <c r="R19" s="138">
        <f>+'New summary'!L22</f>
        <v>0</v>
      </c>
      <c r="S19" s="280">
        <f>+'New summary'!M22</f>
        <v>0</v>
      </c>
      <c r="T19" s="96">
        <f>+'New summary'!N22</f>
        <v>600</v>
      </c>
      <c r="U19" s="138">
        <f>+'New summary'!O22</f>
        <v>0</v>
      </c>
      <c r="V19" s="138">
        <f>+'New summary'!P22</f>
        <v>0</v>
      </c>
      <c r="W19" s="280">
        <f>+'New summary'!Q22</f>
        <v>200</v>
      </c>
      <c r="X19" s="96">
        <f>+'New summary'!R22</f>
        <v>118</v>
      </c>
      <c r="Y19" s="138">
        <f>+'New summary'!S22</f>
        <v>0</v>
      </c>
      <c r="Z19" s="138">
        <f>+'New summary'!T22</f>
        <v>0</v>
      </c>
      <c r="AA19" s="280">
        <f>+'New summary'!U22</f>
        <v>0</v>
      </c>
      <c r="AB19" s="202">
        <f>+'New summary'!V22</f>
        <v>82</v>
      </c>
      <c r="AC19" s="138">
        <f>+'New summary'!W22</f>
        <v>164</v>
      </c>
      <c r="AD19" s="138">
        <f>+'New summary'!X22</f>
        <v>0</v>
      </c>
      <c r="AE19" s="138">
        <f>+'New summary'!Y22</f>
        <v>661</v>
      </c>
      <c r="AF19" s="138">
        <f>+'New summary'!Z22</f>
        <v>0</v>
      </c>
      <c r="AG19" s="138">
        <f>+'New summary'!AA22</f>
        <v>0</v>
      </c>
      <c r="AH19" s="138">
        <f>+'New summary'!AB22</f>
        <v>0</v>
      </c>
      <c r="AI19" s="138">
        <f>+'New summary'!AC22</f>
        <v>1200</v>
      </c>
      <c r="AJ19" s="138">
        <f>+'New summary'!AD22</f>
        <v>0</v>
      </c>
      <c r="AK19" s="138">
        <f>+'New summary'!AE22</f>
        <v>0</v>
      </c>
      <c r="AL19" s="138">
        <f>+'New summary'!AF22</f>
        <v>0</v>
      </c>
      <c r="AM19" s="138">
        <f>+'New summary'!AG22</f>
        <v>0</v>
      </c>
      <c r="AN19" s="138">
        <f>+'New summary'!AH22</f>
        <v>0</v>
      </c>
      <c r="AO19" s="138">
        <f>+'New summary'!AI22</f>
        <v>1650</v>
      </c>
      <c r="AP19" s="138">
        <f>+'New summary'!AJ22</f>
        <v>250</v>
      </c>
      <c r="AQ19" s="138">
        <f>+'New summary'!AK22</f>
        <v>200</v>
      </c>
      <c r="AR19" s="138">
        <f>+'New summary'!AL22</f>
        <v>0</v>
      </c>
      <c r="AS19" s="138">
        <f>+'New summary'!AM22</f>
        <v>600</v>
      </c>
      <c r="AT19" s="138">
        <f>+'New summary'!AN22</f>
        <v>0</v>
      </c>
      <c r="AU19" s="138">
        <f>+'New summary'!AO22</f>
        <v>0</v>
      </c>
      <c r="AV19" s="138">
        <f>+'New summary'!AP22</f>
        <v>0</v>
      </c>
      <c r="AW19" s="138">
        <f>+'New summary'!AQ22</f>
        <v>0</v>
      </c>
      <c r="AX19" s="138">
        <f>+'New summary'!AR22</f>
        <v>400</v>
      </c>
      <c r="AY19" s="138">
        <f>+'New summary'!AS22</f>
        <v>0</v>
      </c>
      <c r="AZ19" s="138">
        <f>+'New summary'!AT22</f>
        <v>0</v>
      </c>
      <c r="BA19" s="138">
        <f>+'New summary'!AU22</f>
        <v>900</v>
      </c>
      <c r="BB19" s="138">
        <f>+'New summary'!AV22</f>
        <v>0</v>
      </c>
      <c r="BC19" s="138">
        <f>+'New summary'!AW22</f>
        <v>0</v>
      </c>
      <c r="BD19" s="138">
        <f>+'New summary'!AX22</f>
        <v>600</v>
      </c>
      <c r="BE19" s="138">
        <f>+'New summary'!AY22</f>
        <v>0</v>
      </c>
      <c r="BF19" s="138">
        <f>+'New summary'!AZ22</f>
        <v>0</v>
      </c>
      <c r="BG19" s="138">
        <f>+'New summary'!BA22</f>
        <v>0</v>
      </c>
      <c r="BH19" s="138">
        <f>+'New summary'!BB22</f>
        <v>0</v>
      </c>
      <c r="BI19" s="138">
        <f>+'New summary'!BC22</f>
        <v>0</v>
      </c>
      <c r="BJ19" s="138">
        <f>+'New summary'!BD22</f>
        <v>0</v>
      </c>
      <c r="BK19" s="138">
        <f>+'New summary'!BE22</f>
        <v>0</v>
      </c>
      <c r="BL19" s="138">
        <f>+'New summary'!BF22</f>
        <v>0</v>
      </c>
      <c r="BM19" s="138">
        <f>+'New summary'!BG22</f>
        <v>0</v>
      </c>
      <c r="BN19" s="138">
        <f>+'New summary'!BH22</f>
        <v>400</v>
      </c>
      <c r="BO19" s="280">
        <f>+'New summary'!BI22</f>
        <v>1500</v>
      </c>
    </row>
    <row r="20" spans="2:67" x14ac:dyDescent="0.2">
      <c r="B20" s="1077" t="s">
        <v>468</v>
      </c>
      <c r="C20" s="1056"/>
      <c r="D20" s="1056"/>
      <c r="E20" s="1056"/>
      <c r="F20" s="1056"/>
      <c r="G20" s="1056"/>
      <c r="H20" s="1056"/>
      <c r="I20" s="402">
        <f t="shared" si="2"/>
        <v>1080</v>
      </c>
      <c r="J20" s="401">
        <f>+Margins!F21</f>
        <v>53.99</v>
      </c>
      <c r="K20" s="403">
        <f>+'New summary'!E24</f>
        <v>0</v>
      </c>
      <c r="L20" s="403">
        <f>+'New summary'!F24</f>
        <v>0</v>
      </c>
      <c r="M20" s="403">
        <f>+'New summary'!G24</f>
        <v>0</v>
      </c>
      <c r="N20" s="403">
        <f>+'New summary'!H24</f>
        <v>0</v>
      </c>
      <c r="O20" s="556">
        <f>+'New summary'!I24</f>
        <v>0</v>
      </c>
      <c r="P20" s="96">
        <f>+'New summary'!J24</f>
        <v>0</v>
      </c>
      <c r="Q20" s="138">
        <f>+'New summary'!K24</f>
        <v>0</v>
      </c>
      <c r="R20" s="138">
        <f>+'New summary'!L24</f>
        <v>0</v>
      </c>
      <c r="S20" s="280">
        <f>+'New summary'!M24</f>
        <v>0</v>
      </c>
      <c r="T20" s="96">
        <f>+'New summary'!N24</f>
        <v>0</v>
      </c>
      <c r="U20" s="138">
        <f>+'New summary'!O24</f>
        <v>0</v>
      </c>
      <c r="V20" s="138">
        <f>+'New summary'!P24</f>
        <v>0</v>
      </c>
      <c r="W20" s="280">
        <f>+'New summary'!Q24</f>
        <v>0</v>
      </c>
      <c r="X20" s="96">
        <f>+'New summary'!R24</f>
        <v>0</v>
      </c>
      <c r="Y20" s="138">
        <f>+'New summary'!S24</f>
        <v>200</v>
      </c>
      <c r="Z20" s="138">
        <f>+'New summary'!T24</f>
        <v>280</v>
      </c>
      <c r="AA20" s="280">
        <f>+'New summary'!U24</f>
        <v>0</v>
      </c>
      <c r="AB20" s="202">
        <f>+'New summary'!V24</f>
        <v>0</v>
      </c>
      <c r="AC20" s="138">
        <f>+'New summary'!W24</f>
        <v>0</v>
      </c>
      <c r="AD20" s="138">
        <f>+'New summary'!X24</f>
        <v>0</v>
      </c>
      <c r="AE20" s="138">
        <f>+'New summary'!Y24</f>
        <v>0</v>
      </c>
      <c r="AF20" s="138">
        <f>+'New summary'!Z24</f>
        <v>0</v>
      </c>
      <c r="AG20" s="138">
        <f>+'New summary'!AA24</f>
        <v>0</v>
      </c>
      <c r="AH20" s="138">
        <f>+'New summary'!AB24</f>
        <v>0</v>
      </c>
      <c r="AI20" s="138">
        <f>+'New summary'!AC24</f>
        <v>0</v>
      </c>
      <c r="AJ20" s="138">
        <f>+'New summary'!AD24</f>
        <v>0</v>
      </c>
      <c r="AK20" s="138">
        <f>+'New summary'!AE24</f>
        <v>0</v>
      </c>
      <c r="AL20" s="138">
        <f>+'New summary'!AF24</f>
        <v>0</v>
      </c>
      <c r="AM20" s="138">
        <f>+'New summary'!AG24</f>
        <v>0</v>
      </c>
      <c r="AN20" s="138">
        <f>+'New summary'!AH24</f>
        <v>0</v>
      </c>
      <c r="AO20" s="138">
        <f>+'New summary'!AI24</f>
        <v>0</v>
      </c>
      <c r="AP20" s="138">
        <f>+'New summary'!AJ24</f>
        <v>0</v>
      </c>
      <c r="AQ20" s="138">
        <f>+'New summary'!AK24</f>
        <v>0</v>
      </c>
      <c r="AR20" s="138">
        <f>+'New summary'!AL24</f>
        <v>0</v>
      </c>
      <c r="AS20" s="138">
        <f>+'New summary'!AM24</f>
        <v>0</v>
      </c>
      <c r="AT20" s="138">
        <f>+'New summary'!AN24</f>
        <v>0</v>
      </c>
      <c r="AU20" s="138">
        <f>+'New summary'!AO24</f>
        <v>0</v>
      </c>
      <c r="AV20" s="138">
        <f>+'New summary'!AP24</f>
        <v>0</v>
      </c>
      <c r="AW20" s="138">
        <f>+'New summary'!AQ24</f>
        <v>0</v>
      </c>
      <c r="AX20" s="138">
        <f>+'New summary'!AR24</f>
        <v>0</v>
      </c>
      <c r="AY20" s="138">
        <f>+'New summary'!AS24</f>
        <v>0</v>
      </c>
      <c r="AZ20" s="138">
        <f>+'New summary'!AT24</f>
        <v>0</v>
      </c>
      <c r="BA20" s="138">
        <f>+'New summary'!AU24</f>
        <v>0</v>
      </c>
      <c r="BB20" s="138">
        <f>+'New summary'!AV24</f>
        <v>0</v>
      </c>
      <c r="BC20" s="138">
        <f>+'New summary'!AW24</f>
        <v>0</v>
      </c>
      <c r="BD20" s="138">
        <f>+'New summary'!AX24</f>
        <v>0</v>
      </c>
      <c r="BE20" s="138">
        <f>+'New summary'!AY24</f>
        <v>600</v>
      </c>
      <c r="BF20" s="138">
        <f>+'New summary'!AZ24</f>
        <v>0</v>
      </c>
      <c r="BG20" s="138">
        <f>+'New summary'!BA24</f>
        <v>0</v>
      </c>
      <c r="BH20" s="138">
        <f>+'New summary'!BB24</f>
        <v>0</v>
      </c>
      <c r="BI20" s="138">
        <f>+'New summary'!BC24</f>
        <v>0</v>
      </c>
      <c r="BJ20" s="138">
        <f>+'New summary'!BD24</f>
        <v>0</v>
      </c>
      <c r="BK20" s="138">
        <f>+'New summary'!BE24</f>
        <v>0</v>
      </c>
      <c r="BL20" s="138">
        <f>+'New summary'!BF24</f>
        <v>0</v>
      </c>
      <c r="BM20" s="138">
        <f>+'New summary'!BG24</f>
        <v>0</v>
      </c>
      <c r="BN20" s="138">
        <f>+'New summary'!BH24</f>
        <v>0</v>
      </c>
      <c r="BO20" s="280">
        <f>+'New summary'!BI24</f>
        <v>0</v>
      </c>
    </row>
    <row r="21" spans="2:67" x14ac:dyDescent="0.2">
      <c r="B21" s="1077" t="s">
        <v>469</v>
      </c>
      <c r="C21" s="1056"/>
      <c r="D21" s="1056"/>
      <c r="E21" s="1056"/>
      <c r="F21" s="1056"/>
      <c r="G21" s="1056"/>
      <c r="H21" s="1056"/>
      <c r="I21" s="402">
        <f t="shared" si="2"/>
        <v>1200</v>
      </c>
      <c r="J21" s="401">
        <f>+Margins!F22</f>
        <v>55.100000000000009</v>
      </c>
      <c r="K21" s="403">
        <f>+'New summary'!E25</f>
        <v>0</v>
      </c>
      <c r="L21" s="403">
        <f>+'New summary'!F25</f>
        <v>0</v>
      </c>
      <c r="M21" s="403">
        <f>+'New summary'!G25</f>
        <v>0</v>
      </c>
      <c r="N21" s="403">
        <f>+'New summary'!H25</f>
        <v>0</v>
      </c>
      <c r="O21" s="556">
        <f>+'New summary'!I25</f>
        <v>0</v>
      </c>
      <c r="P21" s="96">
        <f>+'New summary'!J25</f>
        <v>0</v>
      </c>
      <c r="Q21" s="138">
        <f>+'New summary'!K25</f>
        <v>0</v>
      </c>
      <c r="R21" s="138">
        <f>+'New summary'!L25</f>
        <v>0</v>
      </c>
      <c r="S21" s="280">
        <f>+'New summary'!M25</f>
        <v>0</v>
      </c>
      <c r="T21" s="96">
        <f>+'New summary'!N25</f>
        <v>0</v>
      </c>
      <c r="U21" s="138">
        <f>+'New summary'!O25</f>
        <v>0</v>
      </c>
      <c r="V21" s="138">
        <f>+'New summary'!P25</f>
        <v>0</v>
      </c>
      <c r="W21" s="280">
        <f>+'New summary'!Q25</f>
        <v>0</v>
      </c>
      <c r="X21" s="96">
        <f>+'New summary'!R25</f>
        <v>0</v>
      </c>
      <c r="Y21" s="138">
        <f>+'New summary'!S25</f>
        <v>0</v>
      </c>
      <c r="Z21" s="138">
        <f>+'New summary'!T25</f>
        <v>600</v>
      </c>
      <c r="AA21" s="280">
        <f>+'New summary'!U25</f>
        <v>0</v>
      </c>
      <c r="AB21" s="202">
        <f>+'New summary'!V25</f>
        <v>0</v>
      </c>
      <c r="AC21" s="138">
        <f>+'New summary'!W25</f>
        <v>0</v>
      </c>
      <c r="AD21" s="138">
        <f>+'New summary'!X25</f>
        <v>0</v>
      </c>
      <c r="AE21" s="138">
        <f>+'New summary'!Y25</f>
        <v>0</v>
      </c>
      <c r="AF21" s="138">
        <f>+'New summary'!Z25</f>
        <v>0</v>
      </c>
      <c r="AG21" s="138">
        <f>+'New summary'!AA25</f>
        <v>0</v>
      </c>
      <c r="AH21" s="138">
        <f>+'New summary'!AB25</f>
        <v>0</v>
      </c>
      <c r="AI21" s="138">
        <f>+'New summary'!AC25</f>
        <v>0</v>
      </c>
      <c r="AJ21" s="138">
        <f>+'New summary'!AD25</f>
        <v>0</v>
      </c>
      <c r="AK21" s="138">
        <f>+'New summary'!AE25</f>
        <v>0</v>
      </c>
      <c r="AL21" s="138">
        <f>+'New summary'!AF25</f>
        <v>0</v>
      </c>
      <c r="AM21" s="138">
        <f>+'New summary'!AG25</f>
        <v>0</v>
      </c>
      <c r="AN21" s="138">
        <f>+'New summary'!AH25</f>
        <v>0</v>
      </c>
      <c r="AO21" s="138">
        <f>+'New summary'!AI25</f>
        <v>0</v>
      </c>
      <c r="AP21" s="138">
        <f>+'New summary'!AJ25</f>
        <v>0</v>
      </c>
      <c r="AQ21" s="138">
        <f>+'New summary'!AK25</f>
        <v>0</v>
      </c>
      <c r="AR21" s="138">
        <f>+'New summary'!AL25</f>
        <v>0</v>
      </c>
      <c r="AS21" s="138">
        <f>+'New summary'!AM25</f>
        <v>0</v>
      </c>
      <c r="AT21" s="138">
        <f>+'New summary'!AN25</f>
        <v>0</v>
      </c>
      <c r="AU21" s="138">
        <f>+'New summary'!AO25</f>
        <v>0</v>
      </c>
      <c r="AV21" s="138">
        <f>+'New summary'!AP25</f>
        <v>0</v>
      </c>
      <c r="AW21" s="138">
        <f>+'New summary'!AQ25</f>
        <v>0</v>
      </c>
      <c r="AX21" s="138">
        <f>+'New summary'!AR25</f>
        <v>0</v>
      </c>
      <c r="AY21" s="138">
        <f>+'New summary'!AS25</f>
        <v>0</v>
      </c>
      <c r="AZ21" s="138">
        <f>+'New summary'!AT25</f>
        <v>0</v>
      </c>
      <c r="BA21" s="138">
        <f>+'New summary'!AU25</f>
        <v>0</v>
      </c>
      <c r="BB21" s="138">
        <f>+'New summary'!AV25</f>
        <v>600</v>
      </c>
      <c r="BC21" s="138">
        <f>+'New summary'!AW25</f>
        <v>0</v>
      </c>
      <c r="BD21" s="138">
        <f>+'New summary'!AX25</f>
        <v>0</v>
      </c>
      <c r="BE21" s="138">
        <f>+'New summary'!AY25</f>
        <v>0</v>
      </c>
      <c r="BF21" s="138">
        <f>+'New summary'!AZ25</f>
        <v>0</v>
      </c>
      <c r="BG21" s="138">
        <f>+'New summary'!BA25</f>
        <v>0</v>
      </c>
      <c r="BH21" s="138">
        <f>+'New summary'!BB25</f>
        <v>0</v>
      </c>
      <c r="BI21" s="138">
        <f>+'New summary'!BC25</f>
        <v>0</v>
      </c>
      <c r="BJ21" s="138">
        <f>+'New summary'!BD25</f>
        <v>0</v>
      </c>
      <c r="BK21" s="138">
        <f>+'New summary'!BE25</f>
        <v>0</v>
      </c>
      <c r="BL21" s="138">
        <f>+'New summary'!BF25</f>
        <v>0</v>
      </c>
      <c r="BM21" s="138">
        <f>+'New summary'!BG25</f>
        <v>0</v>
      </c>
      <c r="BN21" s="138">
        <f>+'New summary'!BH25</f>
        <v>0</v>
      </c>
      <c r="BO21" s="280">
        <f>+'New summary'!BI25</f>
        <v>0</v>
      </c>
    </row>
    <row r="22" spans="2:67" x14ac:dyDescent="0.2">
      <c r="B22" s="1077" t="s">
        <v>224</v>
      </c>
      <c r="C22" s="1056"/>
      <c r="D22" s="1056"/>
      <c r="E22" s="1056"/>
      <c r="F22" s="1056"/>
      <c r="G22" s="1056"/>
      <c r="H22" s="1056"/>
      <c r="I22" s="402">
        <f t="shared" si="2"/>
        <v>2300</v>
      </c>
      <c r="J22" s="401">
        <f>+Margins!F28</f>
        <v>50</v>
      </c>
      <c r="K22" s="403">
        <f>+'New summary'!E30</f>
        <v>0</v>
      </c>
      <c r="L22" s="403">
        <f>+'New summary'!F30</f>
        <v>0</v>
      </c>
      <c r="M22" s="403">
        <f>+'New summary'!G30</f>
        <v>0</v>
      </c>
      <c r="N22" s="403">
        <f>+'New summary'!H30</f>
        <v>0</v>
      </c>
      <c r="O22" s="556">
        <f>+'New summary'!I30</f>
        <v>0</v>
      </c>
      <c r="P22" s="96">
        <f>+'New summary'!J30</f>
        <v>0</v>
      </c>
      <c r="Q22" s="138">
        <f>+'New summary'!K30</f>
        <v>0</v>
      </c>
      <c r="R22" s="138">
        <f>+'New summary'!L30</f>
        <v>0</v>
      </c>
      <c r="S22" s="280">
        <f>+'New summary'!M30</f>
        <v>0</v>
      </c>
      <c r="T22" s="96">
        <f>+'New summary'!N30</f>
        <v>0</v>
      </c>
      <c r="U22" s="138">
        <f>+'New summary'!O30</f>
        <v>0</v>
      </c>
      <c r="V22" s="138">
        <f>+'New summary'!P30</f>
        <v>0</v>
      </c>
      <c r="W22" s="280">
        <f>+'New summary'!Q30</f>
        <v>0</v>
      </c>
      <c r="X22" s="96">
        <f>+'New summary'!R30</f>
        <v>0</v>
      </c>
      <c r="Y22" s="138">
        <f>+'New summary'!S30</f>
        <v>0</v>
      </c>
      <c r="Z22" s="138">
        <f>+'New summary'!T30</f>
        <v>0</v>
      </c>
      <c r="AA22" s="280">
        <f>+'New summary'!U30</f>
        <v>0</v>
      </c>
      <c r="AB22" s="202">
        <f>+'New summary'!V30</f>
        <v>0</v>
      </c>
      <c r="AC22" s="138">
        <f>+'New summary'!W30</f>
        <v>0</v>
      </c>
      <c r="AD22" s="138">
        <f>+'New summary'!X30</f>
        <v>0</v>
      </c>
      <c r="AE22" s="138">
        <f>+'New summary'!Y30</f>
        <v>0</v>
      </c>
      <c r="AF22" s="138">
        <f>+'New summary'!Z30</f>
        <v>0</v>
      </c>
      <c r="AG22" s="138">
        <f>+'New summary'!AA30</f>
        <v>0</v>
      </c>
      <c r="AH22" s="138">
        <f>+'New summary'!AB30</f>
        <v>0</v>
      </c>
      <c r="AI22" s="138">
        <f>+'New summary'!AC30</f>
        <v>0</v>
      </c>
      <c r="AJ22" s="138">
        <f>+'New summary'!AD30</f>
        <v>0</v>
      </c>
      <c r="AK22" s="138">
        <f>+'New summary'!AE30</f>
        <v>0</v>
      </c>
      <c r="AL22" s="138">
        <f>+'New summary'!AF30</f>
        <v>0</v>
      </c>
      <c r="AM22" s="138">
        <f>+'New summary'!AG30</f>
        <v>0</v>
      </c>
      <c r="AN22" s="138">
        <f>+'New summary'!AH30</f>
        <v>0</v>
      </c>
      <c r="AO22" s="138">
        <f>+'New summary'!AI30</f>
        <v>0</v>
      </c>
      <c r="AP22" s="138">
        <f>+'New summary'!AJ30</f>
        <v>0</v>
      </c>
      <c r="AQ22" s="138">
        <f>+'New summary'!AK30</f>
        <v>0</v>
      </c>
      <c r="AR22" s="138">
        <f>+'New summary'!AL30</f>
        <v>0</v>
      </c>
      <c r="AS22" s="138">
        <f>+'New summary'!AM30</f>
        <v>0</v>
      </c>
      <c r="AT22" s="138">
        <f>+'New summary'!AN30</f>
        <v>0</v>
      </c>
      <c r="AU22" s="138">
        <f>+'New summary'!AO30</f>
        <v>0</v>
      </c>
      <c r="AV22" s="138">
        <f>+'New summary'!AP30</f>
        <v>0</v>
      </c>
      <c r="AW22" s="138">
        <f>+'New summary'!AQ30</f>
        <v>0</v>
      </c>
      <c r="AX22" s="138">
        <f>+'New summary'!AR30</f>
        <v>0</v>
      </c>
      <c r="AY22" s="138">
        <f>+'New summary'!AS30</f>
        <v>0</v>
      </c>
      <c r="AZ22" s="138">
        <f>+'New summary'!AT30</f>
        <v>0</v>
      </c>
      <c r="BA22" s="138">
        <f>+'New summary'!AU30</f>
        <v>0</v>
      </c>
      <c r="BB22" s="138">
        <f>+'New summary'!AV30</f>
        <v>0</v>
      </c>
      <c r="BC22" s="138">
        <f>+'New summary'!AW30</f>
        <v>0</v>
      </c>
      <c r="BD22" s="138">
        <f>+'New summary'!AX30</f>
        <v>0</v>
      </c>
      <c r="BE22" s="138">
        <f>+'New summary'!AY30</f>
        <v>0</v>
      </c>
      <c r="BF22" s="138">
        <f>+'New summary'!AZ30</f>
        <v>0</v>
      </c>
      <c r="BG22" s="138">
        <f>+'New summary'!BA30</f>
        <v>0</v>
      </c>
      <c r="BH22" s="138">
        <f>+'New summary'!BB30</f>
        <v>0</v>
      </c>
      <c r="BI22" s="138">
        <f>+'New summary'!BC30</f>
        <v>0</v>
      </c>
      <c r="BJ22" s="138">
        <f>+'New summary'!BD30</f>
        <v>300</v>
      </c>
      <c r="BK22" s="138">
        <f>+'New summary'!BE30</f>
        <v>0</v>
      </c>
      <c r="BL22" s="138">
        <f>+'New summary'!BF30</f>
        <v>0</v>
      </c>
      <c r="BM22" s="138">
        <f>+'New summary'!BG30</f>
        <v>0</v>
      </c>
      <c r="BN22" s="138">
        <f>+'New summary'!BH30</f>
        <v>1250</v>
      </c>
      <c r="BO22" s="280">
        <f>+'New summary'!BI30</f>
        <v>750</v>
      </c>
    </row>
    <row r="23" spans="2:67" x14ac:dyDescent="0.2">
      <c r="B23" s="1077" t="s">
        <v>470</v>
      </c>
      <c r="C23" s="1056"/>
      <c r="D23" s="1056"/>
      <c r="E23" s="1056"/>
      <c r="F23" s="1056"/>
      <c r="G23" s="1056"/>
      <c r="H23" s="1056"/>
      <c r="I23" s="402">
        <f t="shared" si="2"/>
        <v>4599</v>
      </c>
      <c r="J23" s="401">
        <f>+Margins!F15</f>
        <v>61.632500000000007</v>
      </c>
      <c r="K23" s="403">
        <f>+'New summary'!E18</f>
        <v>0</v>
      </c>
      <c r="L23" s="403">
        <f>+'New summary'!F18</f>
        <v>0</v>
      </c>
      <c r="M23" s="403">
        <f>+'New summary'!G18</f>
        <v>0</v>
      </c>
      <c r="N23" s="403">
        <f>+'New summary'!H18</f>
        <v>0</v>
      </c>
      <c r="O23" s="556">
        <f>+'New summary'!I18</f>
        <v>0</v>
      </c>
      <c r="P23" s="96">
        <f>+'New summary'!J18</f>
        <v>0</v>
      </c>
      <c r="Q23" s="138">
        <f>+'New summary'!K18</f>
        <v>0</v>
      </c>
      <c r="R23" s="138">
        <f>+'New summary'!L18</f>
        <v>0</v>
      </c>
      <c r="S23" s="280">
        <f>+'New summary'!M18</f>
        <v>0</v>
      </c>
      <c r="T23" s="96">
        <f>+'New summary'!N18</f>
        <v>0</v>
      </c>
      <c r="U23" s="138">
        <f>+'New summary'!O18</f>
        <v>0</v>
      </c>
      <c r="V23" s="138">
        <f>+'New summary'!P18</f>
        <v>0</v>
      </c>
      <c r="W23" s="280">
        <f>+'New summary'!Q18</f>
        <v>0</v>
      </c>
      <c r="X23" s="96">
        <f>+'New summary'!R18</f>
        <v>0</v>
      </c>
      <c r="Y23" s="138">
        <f>+'New summary'!S18</f>
        <v>0</v>
      </c>
      <c r="Z23" s="138">
        <f>+'New summary'!T18</f>
        <v>0</v>
      </c>
      <c r="AA23" s="280">
        <f>+'New summary'!U18</f>
        <v>0</v>
      </c>
      <c r="AB23" s="202">
        <f>+'New summary'!V18</f>
        <v>0</v>
      </c>
      <c r="AC23" s="138">
        <f>+'New summary'!W18</f>
        <v>0</v>
      </c>
      <c r="AD23" s="138">
        <f>+'New summary'!X18</f>
        <v>0</v>
      </c>
      <c r="AE23" s="138">
        <f>+'New summary'!Y18</f>
        <v>0</v>
      </c>
      <c r="AF23" s="138">
        <f>+'New summary'!Z18</f>
        <v>0</v>
      </c>
      <c r="AG23" s="138">
        <f>+'New summary'!AA18</f>
        <v>0</v>
      </c>
      <c r="AH23" s="138">
        <f>+'New summary'!AB18</f>
        <v>0</v>
      </c>
      <c r="AI23" s="138">
        <f>+'New summary'!AC18</f>
        <v>0</v>
      </c>
      <c r="AJ23" s="138">
        <f>+'New summary'!AD18</f>
        <v>0</v>
      </c>
      <c r="AK23" s="138">
        <f>+'New summary'!AE18</f>
        <v>0</v>
      </c>
      <c r="AL23" s="138">
        <f>+'New summary'!AF18</f>
        <v>0</v>
      </c>
      <c r="AM23" s="138">
        <f>+'New summary'!AG18</f>
        <v>0</v>
      </c>
      <c r="AN23" s="138">
        <f>+'New summary'!AH18</f>
        <v>0</v>
      </c>
      <c r="AO23" s="138">
        <f>+'New summary'!AI18</f>
        <v>0</v>
      </c>
      <c r="AP23" s="138">
        <f>+'New summary'!AJ18</f>
        <v>0</v>
      </c>
      <c r="AQ23" s="138">
        <f>+'New summary'!AK18</f>
        <v>0</v>
      </c>
      <c r="AR23" s="138">
        <f>+'New summary'!AL18</f>
        <v>0</v>
      </c>
      <c r="AS23" s="138">
        <f>+'New summary'!AM18</f>
        <v>0</v>
      </c>
      <c r="AT23" s="138">
        <f>+'New summary'!AN18</f>
        <v>0</v>
      </c>
      <c r="AU23" s="138">
        <f>+'New summary'!AO18</f>
        <v>0</v>
      </c>
      <c r="AV23" s="138">
        <f>+'New summary'!AP18</f>
        <v>0</v>
      </c>
      <c r="AW23" s="138">
        <f>+'New summary'!AQ18</f>
        <v>0</v>
      </c>
      <c r="AX23" s="138">
        <f>+'New summary'!AR18</f>
        <v>0</v>
      </c>
      <c r="AY23" s="138">
        <f>+'New summary'!AS18</f>
        <v>0</v>
      </c>
      <c r="AZ23" s="138">
        <f>+'New summary'!AT18</f>
        <v>0</v>
      </c>
      <c r="BA23" s="138">
        <f>+'New summary'!AU18</f>
        <v>997</v>
      </c>
      <c r="BB23" s="138">
        <f>+'New summary'!AV18</f>
        <v>0</v>
      </c>
      <c r="BC23" s="138">
        <f>+'New summary'!AW18</f>
        <v>0</v>
      </c>
      <c r="BD23" s="138">
        <f>+'New summary'!AX18</f>
        <v>0</v>
      </c>
      <c r="BE23" s="138">
        <f>+'New summary'!AY18</f>
        <v>602</v>
      </c>
      <c r="BF23" s="138">
        <f>+'New summary'!AZ18</f>
        <v>0</v>
      </c>
      <c r="BG23" s="138">
        <f>+'New summary'!BA18</f>
        <v>0</v>
      </c>
      <c r="BH23" s="138">
        <f>+'New summary'!BB18</f>
        <v>0</v>
      </c>
      <c r="BI23" s="138">
        <f>+'New summary'!BC18</f>
        <v>0</v>
      </c>
      <c r="BJ23" s="138">
        <f>+'New summary'!BD18</f>
        <v>1000</v>
      </c>
      <c r="BK23" s="138">
        <f>+'New summary'!BE18</f>
        <v>0</v>
      </c>
      <c r="BL23" s="138">
        <f>+'New summary'!BF18</f>
        <v>0</v>
      </c>
      <c r="BM23" s="138">
        <f>+'New summary'!BG18</f>
        <v>0</v>
      </c>
      <c r="BN23" s="138">
        <f>+'New summary'!BH18</f>
        <v>1250</v>
      </c>
      <c r="BO23" s="280">
        <f>+'New summary'!BI18</f>
        <v>750</v>
      </c>
    </row>
    <row r="24" spans="2:67" x14ac:dyDescent="0.2">
      <c r="B24" s="1077" t="s">
        <v>316</v>
      </c>
      <c r="C24" s="1056"/>
      <c r="D24" s="1056"/>
      <c r="E24" s="1056"/>
      <c r="F24" s="1056"/>
      <c r="G24" s="1056"/>
      <c r="H24" s="1056"/>
      <c r="I24" s="402">
        <f t="shared" si="2"/>
        <v>3642</v>
      </c>
      <c r="J24" s="401">
        <f>+Margins!F23</f>
        <v>50.720000000000006</v>
      </c>
      <c r="K24" s="403">
        <f>+'New summary'!E26</f>
        <v>0</v>
      </c>
      <c r="L24" s="403">
        <f>+'New summary'!F26</f>
        <v>0</v>
      </c>
      <c r="M24" s="403">
        <f>+'New summary'!G26</f>
        <v>0</v>
      </c>
      <c r="N24" s="403">
        <f>+'New summary'!H26</f>
        <v>0</v>
      </c>
      <c r="O24" s="556">
        <f>+'New summary'!I26</f>
        <v>0</v>
      </c>
      <c r="P24" s="96">
        <f>+'New summary'!J26</f>
        <v>0</v>
      </c>
      <c r="Q24" s="138">
        <f>+'New summary'!K26</f>
        <v>0</v>
      </c>
      <c r="R24" s="138">
        <f>+'New summary'!L26</f>
        <v>0</v>
      </c>
      <c r="S24" s="280">
        <f>+'New summary'!M26</f>
        <v>0</v>
      </c>
      <c r="T24" s="96">
        <f>+'New summary'!N26</f>
        <v>0</v>
      </c>
      <c r="U24" s="138">
        <f>+'New summary'!O26</f>
        <v>0</v>
      </c>
      <c r="V24" s="138">
        <f>+'New summary'!P26</f>
        <v>0</v>
      </c>
      <c r="W24" s="280">
        <f>+'New summary'!Q26</f>
        <v>0</v>
      </c>
      <c r="X24" s="96">
        <f>+'New summary'!R26</f>
        <v>0</v>
      </c>
      <c r="Y24" s="138">
        <f>+'New summary'!S26</f>
        <v>0</v>
      </c>
      <c r="Z24" s="138">
        <f>+'New summary'!T26</f>
        <v>0</v>
      </c>
      <c r="AA24" s="280">
        <f>+'New summary'!U26</f>
        <v>0</v>
      </c>
      <c r="AB24" s="202">
        <f>+'New summary'!V26</f>
        <v>0</v>
      </c>
      <c r="AC24" s="138">
        <f>+'New summary'!W26</f>
        <v>0</v>
      </c>
      <c r="AD24" s="138">
        <f>+'New summary'!X26</f>
        <v>0</v>
      </c>
      <c r="AE24" s="138">
        <f>+'New summary'!Y26</f>
        <v>0</v>
      </c>
      <c r="AF24" s="138">
        <f>+'New summary'!Z26</f>
        <v>0</v>
      </c>
      <c r="AG24" s="138">
        <f>+'New summary'!AA26</f>
        <v>0</v>
      </c>
      <c r="AH24" s="138">
        <f>+'New summary'!AB26</f>
        <v>0</v>
      </c>
      <c r="AI24" s="138">
        <f>+'New summary'!AC26</f>
        <v>0</v>
      </c>
      <c r="AJ24" s="138">
        <f>+'New summary'!AD26</f>
        <v>0</v>
      </c>
      <c r="AK24" s="138">
        <f>+'New summary'!AE26</f>
        <v>0</v>
      </c>
      <c r="AL24" s="138">
        <f>+'New summary'!AF26</f>
        <v>0</v>
      </c>
      <c r="AM24" s="138">
        <f>+'New summary'!AG26</f>
        <v>0</v>
      </c>
      <c r="AN24" s="138">
        <f>+'New summary'!AH26</f>
        <v>0</v>
      </c>
      <c r="AO24" s="138">
        <f>+'New summary'!AI26</f>
        <v>636</v>
      </c>
      <c r="AP24" s="138">
        <f>+'New summary'!AJ26</f>
        <v>0</v>
      </c>
      <c r="AQ24" s="138">
        <f>+'New summary'!AK26</f>
        <v>0</v>
      </c>
      <c r="AR24" s="138">
        <f>+'New summary'!AL26</f>
        <v>2202</v>
      </c>
      <c r="AS24" s="138">
        <f>+'New summary'!AM26</f>
        <v>0</v>
      </c>
      <c r="AT24" s="138">
        <f>+'New summary'!AN26</f>
        <v>0</v>
      </c>
      <c r="AU24" s="138">
        <f>+'New summary'!AO26</f>
        <v>0</v>
      </c>
      <c r="AV24" s="138">
        <f>+'New summary'!AP26</f>
        <v>804</v>
      </c>
      <c r="AW24" s="138">
        <f>+'New summary'!AQ26</f>
        <v>0</v>
      </c>
      <c r="AX24" s="138">
        <f>+'New summary'!AR26</f>
        <v>0</v>
      </c>
      <c r="AY24" s="138">
        <f>+'New summary'!AS26</f>
        <v>0</v>
      </c>
      <c r="AZ24" s="138">
        <f>+'New summary'!AT26</f>
        <v>0</v>
      </c>
      <c r="BA24" s="138">
        <f>+'New summary'!AU26</f>
        <v>0</v>
      </c>
      <c r="BB24" s="138">
        <f>+'New summary'!AV26</f>
        <v>0</v>
      </c>
      <c r="BC24" s="138">
        <f>+'New summary'!AW26</f>
        <v>0</v>
      </c>
      <c r="BD24" s="138">
        <f>+'New summary'!AX26</f>
        <v>0</v>
      </c>
      <c r="BE24" s="138">
        <f>+'New summary'!AY26</f>
        <v>0</v>
      </c>
      <c r="BF24" s="138">
        <f>+'New summary'!AZ26</f>
        <v>0</v>
      </c>
      <c r="BG24" s="138">
        <f>+'New summary'!BA26</f>
        <v>0</v>
      </c>
      <c r="BH24" s="138">
        <f>+'New summary'!BB26</f>
        <v>0</v>
      </c>
      <c r="BI24" s="138">
        <f>+'New summary'!BC26</f>
        <v>0</v>
      </c>
      <c r="BJ24" s="138">
        <f>+'New summary'!BD26</f>
        <v>0</v>
      </c>
      <c r="BK24" s="138">
        <f>+'New summary'!BE26</f>
        <v>0</v>
      </c>
      <c r="BL24" s="138">
        <f>+'New summary'!BF26</f>
        <v>0</v>
      </c>
      <c r="BM24" s="138">
        <f>+'New summary'!BG26</f>
        <v>0</v>
      </c>
      <c r="BN24" s="138">
        <f>+'New summary'!BH26</f>
        <v>0</v>
      </c>
      <c r="BO24" s="280">
        <f>+'New summary'!BI26</f>
        <v>0</v>
      </c>
    </row>
    <row r="25" spans="2:67" ht="16" thickBot="1" x14ac:dyDescent="0.25">
      <c r="B25" s="1085" t="s">
        <v>248</v>
      </c>
      <c r="C25" s="1057"/>
      <c r="D25" s="1057"/>
      <c r="E25" s="1057"/>
      <c r="F25" s="1057"/>
      <c r="G25" s="1057"/>
      <c r="H25" s="1057"/>
      <c r="I25" s="404">
        <f t="shared" si="2"/>
        <v>164456</v>
      </c>
      <c r="J25" s="405"/>
      <c r="K25" s="406">
        <f t="shared" ref="K25:O25" si="3">SUM(Z25:CQ25)</f>
        <v>137874</v>
      </c>
      <c r="L25" s="406">
        <f t="shared" si="3"/>
        <v>136352</v>
      </c>
      <c r="M25" s="406">
        <f t="shared" si="3"/>
        <v>132808</v>
      </c>
      <c r="N25" s="406">
        <f t="shared" si="3"/>
        <v>131708</v>
      </c>
      <c r="O25" s="557">
        <f t="shared" si="3"/>
        <v>128836</v>
      </c>
      <c r="P25" s="287">
        <f>+'New summary'!J31</f>
        <v>3331</v>
      </c>
      <c r="Q25" s="290">
        <f>+'New summary'!K31</f>
        <v>1963</v>
      </c>
      <c r="R25" s="290">
        <f>+'New summary'!L31</f>
        <v>2537</v>
      </c>
      <c r="S25" s="288">
        <f>+'New summary'!M31</f>
        <v>2750</v>
      </c>
      <c r="T25" s="287">
        <f>+'New summary'!N31</f>
        <v>2750</v>
      </c>
      <c r="U25" s="290">
        <f>+'New summary'!O31</f>
        <v>3125</v>
      </c>
      <c r="V25" s="290">
        <f>+'New summary'!P31</f>
        <v>2186</v>
      </c>
      <c r="W25" s="288">
        <f>+'New summary'!Q31</f>
        <v>1616</v>
      </c>
      <c r="X25" s="287">
        <f>+'New summary'!R31</f>
        <v>3369</v>
      </c>
      <c r="Y25" s="290">
        <f>+'New summary'!S31</f>
        <v>2955</v>
      </c>
      <c r="Z25" s="290">
        <f>+'New summary'!T31</f>
        <v>1522</v>
      </c>
      <c r="AA25" s="288">
        <f>+'New summary'!U31</f>
        <v>3544</v>
      </c>
      <c r="AB25" s="558">
        <f>+'New summary'!V31</f>
        <v>1100</v>
      </c>
      <c r="AC25" s="369">
        <f>+'New summary'!W31</f>
        <v>2872</v>
      </c>
      <c r="AD25" s="369">
        <f>+'New summary'!X31</f>
        <v>2716</v>
      </c>
      <c r="AE25" s="369">
        <f>+'New summary'!Y31</f>
        <v>1957</v>
      </c>
      <c r="AF25" s="369">
        <f>+'New summary'!Z31</f>
        <v>2388</v>
      </c>
      <c r="AG25" s="369">
        <f>+'New summary'!AA31</f>
        <v>2250</v>
      </c>
      <c r="AH25" s="369">
        <f>+'New summary'!AB31</f>
        <v>2242</v>
      </c>
      <c r="AI25" s="369">
        <f>+'New summary'!AC31</f>
        <v>2980</v>
      </c>
      <c r="AJ25" s="369">
        <f>+'New summary'!AD31</f>
        <v>2406</v>
      </c>
      <c r="AK25" s="369">
        <f>+'New summary'!AE31</f>
        <v>1000</v>
      </c>
      <c r="AL25" s="369">
        <f>+'New summary'!AF31</f>
        <v>2972</v>
      </c>
      <c r="AM25" s="369">
        <f>+'New summary'!AG31</f>
        <v>3600</v>
      </c>
      <c r="AN25" s="369">
        <f>+'New summary'!AH31</f>
        <v>3018</v>
      </c>
      <c r="AO25" s="369">
        <f>+'New summary'!AI31</f>
        <v>2286</v>
      </c>
      <c r="AP25" s="369">
        <f>+'New summary'!AJ31</f>
        <v>3250</v>
      </c>
      <c r="AQ25" s="369">
        <f>+'New summary'!AK31</f>
        <v>3800</v>
      </c>
      <c r="AR25" s="369">
        <f>+'New summary'!AL31</f>
        <v>2202</v>
      </c>
      <c r="AS25" s="369">
        <f>+'New summary'!AM31</f>
        <v>2760</v>
      </c>
      <c r="AT25" s="369">
        <f>+'New summary'!AN31</f>
        <v>3990</v>
      </c>
      <c r="AU25" s="369">
        <f>+'New summary'!AO31</f>
        <v>3298</v>
      </c>
      <c r="AV25" s="369">
        <f>+'New summary'!AP31</f>
        <v>3650</v>
      </c>
      <c r="AW25" s="369">
        <f>+'New summary'!AQ31</f>
        <v>3520</v>
      </c>
      <c r="AX25" s="369">
        <f>+'New summary'!AR31</f>
        <v>2500</v>
      </c>
      <c r="AY25" s="369">
        <f>+'New summary'!AS31</f>
        <v>4547</v>
      </c>
      <c r="AZ25" s="369">
        <f>+'New summary'!AT31</f>
        <v>3948</v>
      </c>
      <c r="BA25" s="369">
        <f>+'New summary'!AU31</f>
        <v>3134</v>
      </c>
      <c r="BB25" s="369">
        <f>+'New summary'!AV31</f>
        <v>4100</v>
      </c>
      <c r="BC25" s="369">
        <f>+'New summary'!AW31</f>
        <v>5003</v>
      </c>
      <c r="BD25" s="369">
        <f>+'New summary'!AX31</f>
        <v>5559</v>
      </c>
      <c r="BE25" s="369">
        <f>+'New summary'!AY31</f>
        <v>3805</v>
      </c>
      <c r="BF25" s="369">
        <f>+'New summary'!AZ31</f>
        <v>5929</v>
      </c>
      <c r="BG25" s="369">
        <f>+'New summary'!BA31</f>
        <v>4986</v>
      </c>
      <c r="BH25" s="369">
        <f>+'New summary'!BB31</f>
        <v>4029</v>
      </c>
      <c r="BI25" s="369">
        <f>+'New summary'!BC31</f>
        <v>3414</v>
      </c>
      <c r="BJ25" s="369">
        <f>+'New summary'!BD31</f>
        <v>3000</v>
      </c>
      <c r="BK25" s="369">
        <f>+'New summary'!BE31</f>
        <v>4884</v>
      </c>
      <c r="BL25" s="369">
        <f>+'New summary'!BF31</f>
        <v>4663</v>
      </c>
      <c r="BM25" s="369">
        <f>+'New summary'!BG31</f>
        <v>3000</v>
      </c>
      <c r="BN25" s="369">
        <f>+'New summary'!BH31</f>
        <v>3050</v>
      </c>
      <c r="BO25" s="407">
        <f>+'New summary'!BI31</f>
        <v>3000</v>
      </c>
    </row>
    <row r="26" spans="2:67" ht="16" thickBot="1" x14ac:dyDescent="0.25">
      <c r="B26" s="409"/>
      <c r="C26" s="409"/>
      <c r="D26" s="409"/>
      <c r="E26" s="409"/>
      <c r="F26" s="409"/>
      <c r="G26" s="409"/>
      <c r="H26" s="409"/>
      <c r="I26" s="409"/>
      <c r="J26" s="410"/>
      <c r="K26" s="1086"/>
      <c r="L26" s="1086"/>
      <c r="M26" s="1086"/>
      <c r="N26" s="1086"/>
      <c r="O26" s="1086"/>
      <c r="P26" s="1069" t="s">
        <v>439</v>
      </c>
      <c r="Q26" s="1070"/>
      <c r="R26" s="1070"/>
      <c r="S26" s="1070"/>
      <c r="T26" s="1070"/>
      <c r="U26" s="1070"/>
      <c r="V26" s="1070"/>
      <c r="W26" s="1070"/>
      <c r="X26" s="1070"/>
      <c r="Y26" s="1070"/>
      <c r="Z26" s="1070"/>
      <c r="AA26" s="1071"/>
      <c r="AB26" s="1072" t="s">
        <v>440</v>
      </c>
      <c r="AC26" s="1073"/>
      <c r="AD26" s="1073"/>
      <c r="AE26" s="1073"/>
      <c r="AF26" s="1073"/>
      <c r="AG26" s="1073"/>
      <c r="AH26" s="1073"/>
      <c r="AI26" s="1073"/>
      <c r="AJ26" s="1073"/>
      <c r="AK26" s="1073"/>
      <c r="AL26" s="1073"/>
      <c r="AM26" s="1073"/>
      <c r="AN26" s="1073"/>
      <c r="AO26" s="1074"/>
      <c r="AP26" s="1062" t="s">
        <v>441</v>
      </c>
      <c r="AQ26" s="1062"/>
      <c r="AR26" s="1062"/>
      <c r="AS26" s="1062"/>
      <c r="AT26" s="1062"/>
      <c r="AU26" s="1062"/>
      <c r="AV26" s="1062"/>
      <c r="AW26" s="1062"/>
      <c r="AX26" s="1062"/>
      <c r="AY26" s="1062"/>
      <c r="AZ26" s="1062"/>
      <c r="BA26" s="1062"/>
      <c r="BB26" s="1062"/>
      <c r="BC26" s="1075" t="s">
        <v>442</v>
      </c>
      <c r="BD26" s="1075"/>
      <c r="BE26" s="1075"/>
      <c r="BF26" s="1075"/>
      <c r="BG26" s="1075"/>
      <c r="BH26" s="1075"/>
      <c r="BI26" s="1075"/>
      <c r="BJ26" s="1075"/>
      <c r="BK26" s="1075"/>
      <c r="BL26" s="1075"/>
      <c r="BM26" s="1075"/>
      <c r="BN26" s="1075"/>
      <c r="BO26" s="1076"/>
    </row>
    <row r="27" spans="2:67" ht="16" thickBot="1" x14ac:dyDescent="0.25">
      <c r="B27" s="1063">
        <f>+'New summary'!I34</f>
        <v>0</v>
      </c>
      <c r="C27" s="1064"/>
      <c r="D27" s="1064"/>
      <c r="E27" s="1064"/>
      <c r="F27" s="1064"/>
      <c r="G27" s="1064"/>
      <c r="H27" s="1064"/>
      <c r="I27" s="1064"/>
      <c r="J27" s="1065"/>
      <c r="K27" s="534">
        <f t="shared" ref="K27:N27" si="4">+L27-7</f>
        <v>45996</v>
      </c>
      <c r="L27" s="534">
        <f t="shared" si="4"/>
        <v>46003</v>
      </c>
      <c r="M27" s="534">
        <f t="shared" si="4"/>
        <v>46010</v>
      </c>
      <c r="N27" s="534">
        <f t="shared" si="4"/>
        <v>46017</v>
      </c>
      <c r="O27" s="534">
        <f>+P27-7</f>
        <v>46024</v>
      </c>
      <c r="P27" s="559">
        <f>+P2</f>
        <v>46031</v>
      </c>
      <c r="Q27" s="560">
        <f t="shared" ref="Q27:BO27" si="5">+P27+7</f>
        <v>46038</v>
      </c>
      <c r="R27" s="560">
        <f t="shared" si="5"/>
        <v>46045</v>
      </c>
      <c r="S27" s="561">
        <f t="shared" si="5"/>
        <v>46052</v>
      </c>
      <c r="T27" s="578">
        <f t="shared" si="5"/>
        <v>46059</v>
      </c>
      <c r="U27" s="579">
        <f t="shared" si="5"/>
        <v>46066</v>
      </c>
      <c r="V27" s="579">
        <f t="shared" si="5"/>
        <v>46073</v>
      </c>
      <c r="W27" s="579">
        <f t="shared" si="5"/>
        <v>46080</v>
      </c>
      <c r="X27" s="398">
        <f t="shared" si="5"/>
        <v>46087</v>
      </c>
      <c r="Y27" s="398">
        <f t="shared" si="5"/>
        <v>46094</v>
      </c>
      <c r="Z27" s="398">
        <f t="shared" si="5"/>
        <v>46101</v>
      </c>
      <c r="AA27" s="398">
        <f t="shared" si="5"/>
        <v>46108</v>
      </c>
      <c r="AB27" s="398">
        <f t="shared" si="5"/>
        <v>46115</v>
      </c>
      <c r="AC27" s="398">
        <f t="shared" si="5"/>
        <v>46122</v>
      </c>
      <c r="AD27" s="398">
        <f t="shared" si="5"/>
        <v>46129</v>
      </c>
      <c r="AE27" s="398">
        <f t="shared" si="5"/>
        <v>46136</v>
      </c>
      <c r="AF27" s="398">
        <f t="shared" si="5"/>
        <v>46143</v>
      </c>
      <c r="AG27" s="398">
        <f t="shared" si="5"/>
        <v>46150</v>
      </c>
      <c r="AH27" s="398">
        <f t="shared" si="5"/>
        <v>46157</v>
      </c>
      <c r="AI27" s="398">
        <f t="shared" si="5"/>
        <v>46164</v>
      </c>
      <c r="AJ27" s="398">
        <f t="shared" si="5"/>
        <v>46171</v>
      </c>
      <c r="AK27" s="398">
        <f t="shared" si="5"/>
        <v>46178</v>
      </c>
      <c r="AL27" s="398">
        <f t="shared" si="5"/>
        <v>46185</v>
      </c>
      <c r="AM27" s="398">
        <f t="shared" si="5"/>
        <v>46192</v>
      </c>
      <c r="AN27" s="398">
        <f t="shared" si="5"/>
        <v>46199</v>
      </c>
      <c r="AO27" s="398">
        <f t="shared" si="5"/>
        <v>46206</v>
      </c>
      <c r="AP27" s="398">
        <f t="shared" si="5"/>
        <v>46213</v>
      </c>
      <c r="AQ27" s="398">
        <f t="shared" si="5"/>
        <v>46220</v>
      </c>
      <c r="AR27" s="398">
        <f t="shared" si="5"/>
        <v>46227</v>
      </c>
      <c r="AS27" s="398">
        <f t="shared" si="5"/>
        <v>46234</v>
      </c>
      <c r="AT27" s="398">
        <f t="shared" si="5"/>
        <v>46241</v>
      </c>
      <c r="AU27" s="398">
        <f t="shared" si="5"/>
        <v>46248</v>
      </c>
      <c r="AV27" s="398">
        <f t="shared" si="5"/>
        <v>46255</v>
      </c>
      <c r="AW27" s="398">
        <f t="shared" si="5"/>
        <v>46262</v>
      </c>
      <c r="AX27" s="398">
        <f t="shared" si="5"/>
        <v>46269</v>
      </c>
      <c r="AY27" s="398">
        <f t="shared" si="5"/>
        <v>46276</v>
      </c>
      <c r="AZ27" s="398">
        <f t="shared" si="5"/>
        <v>46283</v>
      </c>
      <c r="BA27" s="398">
        <f t="shared" si="5"/>
        <v>46290</v>
      </c>
      <c r="BB27" s="398">
        <f t="shared" si="5"/>
        <v>46297</v>
      </c>
      <c r="BC27" s="398">
        <f t="shared" si="5"/>
        <v>46304</v>
      </c>
      <c r="BD27" s="398">
        <f t="shared" si="5"/>
        <v>46311</v>
      </c>
      <c r="BE27" s="398">
        <f t="shared" si="5"/>
        <v>46318</v>
      </c>
      <c r="BF27" s="398">
        <f t="shared" si="5"/>
        <v>46325</v>
      </c>
      <c r="BG27" s="398">
        <f t="shared" si="5"/>
        <v>46332</v>
      </c>
      <c r="BH27" s="398">
        <f t="shared" si="5"/>
        <v>46339</v>
      </c>
      <c r="BI27" s="398">
        <f t="shared" si="5"/>
        <v>46346</v>
      </c>
      <c r="BJ27" s="398">
        <f t="shared" si="5"/>
        <v>46353</v>
      </c>
      <c r="BK27" s="398">
        <f t="shared" si="5"/>
        <v>46360</v>
      </c>
      <c r="BL27" s="398">
        <f t="shared" si="5"/>
        <v>46367</v>
      </c>
      <c r="BM27" s="398">
        <f t="shared" si="5"/>
        <v>46374</v>
      </c>
      <c r="BN27" s="398">
        <f t="shared" si="5"/>
        <v>46381</v>
      </c>
      <c r="BO27" s="400">
        <f t="shared" si="5"/>
        <v>46388</v>
      </c>
    </row>
    <row r="28" spans="2:67" x14ac:dyDescent="0.2">
      <c r="B28" s="1066" t="s">
        <v>516</v>
      </c>
      <c r="C28" s="1067"/>
      <c r="D28" s="1067"/>
      <c r="E28" s="1067"/>
      <c r="F28" s="1067"/>
      <c r="G28" s="1067"/>
      <c r="H28" s="1067"/>
      <c r="I28" s="1067"/>
      <c r="J28" s="1068"/>
      <c r="K28" s="401"/>
      <c r="L28" s="401"/>
      <c r="M28" s="401"/>
      <c r="N28" s="401"/>
      <c r="O28" s="555"/>
      <c r="P28" s="96"/>
      <c r="Q28" s="138"/>
      <c r="R28" s="138"/>
      <c r="S28" s="280"/>
      <c r="T28" s="286"/>
      <c r="U28" s="580"/>
      <c r="V28" s="580"/>
      <c r="W28" s="581"/>
      <c r="X28" s="202"/>
      <c r="Y28" s="138"/>
      <c r="Z28" s="138"/>
      <c r="AA28" s="138"/>
      <c r="AB28" s="138"/>
      <c r="AC28" s="138"/>
      <c r="AD28" s="138"/>
      <c r="AE28" s="138"/>
      <c r="AF28" s="138"/>
      <c r="AG28" s="138"/>
      <c r="AH28" s="138"/>
      <c r="AI28" s="138"/>
      <c r="AJ28" s="138"/>
      <c r="AK28" s="138"/>
      <c r="AL28" s="138"/>
      <c r="AM28" s="138"/>
      <c r="AN28" s="138"/>
      <c r="AO28" s="138"/>
      <c r="AP28" s="138"/>
      <c r="AQ28" s="138"/>
      <c r="AR28" s="138"/>
      <c r="AS28" s="138"/>
      <c r="AT28" s="138"/>
      <c r="AU28" s="138"/>
      <c r="AV28" s="138"/>
      <c r="AW28" s="138"/>
      <c r="AX28" s="138"/>
      <c r="AY28" s="138"/>
      <c r="AZ28" s="138"/>
      <c r="BA28" s="138"/>
      <c r="BB28" s="138"/>
      <c r="BC28" s="138"/>
      <c r="BD28" s="138"/>
      <c r="BE28" s="138"/>
      <c r="BF28" s="138"/>
      <c r="BG28" s="138"/>
      <c r="BH28" s="138"/>
      <c r="BI28" s="138"/>
      <c r="BJ28" s="138"/>
      <c r="BK28" s="138"/>
      <c r="BL28" s="138"/>
      <c r="BM28" s="138"/>
      <c r="BN28" s="138"/>
      <c r="BO28" s="140"/>
    </row>
    <row r="29" spans="2:67" x14ac:dyDescent="0.2">
      <c r="B29" s="1056" t="s">
        <v>505</v>
      </c>
      <c r="C29" s="1056"/>
      <c r="D29" s="1056"/>
      <c r="E29" s="1056"/>
      <c r="F29" s="1056"/>
      <c r="G29" s="1056"/>
      <c r="H29" s="1056"/>
      <c r="I29" s="408">
        <f>SUM(P29:CT29)</f>
        <v>585135.00000000012</v>
      </c>
      <c r="J29" s="289"/>
      <c r="K29" s="256">
        <f t="shared" ref="K29:K49" si="6">+K4*J4</f>
        <v>38115.000000000007</v>
      </c>
      <c r="L29" s="256">
        <f t="shared" ref="L29:L49" si="7">+L4*J4</f>
        <v>27495.000000000004</v>
      </c>
      <c r="M29" s="256">
        <f t="shared" ref="M29:M49" si="8">+M4*J4</f>
        <v>0</v>
      </c>
      <c r="N29" s="256">
        <f t="shared" ref="N29:N49" si="9">+N4*J4</f>
        <v>12330.000000000002</v>
      </c>
      <c r="O29" s="562">
        <f t="shared" ref="O29:O49" si="10">+O4*J4</f>
        <v>0</v>
      </c>
      <c r="P29" s="379">
        <f t="shared" ref="P29:P49" si="11">+P4*J4</f>
        <v>0</v>
      </c>
      <c r="Q29" s="256">
        <f t="shared" ref="Q29:Q49" si="12">+Q4*J4</f>
        <v>38880.000000000007</v>
      </c>
      <c r="R29" s="256">
        <f t="shared" ref="R29:R46" si="13">+R4*J4</f>
        <v>0</v>
      </c>
      <c r="S29" s="275">
        <f t="shared" ref="S29:S49" si="14">+S4*J4</f>
        <v>0</v>
      </c>
      <c r="T29" s="379">
        <f t="shared" ref="T29:T49" si="15">+T4*J4</f>
        <v>0</v>
      </c>
      <c r="U29" s="256">
        <f t="shared" ref="U29:U49" si="16">+U4*J4</f>
        <v>0</v>
      </c>
      <c r="V29" s="256">
        <f t="shared" ref="V29:V49" si="17">+V4*J4</f>
        <v>0</v>
      </c>
      <c r="W29" s="275">
        <f t="shared" ref="W29:W49" si="18">+W4*J4</f>
        <v>0</v>
      </c>
      <c r="X29" s="564"/>
      <c r="Y29" s="256">
        <f>+(Y4+X4)*J4</f>
        <v>68040.000000000015</v>
      </c>
      <c r="Z29" s="256">
        <f t="shared" ref="Z29:Z49" si="19">+Z4*J4</f>
        <v>0</v>
      </c>
      <c r="AA29" s="256">
        <f t="shared" ref="AA29:AA49" si="20">+AA4*J4</f>
        <v>28080.000000000004</v>
      </c>
      <c r="AB29" s="256">
        <f t="shared" ref="AB29:AB49" si="21">+AB4*J4</f>
        <v>0</v>
      </c>
      <c r="AC29" s="256">
        <f t="shared" ref="AC29:AC49" si="22">+AC4*J4</f>
        <v>0</v>
      </c>
      <c r="AD29" s="256">
        <f t="shared" ref="AD29:AD49" si="23">+AD4*J4</f>
        <v>30780.000000000004</v>
      </c>
      <c r="AE29" s="256">
        <f t="shared" ref="AE29:AE49" si="24">+AE4*J4</f>
        <v>0</v>
      </c>
      <c r="AF29" s="256">
        <f t="shared" ref="AF29:AF49" si="25">+AF4*J4</f>
        <v>0</v>
      </c>
      <c r="AG29" s="256">
        <f t="shared" ref="AG29:AG49" si="26">+AG4*J4</f>
        <v>0</v>
      </c>
      <c r="AH29" s="256">
        <f t="shared" ref="AH29:AH49" si="27">+AH4*J4</f>
        <v>0</v>
      </c>
      <c r="AI29" s="256">
        <f t="shared" ref="AI29:AI49" si="28">+AI4*J4</f>
        <v>0</v>
      </c>
      <c r="AJ29" s="256">
        <f t="shared" ref="AJ29:AJ49" si="29">+AJ4*J4</f>
        <v>0</v>
      </c>
      <c r="AK29" s="256">
        <f t="shared" ref="AK29:AK49" si="30">+AK4*J4</f>
        <v>18000.000000000004</v>
      </c>
      <c r="AL29" s="256">
        <f t="shared" ref="AL29:AL49" si="31">+AL4*J4</f>
        <v>9000.0000000000018</v>
      </c>
      <c r="AM29" s="256">
        <f t="shared" ref="AM29:AM49" si="32">+AM4*J4</f>
        <v>0</v>
      </c>
      <c r="AN29" s="256">
        <f t="shared" ref="AN29:AN49" si="33">+AN4*J4</f>
        <v>0</v>
      </c>
      <c r="AO29" s="256">
        <f t="shared" ref="AO29:AO49" si="34">+AO4*J4</f>
        <v>0</v>
      </c>
      <c r="AP29" s="256">
        <f t="shared" ref="AP29:AP49" si="35">+AP4*J4</f>
        <v>0</v>
      </c>
      <c r="AQ29" s="256">
        <f t="shared" ref="AQ29:AQ49" si="36">+AQ4*J4</f>
        <v>27000.000000000004</v>
      </c>
      <c r="AR29" s="256">
        <f t="shared" ref="AR29:AR49" si="37">+AR4*J4</f>
        <v>0</v>
      </c>
      <c r="AS29" s="256">
        <f t="shared" ref="AS29:AS49" si="38">+AS4*J4</f>
        <v>0</v>
      </c>
      <c r="AT29" s="256">
        <f t="shared" ref="AT29:AT49" si="39">+AT4*J4</f>
        <v>0</v>
      </c>
      <c r="AU29" s="256">
        <f t="shared" ref="AU29:AU49" si="40">+AU4*J4</f>
        <v>0</v>
      </c>
      <c r="AV29" s="256">
        <f t="shared" ref="AV29:AV49" si="41">+AV4*J4</f>
        <v>27000.000000000004</v>
      </c>
      <c r="AW29" s="256">
        <f t="shared" ref="AW29:AW49" si="42">+AW4*J4</f>
        <v>0</v>
      </c>
      <c r="AX29" s="256">
        <f t="shared" ref="AX29:AX49" si="43">+AX4*J4</f>
        <v>0</v>
      </c>
      <c r="AY29" s="256">
        <f t="shared" ref="AY29:AY49" si="44">+AY4*J4</f>
        <v>0</v>
      </c>
      <c r="AZ29" s="256">
        <f t="shared" ref="AZ29:AZ49" si="45">+AZ4*J4</f>
        <v>57870.000000000007</v>
      </c>
      <c r="BA29" s="256">
        <f t="shared" ref="BA29:BA49" si="46">+BA4*J4</f>
        <v>0</v>
      </c>
      <c r="BB29" s="256">
        <f t="shared" ref="BB29:BB49" si="47">+BB4*J4</f>
        <v>0</v>
      </c>
      <c r="BC29" s="256">
        <f t="shared" ref="BC29:BC49" si="48">+BC4*J4</f>
        <v>78705.000000000015</v>
      </c>
      <c r="BD29" s="256">
        <f t="shared" ref="BD29:BD49" si="49">+BD4*J4</f>
        <v>0</v>
      </c>
      <c r="BE29" s="256">
        <f t="shared" ref="BE29:BE49" si="50">+BE4*J4</f>
        <v>0</v>
      </c>
      <c r="BF29" s="256">
        <f t="shared" ref="BF29:BF49" si="51">+BF4*J4</f>
        <v>20250.000000000004</v>
      </c>
      <c r="BG29" s="256">
        <f t="shared" ref="BG29:BG49" si="52">+BG4*J4</f>
        <v>91755.000000000015</v>
      </c>
      <c r="BH29" s="256">
        <f t="shared" ref="BH29:BH49" si="53">+BH4*J4</f>
        <v>0</v>
      </c>
      <c r="BI29" s="256">
        <f t="shared" ref="BI29:BI49" si="54">+BI4*J4</f>
        <v>0</v>
      </c>
      <c r="BJ29" s="256">
        <f t="shared" ref="BJ29:BJ49" si="55">+BJ4*J4</f>
        <v>0</v>
      </c>
      <c r="BK29" s="256">
        <f t="shared" ref="BK29:BK49" si="56">+BK4*J4</f>
        <v>89775.000000000015</v>
      </c>
      <c r="BL29" s="256">
        <f t="shared" ref="BL29:BL49" si="57">+BL4*J4</f>
        <v>0</v>
      </c>
      <c r="BM29" s="256">
        <f t="shared" ref="BM29:BM49" si="58">+BM4*J4</f>
        <v>0</v>
      </c>
      <c r="BN29" s="256">
        <f t="shared" ref="BN29:BN49" si="59">+BN4*J4</f>
        <v>0</v>
      </c>
      <c r="BO29" s="399">
        <f t="shared" ref="BO29:BO49" si="60">+BO4*J4</f>
        <v>0</v>
      </c>
    </row>
    <row r="30" spans="2:67" x14ac:dyDescent="0.2">
      <c r="B30" s="1056" t="s">
        <v>506</v>
      </c>
      <c r="C30" s="1056"/>
      <c r="D30" s="1056"/>
      <c r="E30" s="1056"/>
      <c r="F30" s="1056"/>
      <c r="G30" s="1056"/>
      <c r="H30" s="1056"/>
      <c r="I30" s="408">
        <f t="shared" ref="I30:I49" si="61">SUM(P30:CT30)</f>
        <v>1473049.2899999998</v>
      </c>
      <c r="J30" s="289"/>
      <c r="K30" s="256">
        <f t="shared" si="6"/>
        <v>0</v>
      </c>
      <c r="L30" s="256">
        <f t="shared" si="7"/>
        <v>0</v>
      </c>
      <c r="M30" s="256">
        <f t="shared" si="8"/>
        <v>0</v>
      </c>
      <c r="N30" s="256">
        <f t="shared" si="9"/>
        <v>50344.56</v>
      </c>
      <c r="O30" s="562">
        <f t="shared" si="10"/>
        <v>44950.499999999993</v>
      </c>
      <c r="P30" s="379">
        <f t="shared" si="11"/>
        <v>50087.7</v>
      </c>
      <c r="Q30" s="256">
        <f t="shared" si="12"/>
        <v>1541.1599999999999</v>
      </c>
      <c r="R30" s="256">
        <f t="shared" si="13"/>
        <v>108608.96999999999</v>
      </c>
      <c r="S30" s="275">
        <f t="shared" si="14"/>
        <v>117727.49999999999</v>
      </c>
      <c r="T30" s="379">
        <f t="shared" si="15"/>
        <v>92041.499999999985</v>
      </c>
      <c r="U30" s="256">
        <f t="shared" si="16"/>
        <v>103814.24999999999</v>
      </c>
      <c r="V30" s="256">
        <f t="shared" si="17"/>
        <v>63786.899999999994</v>
      </c>
      <c r="W30" s="275">
        <f t="shared" si="18"/>
        <v>0</v>
      </c>
      <c r="X30" s="564"/>
      <c r="Y30" s="256">
        <f>+X5*J5</f>
        <v>114559.55999999998</v>
      </c>
      <c r="Z30" s="256">
        <f t="shared" si="19"/>
        <v>0</v>
      </c>
      <c r="AA30" s="256">
        <f t="shared" si="20"/>
        <v>27740.879999999997</v>
      </c>
      <c r="AB30" s="256">
        <f t="shared" si="21"/>
        <v>0</v>
      </c>
      <c r="AC30" s="256">
        <f t="shared" si="22"/>
        <v>8561.9999999999982</v>
      </c>
      <c r="AD30" s="256">
        <f t="shared" si="23"/>
        <v>20720.039999999997</v>
      </c>
      <c r="AE30" s="256">
        <f t="shared" si="24"/>
        <v>0</v>
      </c>
      <c r="AF30" s="256">
        <f t="shared" si="25"/>
        <v>0</v>
      </c>
      <c r="AG30" s="256">
        <f t="shared" si="26"/>
        <v>0</v>
      </c>
      <c r="AH30" s="256">
        <f t="shared" si="27"/>
        <v>0</v>
      </c>
      <c r="AI30" s="256">
        <f t="shared" si="28"/>
        <v>0</v>
      </c>
      <c r="AJ30" s="256">
        <f t="shared" si="29"/>
        <v>0</v>
      </c>
      <c r="AK30" s="256">
        <f t="shared" si="30"/>
        <v>25685.999999999996</v>
      </c>
      <c r="AL30" s="256">
        <f t="shared" si="31"/>
        <v>0</v>
      </c>
      <c r="AM30" s="256">
        <f t="shared" si="32"/>
        <v>0</v>
      </c>
      <c r="AN30" s="256">
        <f t="shared" si="33"/>
        <v>0</v>
      </c>
      <c r="AO30" s="256">
        <f t="shared" si="34"/>
        <v>0</v>
      </c>
      <c r="AP30" s="256">
        <f t="shared" si="35"/>
        <v>0</v>
      </c>
      <c r="AQ30" s="256">
        <f t="shared" si="36"/>
        <v>25685.999999999996</v>
      </c>
      <c r="AR30" s="256">
        <f t="shared" si="37"/>
        <v>0</v>
      </c>
      <c r="AS30" s="256">
        <f t="shared" si="38"/>
        <v>0</v>
      </c>
      <c r="AT30" s="256">
        <f t="shared" si="39"/>
        <v>0</v>
      </c>
      <c r="AU30" s="256">
        <f t="shared" si="40"/>
        <v>0</v>
      </c>
      <c r="AV30" s="256">
        <f t="shared" si="41"/>
        <v>0</v>
      </c>
      <c r="AW30" s="256">
        <f t="shared" si="42"/>
        <v>0</v>
      </c>
      <c r="AX30" s="256">
        <f t="shared" si="43"/>
        <v>0</v>
      </c>
      <c r="AY30" s="256">
        <f t="shared" si="44"/>
        <v>160409.06999999998</v>
      </c>
      <c r="AZ30" s="256">
        <f t="shared" si="45"/>
        <v>0</v>
      </c>
      <c r="BA30" s="256">
        <f t="shared" si="46"/>
        <v>0</v>
      </c>
      <c r="BB30" s="256">
        <f t="shared" si="47"/>
        <v>149834.99999999997</v>
      </c>
      <c r="BC30" s="256">
        <f t="shared" si="48"/>
        <v>28682.699999999997</v>
      </c>
      <c r="BD30" s="256">
        <f t="shared" si="49"/>
        <v>0</v>
      </c>
      <c r="BE30" s="256">
        <f t="shared" si="50"/>
        <v>17123.999999999996</v>
      </c>
      <c r="BF30" s="256">
        <f t="shared" si="51"/>
        <v>194228.96999999997</v>
      </c>
      <c r="BG30" s="256">
        <f t="shared" si="52"/>
        <v>0</v>
      </c>
      <c r="BH30" s="256">
        <f t="shared" si="53"/>
        <v>0</v>
      </c>
      <c r="BI30" s="256">
        <f t="shared" si="54"/>
        <v>0</v>
      </c>
      <c r="BJ30" s="256">
        <f t="shared" si="55"/>
        <v>72776.999999999985</v>
      </c>
      <c r="BK30" s="256">
        <f t="shared" si="56"/>
        <v>89430.09</v>
      </c>
      <c r="BL30" s="256">
        <f t="shared" si="57"/>
        <v>0</v>
      </c>
      <c r="BM30" s="256">
        <f t="shared" si="58"/>
        <v>0</v>
      </c>
      <c r="BN30" s="256">
        <f t="shared" si="59"/>
        <v>0</v>
      </c>
      <c r="BO30" s="399">
        <f t="shared" si="60"/>
        <v>0</v>
      </c>
    </row>
    <row r="31" spans="2:67" x14ac:dyDescent="0.2">
      <c r="B31" s="1056" t="s">
        <v>507</v>
      </c>
      <c r="C31" s="1056"/>
      <c r="D31" s="1056"/>
      <c r="E31" s="1056"/>
      <c r="F31" s="1056"/>
      <c r="G31" s="1056"/>
      <c r="H31" s="1056"/>
      <c r="I31" s="408">
        <f t="shared" si="61"/>
        <v>280968.44999999995</v>
      </c>
      <c r="J31" s="289"/>
      <c r="K31" s="256">
        <f t="shared" si="6"/>
        <v>0</v>
      </c>
      <c r="L31" s="256">
        <f t="shared" si="7"/>
        <v>0</v>
      </c>
      <c r="M31" s="256">
        <f t="shared" si="8"/>
        <v>0</v>
      </c>
      <c r="N31" s="256">
        <f t="shared" si="9"/>
        <v>0</v>
      </c>
      <c r="O31" s="562">
        <f t="shared" si="10"/>
        <v>0</v>
      </c>
      <c r="P31" s="379">
        <f t="shared" si="11"/>
        <v>0</v>
      </c>
      <c r="Q31" s="256">
        <f t="shared" si="12"/>
        <v>0</v>
      </c>
      <c r="R31" s="256">
        <f t="shared" si="13"/>
        <v>0</v>
      </c>
      <c r="S31" s="275">
        <f t="shared" si="14"/>
        <v>0</v>
      </c>
      <c r="T31" s="379">
        <f t="shared" si="15"/>
        <v>0</v>
      </c>
      <c r="U31" s="256">
        <f t="shared" si="16"/>
        <v>0</v>
      </c>
      <c r="V31" s="256">
        <f t="shared" si="17"/>
        <v>0</v>
      </c>
      <c r="W31" s="275">
        <f t="shared" si="18"/>
        <v>0</v>
      </c>
      <c r="X31" s="564">
        <f t="shared" ref="X31:X49" si="62">+X6*J6</f>
        <v>0</v>
      </c>
      <c r="Y31" s="256">
        <f t="shared" ref="Y31:Y49" si="63">+Y6*J6</f>
        <v>0</v>
      </c>
      <c r="Z31" s="256">
        <f t="shared" si="19"/>
        <v>0</v>
      </c>
      <c r="AA31" s="256">
        <f t="shared" si="20"/>
        <v>41989.5</v>
      </c>
      <c r="AB31" s="256">
        <f t="shared" si="21"/>
        <v>0</v>
      </c>
      <c r="AC31" s="256">
        <f t="shared" si="22"/>
        <v>0</v>
      </c>
      <c r="AD31" s="256">
        <f t="shared" si="23"/>
        <v>0</v>
      </c>
      <c r="AE31" s="256">
        <f t="shared" si="24"/>
        <v>31424.399999999998</v>
      </c>
      <c r="AF31" s="256">
        <f t="shared" si="25"/>
        <v>0</v>
      </c>
      <c r="AG31" s="256">
        <f t="shared" si="26"/>
        <v>0</v>
      </c>
      <c r="AH31" s="256">
        <f t="shared" si="27"/>
        <v>0</v>
      </c>
      <c r="AI31" s="256">
        <f t="shared" si="28"/>
        <v>0</v>
      </c>
      <c r="AJ31" s="256">
        <f t="shared" si="29"/>
        <v>27090</v>
      </c>
      <c r="AK31" s="256">
        <f t="shared" si="30"/>
        <v>0</v>
      </c>
      <c r="AL31" s="256">
        <f t="shared" si="31"/>
        <v>0</v>
      </c>
      <c r="AM31" s="256">
        <f t="shared" si="32"/>
        <v>27090</v>
      </c>
      <c r="AN31" s="256">
        <f t="shared" si="33"/>
        <v>0</v>
      </c>
      <c r="AO31" s="256">
        <f t="shared" si="34"/>
        <v>0</v>
      </c>
      <c r="AP31" s="256">
        <f t="shared" si="35"/>
        <v>0</v>
      </c>
      <c r="AQ31" s="256">
        <f t="shared" si="36"/>
        <v>27090</v>
      </c>
      <c r="AR31" s="256">
        <f t="shared" si="37"/>
        <v>0</v>
      </c>
      <c r="AS31" s="256">
        <f t="shared" si="38"/>
        <v>0</v>
      </c>
      <c r="AT31" s="256">
        <f t="shared" si="39"/>
        <v>0</v>
      </c>
      <c r="AU31" s="256">
        <f t="shared" si="40"/>
        <v>0</v>
      </c>
      <c r="AV31" s="256">
        <f t="shared" si="41"/>
        <v>27090</v>
      </c>
      <c r="AW31" s="256">
        <f t="shared" si="42"/>
        <v>0</v>
      </c>
      <c r="AX31" s="256">
        <f t="shared" si="43"/>
        <v>0</v>
      </c>
      <c r="AY31" s="256">
        <f t="shared" si="44"/>
        <v>0</v>
      </c>
      <c r="AZ31" s="256">
        <f t="shared" si="45"/>
        <v>0</v>
      </c>
      <c r="BA31" s="256">
        <f t="shared" si="46"/>
        <v>45014.549999999996</v>
      </c>
      <c r="BB31" s="256">
        <f t="shared" si="47"/>
        <v>0</v>
      </c>
      <c r="BC31" s="256">
        <f t="shared" si="48"/>
        <v>0</v>
      </c>
      <c r="BD31" s="256">
        <f t="shared" si="49"/>
        <v>27090</v>
      </c>
      <c r="BE31" s="256">
        <f t="shared" si="50"/>
        <v>0</v>
      </c>
      <c r="BF31" s="256">
        <f t="shared" si="51"/>
        <v>0</v>
      </c>
      <c r="BG31" s="256">
        <f t="shared" si="52"/>
        <v>0</v>
      </c>
      <c r="BH31" s="256">
        <f t="shared" si="53"/>
        <v>0</v>
      </c>
      <c r="BI31" s="256">
        <f t="shared" si="54"/>
        <v>0</v>
      </c>
      <c r="BJ31" s="256">
        <f t="shared" si="55"/>
        <v>0</v>
      </c>
      <c r="BK31" s="256">
        <f t="shared" si="56"/>
        <v>0</v>
      </c>
      <c r="BL31" s="256">
        <f t="shared" si="57"/>
        <v>27090</v>
      </c>
      <c r="BM31" s="256">
        <f t="shared" si="58"/>
        <v>0</v>
      </c>
      <c r="BN31" s="256">
        <f t="shared" si="59"/>
        <v>0</v>
      </c>
      <c r="BO31" s="399">
        <f t="shared" si="60"/>
        <v>0</v>
      </c>
    </row>
    <row r="32" spans="2:67" x14ac:dyDescent="0.2">
      <c r="B32" s="1056" t="s">
        <v>465</v>
      </c>
      <c r="C32" s="1056"/>
      <c r="D32" s="1056"/>
      <c r="E32" s="1056"/>
      <c r="F32" s="1056"/>
      <c r="G32" s="1056"/>
      <c r="H32" s="1056"/>
      <c r="I32" s="408">
        <f t="shared" si="61"/>
        <v>364279.14</v>
      </c>
      <c r="J32" s="289"/>
      <c r="K32" s="256">
        <f t="shared" si="6"/>
        <v>0</v>
      </c>
      <c r="L32" s="256">
        <f t="shared" si="7"/>
        <v>0</v>
      </c>
      <c r="M32" s="256">
        <f t="shared" si="8"/>
        <v>0</v>
      </c>
      <c r="N32" s="256">
        <f t="shared" si="9"/>
        <v>0</v>
      </c>
      <c r="O32" s="562">
        <f t="shared" si="10"/>
        <v>0</v>
      </c>
      <c r="P32" s="379">
        <f t="shared" si="11"/>
        <v>0</v>
      </c>
      <c r="Q32" s="256">
        <f t="shared" si="12"/>
        <v>0</v>
      </c>
      <c r="R32" s="256">
        <f t="shared" si="13"/>
        <v>0</v>
      </c>
      <c r="S32" s="275">
        <f t="shared" si="14"/>
        <v>0</v>
      </c>
      <c r="T32" s="379">
        <f t="shared" si="15"/>
        <v>0</v>
      </c>
      <c r="U32" s="256">
        <f t="shared" si="16"/>
        <v>0</v>
      </c>
      <c r="V32" s="256">
        <f t="shared" si="17"/>
        <v>0</v>
      </c>
      <c r="W32" s="275">
        <f t="shared" si="18"/>
        <v>0</v>
      </c>
      <c r="X32" s="564">
        <f t="shared" si="62"/>
        <v>0</v>
      </c>
      <c r="Y32" s="256">
        <f t="shared" si="63"/>
        <v>26750.520000000004</v>
      </c>
      <c r="Z32" s="256">
        <f t="shared" si="19"/>
        <v>28061.820000000003</v>
      </c>
      <c r="AA32" s="256">
        <f t="shared" si="20"/>
        <v>0</v>
      </c>
      <c r="AB32" s="256">
        <f t="shared" si="21"/>
        <v>0</v>
      </c>
      <c r="AC32" s="256">
        <f t="shared" si="22"/>
        <v>0</v>
      </c>
      <c r="AD32" s="256">
        <f t="shared" si="23"/>
        <v>29897.640000000007</v>
      </c>
      <c r="AE32" s="256">
        <f t="shared" si="24"/>
        <v>0</v>
      </c>
      <c r="AF32" s="256">
        <f t="shared" si="25"/>
        <v>0</v>
      </c>
      <c r="AG32" s="256">
        <f t="shared" si="26"/>
        <v>0</v>
      </c>
      <c r="AH32" s="256">
        <f t="shared" si="27"/>
        <v>0</v>
      </c>
      <c r="AI32" s="256">
        <f t="shared" si="28"/>
        <v>0</v>
      </c>
      <c r="AJ32" s="256">
        <f t="shared" si="29"/>
        <v>0</v>
      </c>
      <c r="AK32" s="256">
        <f t="shared" si="30"/>
        <v>0</v>
      </c>
      <c r="AL32" s="256">
        <f t="shared" si="31"/>
        <v>26226.000000000004</v>
      </c>
      <c r="AM32" s="256">
        <f t="shared" si="32"/>
        <v>0</v>
      </c>
      <c r="AN32" s="256">
        <f t="shared" si="33"/>
        <v>0</v>
      </c>
      <c r="AO32" s="256">
        <f t="shared" si="34"/>
        <v>0</v>
      </c>
      <c r="AP32" s="256">
        <f t="shared" si="35"/>
        <v>0</v>
      </c>
      <c r="AQ32" s="256">
        <f t="shared" si="36"/>
        <v>52452.000000000007</v>
      </c>
      <c r="AR32" s="256">
        <f t="shared" si="37"/>
        <v>0</v>
      </c>
      <c r="AS32" s="256">
        <f t="shared" si="38"/>
        <v>0</v>
      </c>
      <c r="AT32" s="256">
        <f t="shared" si="39"/>
        <v>0</v>
      </c>
      <c r="AU32" s="256">
        <f t="shared" si="40"/>
        <v>0</v>
      </c>
      <c r="AV32" s="256">
        <f t="shared" si="41"/>
        <v>43535.160000000011</v>
      </c>
      <c r="AW32" s="256">
        <f t="shared" si="42"/>
        <v>0</v>
      </c>
      <c r="AX32" s="256">
        <f t="shared" si="43"/>
        <v>0</v>
      </c>
      <c r="AY32" s="256">
        <f t="shared" si="44"/>
        <v>0</v>
      </c>
      <c r="AZ32" s="256">
        <f t="shared" si="45"/>
        <v>15735.600000000002</v>
      </c>
      <c r="BA32" s="256">
        <f t="shared" si="46"/>
        <v>10490.400000000001</v>
      </c>
      <c r="BB32" s="256">
        <f t="shared" si="47"/>
        <v>0</v>
      </c>
      <c r="BC32" s="256">
        <f t="shared" si="48"/>
        <v>39339.000000000007</v>
      </c>
      <c r="BD32" s="256">
        <f t="shared" si="49"/>
        <v>0</v>
      </c>
      <c r="BE32" s="256">
        <f t="shared" si="50"/>
        <v>0</v>
      </c>
      <c r="BF32" s="256">
        <f t="shared" si="51"/>
        <v>0</v>
      </c>
      <c r="BG32" s="256">
        <f t="shared" si="52"/>
        <v>43710.000000000007</v>
      </c>
      <c r="BH32" s="256">
        <f t="shared" si="53"/>
        <v>0</v>
      </c>
      <c r="BI32" s="256">
        <f t="shared" si="54"/>
        <v>0</v>
      </c>
      <c r="BJ32" s="256">
        <f t="shared" si="55"/>
        <v>0</v>
      </c>
      <c r="BK32" s="256">
        <f t="shared" si="56"/>
        <v>34968.000000000007</v>
      </c>
      <c r="BL32" s="256">
        <f t="shared" si="57"/>
        <v>13113.000000000002</v>
      </c>
      <c r="BM32" s="256">
        <f t="shared" si="58"/>
        <v>0</v>
      </c>
      <c r="BN32" s="256">
        <f t="shared" si="59"/>
        <v>0</v>
      </c>
      <c r="BO32" s="399">
        <f t="shared" si="60"/>
        <v>0</v>
      </c>
    </row>
    <row r="33" spans="2:67" x14ac:dyDescent="0.2">
      <c r="B33" s="1056" t="s">
        <v>466</v>
      </c>
      <c r="C33" s="1056"/>
      <c r="D33" s="1056"/>
      <c r="E33" s="1056"/>
      <c r="F33" s="1056"/>
      <c r="G33" s="1056"/>
      <c r="H33" s="1056"/>
      <c r="I33" s="408">
        <f t="shared" si="61"/>
        <v>224583.87</v>
      </c>
      <c r="J33" s="289"/>
      <c r="K33" s="256">
        <f t="shared" si="6"/>
        <v>0</v>
      </c>
      <c r="L33" s="256">
        <f t="shared" si="7"/>
        <v>0</v>
      </c>
      <c r="M33" s="256">
        <f t="shared" si="8"/>
        <v>0</v>
      </c>
      <c r="N33" s="256">
        <f t="shared" si="9"/>
        <v>0</v>
      </c>
      <c r="O33" s="562">
        <f t="shared" si="10"/>
        <v>0</v>
      </c>
      <c r="P33" s="379">
        <f t="shared" si="11"/>
        <v>0</v>
      </c>
      <c r="Q33" s="256">
        <f t="shared" si="12"/>
        <v>0</v>
      </c>
      <c r="R33" s="256">
        <f t="shared" si="13"/>
        <v>0</v>
      </c>
      <c r="S33" s="275">
        <f t="shared" si="14"/>
        <v>0</v>
      </c>
      <c r="T33" s="379">
        <f t="shared" si="15"/>
        <v>0</v>
      </c>
      <c r="U33" s="256">
        <f t="shared" si="16"/>
        <v>0</v>
      </c>
      <c r="V33" s="256">
        <f t="shared" si="17"/>
        <v>0</v>
      </c>
      <c r="W33" s="275">
        <f t="shared" si="18"/>
        <v>0</v>
      </c>
      <c r="X33" s="564">
        <f t="shared" si="62"/>
        <v>0</v>
      </c>
      <c r="Y33" s="256">
        <f t="shared" si="63"/>
        <v>26524.62</v>
      </c>
      <c r="Z33" s="256">
        <f t="shared" si="19"/>
        <v>0</v>
      </c>
      <c r="AA33" s="256">
        <f t="shared" si="20"/>
        <v>28625.579999999998</v>
      </c>
      <c r="AB33" s="256">
        <f t="shared" si="21"/>
        <v>0</v>
      </c>
      <c r="AC33" s="256">
        <f t="shared" si="22"/>
        <v>0</v>
      </c>
      <c r="AD33" s="256">
        <f t="shared" si="23"/>
        <v>27312.479999999996</v>
      </c>
      <c r="AE33" s="256">
        <f t="shared" si="24"/>
        <v>0</v>
      </c>
      <c r="AF33" s="256">
        <f t="shared" si="25"/>
        <v>0</v>
      </c>
      <c r="AG33" s="256">
        <f t="shared" si="26"/>
        <v>0</v>
      </c>
      <c r="AH33" s="256">
        <f t="shared" si="27"/>
        <v>0</v>
      </c>
      <c r="AI33" s="256">
        <f t="shared" si="28"/>
        <v>0</v>
      </c>
      <c r="AJ33" s="256">
        <f t="shared" si="29"/>
        <v>0</v>
      </c>
      <c r="AK33" s="256">
        <f t="shared" si="30"/>
        <v>0</v>
      </c>
      <c r="AL33" s="256">
        <f t="shared" si="31"/>
        <v>26261.999999999996</v>
      </c>
      <c r="AM33" s="256">
        <f t="shared" si="32"/>
        <v>0</v>
      </c>
      <c r="AN33" s="256">
        <f t="shared" si="33"/>
        <v>0</v>
      </c>
      <c r="AO33" s="256">
        <f t="shared" si="34"/>
        <v>0</v>
      </c>
      <c r="AP33" s="256">
        <f t="shared" si="35"/>
        <v>0</v>
      </c>
      <c r="AQ33" s="256">
        <f t="shared" si="36"/>
        <v>0</v>
      </c>
      <c r="AR33" s="256">
        <f t="shared" si="37"/>
        <v>0</v>
      </c>
      <c r="AS33" s="256">
        <f t="shared" si="38"/>
        <v>0</v>
      </c>
      <c r="AT33" s="256">
        <f t="shared" si="39"/>
        <v>0</v>
      </c>
      <c r="AU33" s="256">
        <f t="shared" si="40"/>
        <v>26261.999999999996</v>
      </c>
      <c r="AV33" s="256">
        <f t="shared" si="41"/>
        <v>0</v>
      </c>
      <c r="AW33" s="256">
        <f t="shared" si="42"/>
        <v>0</v>
      </c>
      <c r="AX33" s="256">
        <f t="shared" si="43"/>
        <v>0</v>
      </c>
      <c r="AY33" s="256">
        <f t="shared" si="44"/>
        <v>0</v>
      </c>
      <c r="AZ33" s="256">
        <f t="shared" si="45"/>
        <v>26261.999999999996</v>
      </c>
      <c r="BA33" s="256">
        <f t="shared" si="46"/>
        <v>0</v>
      </c>
      <c r="BB33" s="256">
        <f t="shared" si="47"/>
        <v>0</v>
      </c>
      <c r="BC33" s="256">
        <f t="shared" si="48"/>
        <v>26261.999999999996</v>
      </c>
      <c r="BD33" s="256">
        <f t="shared" si="49"/>
        <v>0</v>
      </c>
      <c r="BE33" s="256">
        <f t="shared" si="50"/>
        <v>0</v>
      </c>
      <c r="BF33" s="256">
        <f t="shared" si="51"/>
        <v>0</v>
      </c>
      <c r="BG33" s="256">
        <f t="shared" si="52"/>
        <v>37073.189999999995</v>
      </c>
      <c r="BH33" s="256">
        <f t="shared" si="53"/>
        <v>0</v>
      </c>
      <c r="BI33" s="256">
        <f t="shared" si="54"/>
        <v>0</v>
      </c>
      <c r="BJ33" s="256">
        <f t="shared" si="55"/>
        <v>0</v>
      </c>
      <c r="BK33" s="256">
        <f t="shared" si="56"/>
        <v>0</v>
      </c>
      <c r="BL33" s="256">
        <f t="shared" si="57"/>
        <v>0</v>
      </c>
      <c r="BM33" s="256">
        <f t="shared" si="58"/>
        <v>0</v>
      </c>
      <c r="BN33" s="256">
        <f t="shared" si="59"/>
        <v>0</v>
      </c>
      <c r="BO33" s="399">
        <f t="shared" si="60"/>
        <v>0</v>
      </c>
    </row>
    <row r="34" spans="2:67" x14ac:dyDescent="0.2">
      <c r="B34" s="1056" t="s">
        <v>467</v>
      </c>
      <c r="C34" s="1056"/>
      <c r="D34" s="1056"/>
      <c r="E34" s="1056"/>
      <c r="F34" s="1056"/>
      <c r="G34" s="1056"/>
      <c r="H34" s="1056"/>
      <c r="I34" s="408">
        <f t="shared" si="61"/>
        <v>529713.12</v>
      </c>
      <c r="J34" s="289"/>
      <c r="K34" s="256">
        <f t="shared" si="6"/>
        <v>0</v>
      </c>
      <c r="L34" s="256">
        <f t="shared" si="7"/>
        <v>0</v>
      </c>
      <c r="M34" s="256">
        <f t="shared" si="8"/>
        <v>0</v>
      </c>
      <c r="N34" s="256">
        <f t="shared" si="9"/>
        <v>0</v>
      </c>
      <c r="O34" s="562">
        <f t="shared" si="10"/>
        <v>0</v>
      </c>
      <c r="P34" s="379">
        <f t="shared" si="11"/>
        <v>0</v>
      </c>
      <c r="Q34" s="256">
        <f t="shared" si="12"/>
        <v>0</v>
      </c>
      <c r="R34" s="256">
        <f t="shared" si="13"/>
        <v>0</v>
      </c>
      <c r="S34" s="275">
        <f t="shared" si="14"/>
        <v>0</v>
      </c>
      <c r="T34" s="379">
        <f t="shared" si="15"/>
        <v>0</v>
      </c>
      <c r="U34" s="256">
        <f t="shared" si="16"/>
        <v>0</v>
      </c>
      <c r="V34" s="256">
        <f t="shared" si="17"/>
        <v>0</v>
      </c>
      <c r="W34" s="275">
        <f t="shared" si="18"/>
        <v>0</v>
      </c>
      <c r="X34" s="564">
        <f t="shared" si="62"/>
        <v>0</v>
      </c>
      <c r="Y34" s="256">
        <f t="shared" si="63"/>
        <v>26424.000000000004</v>
      </c>
      <c r="Z34" s="256">
        <f t="shared" si="19"/>
        <v>0</v>
      </c>
      <c r="AA34" s="256">
        <f t="shared" si="20"/>
        <v>0</v>
      </c>
      <c r="AB34" s="256">
        <f t="shared" si="21"/>
        <v>0</v>
      </c>
      <c r="AC34" s="256">
        <f t="shared" si="22"/>
        <v>110452.32000000002</v>
      </c>
      <c r="AD34" s="256">
        <f t="shared" si="23"/>
        <v>10569.600000000002</v>
      </c>
      <c r="AE34" s="256">
        <f t="shared" si="24"/>
        <v>26424.000000000004</v>
      </c>
      <c r="AF34" s="256">
        <f t="shared" si="25"/>
        <v>78743.520000000004</v>
      </c>
      <c r="AG34" s="256">
        <f t="shared" si="26"/>
        <v>0</v>
      </c>
      <c r="AH34" s="256">
        <f t="shared" si="27"/>
        <v>0</v>
      </c>
      <c r="AI34" s="256">
        <f t="shared" si="28"/>
        <v>0</v>
      </c>
      <c r="AJ34" s="256">
        <f t="shared" si="29"/>
        <v>0</v>
      </c>
      <c r="AK34" s="256">
        <f t="shared" si="30"/>
        <v>0</v>
      </c>
      <c r="AL34" s="256">
        <f t="shared" si="31"/>
        <v>0</v>
      </c>
      <c r="AM34" s="256">
        <f t="shared" si="32"/>
        <v>26424.000000000004</v>
      </c>
      <c r="AN34" s="256">
        <f t="shared" si="33"/>
        <v>0</v>
      </c>
      <c r="AO34" s="256">
        <f t="shared" si="34"/>
        <v>0</v>
      </c>
      <c r="AP34" s="256">
        <f t="shared" si="35"/>
        <v>26424.000000000004</v>
      </c>
      <c r="AQ34" s="256">
        <f t="shared" si="36"/>
        <v>0</v>
      </c>
      <c r="AR34" s="256">
        <f t="shared" si="37"/>
        <v>0</v>
      </c>
      <c r="AS34" s="256">
        <f t="shared" si="38"/>
        <v>0</v>
      </c>
      <c r="AT34" s="256">
        <f t="shared" si="39"/>
        <v>0</v>
      </c>
      <c r="AU34" s="256">
        <f t="shared" si="40"/>
        <v>0</v>
      </c>
      <c r="AV34" s="256">
        <f t="shared" si="41"/>
        <v>0</v>
      </c>
      <c r="AW34" s="256">
        <f t="shared" si="42"/>
        <v>26424.000000000004</v>
      </c>
      <c r="AX34" s="256">
        <f t="shared" si="43"/>
        <v>0</v>
      </c>
      <c r="AY34" s="256">
        <f t="shared" si="44"/>
        <v>0</v>
      </c>
      <c r="AZ34" s="256">
        <f t="shared" si="45"/>
        <v>26424.000000000004</v>
      </c>
      <c r="BA34" s="256">
        <f t="shared" si="46"/>
        <v>0</v>
      </c>
      <c r="BB34" s="256">
        <f t="shared" si="47"/>
        <v>0</v>
      </c>
      <c r="BC34" s="256">
        <f t="shared" si="48"/>
        <v>47739.360000000008</v>
      </c>
      <c r="BD34" s="256">
        <f t="shared" si="49"/>
        <v>0</v>
      </c>
      <c r="BE34" s="256">
        <f t="shared" si="50"/>
        <v>0</v>
      </c>
      <c r="BF34" s="256">
        <f t="shared" si="51"/>
        <v>0</v>
      </c>
      <c r="BG34" s="256">
        <f t="shared" si="52"/>
        <v>48444.000000000007</v>
      </c>
      <c r="BH34" s="256">
        <f t="shared" si="53"/>
        <v>20963.040000000005</v>
      </c>
      <c r="BI34" s="256">
        <f t="shared" si="54"/>
        <v>0</v>
      </c>
      <c r="BJ34" s="256">
        <f t="shared" si="55"/>
        <v>0</v>
      </c>
      <c r="BK34" s="256">
        <f t="shared" si="56"/>
        <v>0</v>
      </c>
      <c r="BL34" s="256">
        <f t="shared" si="57"/>
        <v>54257.280000000006</v>
      </c>
      <c r="BM34" s="256">
        <f t="shared" si="58"/>
        <v>0</v>
      </c>
      <c r="BN34" s="256">
        <f t="shared" si="59"/>
        <v>0</v>
      </c>
      <c r="BO34" s="399">
        <f t="shared" si="60"/>
        <v>0</v>
      </c>
    </row>
    <row r="35" spans="2:67" x14ac:dyDescent="0.2">
      <c r="B35" s="1056" t="s">
        <v>508</v>
      </c>
      <c r="C35" s="1056"/>
      <c r="D35" s="1056"/>
      <c r="E35" s="1056"/>
      <c r="F35" s="1056"/>
      <c r="G35" s="1056"/>
      <c r="H35" s="1056"/>
      <c r="I35" s="408">
        <f t="shared" si="61"/>
        <v>331837.63000000006</v>
      </c>
      <c r="J35" s="289"/>
      <c r="K35" s="256">
        <f t="shared" si="6"/>
        <v>0</v>
      </c>
      <c r="L35" s="256">
        <f t="shared" si="7"/>
        <v>0</v>
      </c>
      <c r="M35" s="256">
        <f t="shared" si="8"/>
        <v>0</v>
      </c>
      <c r="N35" s="256">
        <f t="shared" si="9"/>
        <v>0</v>
      </c>
      <c r="O35" s="562">
        <f t="shared" si="10"/>
        <v>0</v>
      </c>
      <c r="P35" s="379">
        <f t="shared" si="11"/>
        <v>0</v>
      </c>
      <c r="Q35" s="256">
        <f t="shared" si="12"/>
        <v>0</v>
      </c>
      <c r="R35" s="256">
        <f t="shared" si="13"/>
        <v>0</v>
      </c>
      <c r="S35" s="275">
        <f t="shared" si="14"/>
        <v>0</v>
      </c>
      <c r="T35" s="379">
        <f t="shared" si="15"/>
        <v>0</v>
      </c>
      <c r="U35" s="256">
        <f t="shared" si="16"/>
        <v>0</v>
      </c>
      <c r="V35" s="256">
        <f t="shared" si="17"/>
        <v>0</v>
      </c>
      <c r="W35" s="275">
        <f t="shared" si="18"/>
        <v>0</v>
      </c>
      <c r="X35" s="564">
        <f t="shared" si="62"/>
        <v>0</v>
      </c>
      <c r="Y35" s="256">
        <f t="shared" si="63"/>
        <v>0</v>
      </c>
      <c r="Z35" s="256">
        <f t="shared" si="19"/>
        <v>0</v>
      </c>
      <c r="AA35" s="256">
        <f t="shared" si="20"/>
        <v>0</v>
      </c>
      <c r="AB35" s="256">
        <f t="shared" si="21"/>
        <v>0</v>
      </c>
      <c r="AC35" s="256">
        <f t="shared" si="22"/>
        <v>0</v>
      </c>
      <c r="AD35" s="256">
        <f t="shared" si="23"/>
        <v>0</v>
      </c>
      <c r="AE35" s="256">
        <f t="shared" si="24"/>
        <v>0</v>
      </c>
      <c r="AF35" s="256">
        <f t="shared" si="25"/>
        <v>0</v>
      </c>
      <c r="AG35" s="256">
        <f t="shared" si="26"/>
        <v>0</v>
      </c>
      <c r="AH35" s="256">
        <f t="shared" si="27"/>
        <v>0</v>
      </c>
      <c r="AI35" s="256">
        <f t="shared" si="28"/>
        <v>62308.800000000003</v>
      </c>
      <c r="AJ35" s="256">
        <f t="shared" si="29"/>
        <v>0</v>
      </c>
      <c r="AK35" s="256">
        <f t="shared" si="30"/>
        <v>0</v>
      </c>
      <c r="AL35" s="256">
        <f t="shared" si="31"/>
        <v>0</v>
      </c>
      <c r="AM35" s="256">
        <f t="shared" si="32"/>
        <v>25962.000000000004</v>
      </c>
      <c r="AN35" s="256">
        <f t="shared" si="33"/>
        <v>0</v>
      </c>
      <c r="AO35" s="256">
        <f t="shared" si="34"/>
        <v>0</v>
      </c>
      <c r="AP35" s="256">
        <f t="shared" si="35"/>
        <v>25962.000000000004</v>
      </c>
      <c r="AQ35" s="256">
        <f t="shared" si="36"/>
        <v>0</v>
      </c>
      <c r="AR35" s="256">
        <f t="shared" si="37"/>
        <v>0</v>
      </c>
      <c r="AS35" s="256">
        <f t="shared" si="38"/>
        <v>0</v>
      </c>
      <c r="AT35" s="256">
        <f t="shared" si="39"/>
        <v>0</v>
      </c>
      <c r="AU35" s="256">
        <f t="shared" si="40"/>
        <v>0</v>
      </c>
      <c r="AV35" s="256">
        <f t="shared" si="41"/>
        <v>28125.500000000004</v>
      </c>
      <c r="AW35" s="256">
        <f t="shared" si="42"/>
        <v>34962.160000000003</v>
      </c>
      <c r="AX35" s="256">
        <f t="shared" si="43"/>
        <v>0</v>
      </c>
      <c r="AY35" s="256">
        <f t="shared" si="44"/>
        <v>0</v>
      </c>
      <c r="AZ35" s="256">
        <f t="shared" si="45"/>
        <v>0</v>
      </c>
      <c r="BA35" s="256">
        <f t="shared" si="46"/>
        <v>0</v>
      </c>
      <c r="BB35" s="256">
        <f t="shared" si="47"/>
        <v>0</v>
      </c>
      <c r="BC35" s="256">
        <f t="shared" si="48"/>
        <v>0</v>
      </c>
      <c r="BD35" s="256">
        <f t="shared" si="49"/>
        <v>44395.020000000004</v>
      </c>
      <c r="BE35" s="256">
        <f t="shared" si="50"/>
        <v>0</v>
      </c>
      <c r="BF35" s="256">
        <f t="shared" si="51"/>
        <v>0</v>
      </c>
      <c r="BG35" s="256">
        <f t="shared" si="52"/>
        <v>0</v>
      </c>
      <c r="BH35" s="256">
        <f t="shared" si="53"/>
        <v>62611.69</v>
      </c>
      <c r="BI35" s="256">
        <f t="shared" si="54"/>
        <v>0</v>
      </c>
      <c r="BJ35" s="256">
        <f t="shared" si="55"/>
        <v>0</v>
      </c>
      <c r="BK35" s="256">
        <f t="shared" si="56"/>
        <v>0</v>
      </c>
      <c r="BL35" s="256">
        <f t="shared" si="57"/>
        <v>47510.460000000006</v>
      </c>
      <c r="BM35" s="256">
        <f t="shared" si="58"/>
        <v>0</v>
      </c>
      <c r="BN35" s="256">
        <f t="shared" si="59"/>
        <v>0</v>
      </c>
      <c r="BO35" s="399">
        <f t="shared" si="60"/>
        <v>0</v>
      </c>
    </row>
    <row r="36" spans="2:67" x14ac:dyDescent="0.2">
      <c r="B36" s="1056" t="s">
        <v>509</v>
      </c>
      <c r="C36" s="1056"/>
      <c r="D36" s="1056"/>
      <c r="E36" s="1056"/>
      <c r="F36" s="1056"/>
      <c r="G36" s="1056"/>
      <c r="H36" s="1056"/>
      <c r="I36" s="408">
        <f t="shared" si="61"/>
        <v>507028.80000000005</v>
      </c>
      <c r="J36" s="289"/>
      <c r="K36" s="256">
        <f t="shared" si="6"/>
        <v>0</v>
      </c>
      <c r="L36" s="256">
        <f t="shared" si="7"/>
        <v>0</v>
      </c>
      <c r="M36" s="256">
        <f t="shared" si="8"/>
        <v>0</v>
      </c>
      <c r="N36" s="256">
        <f t="shared" si="9"/>
        <v>0</v>
      </c>
      <c r="O36" s="562">
        <f t="shared" si="10"/>
        <v>0</v>
      </c>
      <c r="P36" s="379">
        <f t="shared" si="11"/>
        <v>0</v>
      </c>
      <c r="Q36" s="256">
        <f t="shared" si="12"/>
        <v>0</v>
      </c>
      <c r="R36" s="256">
        <f t="shared" si="13"/>
        <v>0</v>
      </c>
      <c r="S36" s="275">
        <f t="shared" si="14"/>
        <v>0</v>
      </c>
      <c r="T36" s="379">
        <f t="shared" si="15"/>
        <v>0</v>
      </c>
      <c r="U36" s="256">
        <f t="shared" si="16"/>
        <v>0</v>
      </c>
      <c r="V36" s="256">
        <f t="shared" si="17"/>
        <v>0</v>
      </c>
      <c r="W36" s="275">
        <f t="shared" si="18"/>
        <v>0</v>
      </c>
      <c r="X36" s="564">
        <f t="shared" si="62"/>
        <v>0</v>
      </c>
      <c r="Y36" s="256">
        <f t="shared" si="63"/>
        <v>0</v>
      </c>
      <c r="Z36" s="256">
        <f t="shared" si="19"/>
        <v>0</v>
      </c>
      <c r="AA36" s="256">
        <f t="shared" si="20"/>
        <v>0</v>
      </c>
      <c r="AB36" s="256">
        <f t="shared" si="21"/>
        <v>0</v>
      </c>
      <c r="AC36" s="256">
        <f t="shared" si="22"/>
        <v>0</v>
      </c>
      <c r="AD36" s="256">
        <f t="shared" si="23"/>
        <v>0</v>
      </c>
      <c r="AE36" s="256">
        <f t="shared" si="24"/>
        <v>0</v>
      </c>
      <c r="AF36" s="256">
        <f t="shared" si="25"/>
        <v>0</v>
      </c>
      <c r="AG36" s="256">
        <f t="shared" si="26"/>
        <v>0</v>
      </c>
      <c r="AH36" s="256">
        <f t="shared" si="27"/>
        <v>0</v>
      </c>
      <c r="AI36" s="256">
        <f t="shared" si="28"/>
        <v>0</v>
      </c>
      <c r="AJ36" s="256">
        <f t="shared" si="29"/>
        <v>78398.460000000006</v>
      </c>
      <c r="AK36" s="256">
        <f t="shared" si="30"/>
        <v>0</v>
      </c>
      <c r="AL36" s="256">
        <f t="shared" si="31"/>
        <v>0</v>
      </c>
      <c r="AM36" s="256">
        <f t="shared" si="32"/>
        <v>78138</v>
      </c>
      <c r="AN36" s="256">
        <f t="shared" si="33"/>
        <v>0</v>
      </c>
      <c r="AO36" s="256">
        <f t="shared" si="34"/>
        <v>0</v>
      </c>
      <c r="AP36" s="256">
        <f t="shared" si="35"/>
        <v>78138</v>
      </c>
      <c r="AQ36" s="256">
        <f t="shared" si="36"/>
        <v>0</v>
      </c>
      <c r="AR36" s="256">
        <f t="shared" si="37"/>
        <v>0</v>
      </c>
      <c r="AS36" s="256">
        <f t="shared" si="38"/>
        <v>0</v>
      </c>
      <c r="AT36" s="256">
        <f t="shared" si="39"/>
        <v>0</v>
      </c>
      <c r="AU36" s="256">
        <f t="shared" si="40"/>
        <v>0</v>
      </c>
      <c r="AV36" s="256">
        <f t="shared" si="41"/>
        <v>0</v>
      </c>
      <c r="AW36" s="256">
        <f t="shared" si="42"/>
        <v>72147.420000000013</v>
      </c>
      <c r="AX36" s="256">
        <f t="shared" si="43"/>
        <v>0</v>
      </c>
      <c r="AY36" s="256">
        <f t="shared" si="44"/>
        <v>0</v>
      </c>
      <c r="AZ36" s="256">
        <f t="shared" si="45"/>
        <v>0</v>
      </c>
      <c r="BA36" s="256">
        <f t="shared" si="46"/>
        <v>0</v>
      </c>
      <c r="BB36" s="256">
        <f t="shared" si="47"/>
        <v>0</v>
      </c>
      <c r="BC36" s="256">
        <f t="shared" si="48"/>
        <v>0</v>
      </c>
      <c r="BD36" s="256">
        <f t="shared" si="49"/>
        <v>62206.530000000006</v>
      </c>
      <c r="BE36" s="256">
        <f t="shared" si="50"/>
        <v>0</v>
      </c>
      <c r="BF36" s="256">
        <f t="shared" si="51"/>
        <v>0</v>
      </c>
      <c r="BG36" s="256">
        <f t="shared" si="52"/>
        <v>0</v>
      </c>
      <c r="BH36" s="256">
        <f t="shared" si="53"/>
        <v>78398.460000000006</v>
      </c>
      <c r="BI36" s="256">
        <f t="shared" si="54"/>
        <v>0</v>
      </c>
      <c r="BJ36" s="256">
        <f t="shared" si="55"/>
        <v>0</v>
      </c>
      <c r="BK36" s="256">
        <f t="shared" si="56"/>
        <v>0</v>
      </c>
      <c r="BL36" s="256">
        <f t="shared" si="57"/>
        <v>59601.930000000008</v>
      </c>
      <c r="BM36" s="256">
        <f t="shared" si="58"/>
        <v>0</v>
      </c>
      <c r="BN36" s="256">
        <f t="shared" si="59"/>
        <v>0</v>
      </c>
      <c r="BO36" s="399">
        <f t="shared" si="60"/>
        <v>0</v>
      </c>
    </row>
    <row r="37" spans="2:67" x14ac:dyDescent="0.2">
      <c r="B37" s="1056" t="s">
        <v>510</v>
      </c>
      <c r="C37" s="1056"/>
      <c r="D37" s="1056"/>
      <c r="E37" s="1056"/>
      <c r="F37" s="1056"/>
      <c r="G37" s="1056"/>
      <c r="H37" s="1056"/>
      <c r="I37" s="408">
        <f t="shared" si="61"/>
        <v>158890.5</v>
      </c>
      <c r="J37" s="289"/>
      <c r="K37" s="256">
        <f t="shared" si="6"/>
        <v>0</v>
      </c>
      <c r="L37" s="256">
        <f t="shared" si="7"/>
        <v>0</v>
      </c>
      <c r="M37" s="256">
        <f t="shared" si="8"/>
        <v>0</v>
      </c>
      <c r="N37" s="256">
        <f t="shared" si="9"/>
        <v>0</v>
      </c>
      <c r="O37" s="562">
        <f t="shared" si="10"/>
        <v>0</v>
      </c>
      <c r="P37" s="379">
        <f t="shared" si="11"/>
        <v>0</v>
      </c>
      <c r="Q37" s="256">
        <f t="shared" si="12"/>
        <v>0</v>
      </c>
      <c r="R37" s="256">
        <f t="shared" si="13"/>
        <v>0</v>
      </c>
      <c r="S37" s="275">
        <f t="shared" si="14"/>
        <v>0</v>
      </c>
      <c r="T37" s="379">
        <f t="shared" si="15"/>
        <v>0</v>
      </c>
      <c r="U37" s="256">
        <f t="shared" si="16"/>
        <v>0</v>
      </c>
      <c r="V37" s="256">
        <f t="shared" si="17"/>
        <v>0</v>
      </c>
      <c r="W37" s="275">
        <f t="shared" si="18"/>
        <v>0</v>
      </c>
      <c r="X37" s="564">
        <f t="shared" si="62"/>
        <v>0</v>
      </c>
      <c r="Y37" s="256">
        <f t="shared" si="63"/>
        <v>0</v>
      </c>
      <c r="Z37" s="256">
        <f t="shared" si="19"/>
        <v>0</v>
      </c>
      <c r="AA37" s="256">
        <f t="shared" si="20"/>
        <v>0</v>
      </c>
      <c r="AB37" s="256">
        <f t="shared" si="21"/>
        <v>0</v>
      </c>
      <c r="AC37" s="256">
        <f t="shared" si="22"/>
        <v>0</v>
      </c>
      <c r="AD37" s="256">
        <f t="shared" si="23"/>
        <v>0</v>
      </c>
      <c r="AE37" s="256">
        <f t="shared" si="24"/>
        <v>0</v>
      </c>
      <c r="AF37" s="256">
        <f t="shared" si="25"/>
        <v>0</v>
      </c>
      <c r="AG37" s="256">
        <f t="shared" si="26"/>
        <v>0</v>
      </c>
      <c r="AH37" s="256">
        <f t="shared" si="27"/>
        <v>0</v>
      </c>
      <c r="AI37" s="256">
        <f t="shared" si="28"/>
        <v>0</v>
      </c>
      <c r="AJ37" s="256">
        <f t="shared" si="29"/>
        <v>0</v>
      </c>
      <c r="AK37" s="256">
        <f t="shared" si="30"/>
        <v>0</v>
      </c>
      <c r="AL37" s="256">
        <f t="shared" si="31"/>
        <v>0</v>
      </c>
      <c r="AM37" s="256">
        <f t="shared" si="32"/>
        <v>0</v>
      </c>
      <c r="AN37" s="256">
        <f t="shared" si="33"/>
        <v>0</v>
      </c>
      <c r="AO37" s="256">
        <f t="shared" si="34"/>
        <v>0</v>
      </c>
      <c r="AP37" s="256">
        <f t="shared" si="35"/>
        <v>0</v>
      </c>
      <c r="AQ37" s="256">
        <f t="shared" si="36"/>
        <v>0</v>
      </c>
      <c r="AR37" s="256">
        <f t="shared" si="37"/>
        <v>0</v>
      </c>
      <c r="AS37" s="256">
        <f t="shared" si="38"/>
        <v>15577.5</v>
      </c>
      <c r="AT37" s="256">
        <f t="shared" si="39"/>
        <v>143313</v>
      </c>
      <c r="AU37" s="256">
        <f t="shared" si="40"/>
        <v>0</v>
      </c>
      <c r="AV37" s="256">
        <f t="shared" si="41"/>
        <v>0</v>
      </c>
      <c r="AW37" s="256">
        <f t="shared" si="42"/>
        <v>0</v>
      </c>
      <c r="AX37" s="256">
        <f t="shared" si="43"/>
        <v>0</v>
      </c>
      <c r="AY37" s="256">
        <f t="shared" si="44"/>
        <v>0</v>
      </c>
      <c r="AZ37" s="256">
        <f t="shared" si="45"/>
        <v>0</v>
      </c>
      <c r="BA37" s="256">
        <f t="shared" si="46"/>
        <v>0</v>
      </c>
      <c r="BB37" s="256">
        <f t="shared" si="47"/>
        <v>0</v>
      </c>
      <c r="BC37" s="256">
        <f t="shared" si="48"/>
        <v>0</v>
      </c>
      <c r="BD37" s="256">
        <f t="shared" si="49"/>
        <v>0</v>
      </c>
      <c r="BE37" s="256">
        <f t="shared" si="50"/>
        <v>0</v>
      </c>
      <c r="BF37" s="256">
        <f t="shared" si="51"/>
        <v>0</v>
      </c>
      <c r="BG37" s="256">
        <f t="shared" si="52"/>
        <v>0</v>
      </c>
      <c r="BH37" s="256">
        <f t="shared" si="53"/>
        <v>0</v>
      </c>
      <c r="BI37" s="256">
        <f t="shared" si="54"/>
        <v>0</v>
      </c>
      <c r="BJ37" s="256">
        <f t="shared" si="55"/>
        <v>0</v>
      </c>
      <c r="BK37" s="256">
        <f t="shared" si="56"/>
        <v>0</v>
      </c>
      <c r="BL37" s="256">
        <f t="shared" si="57"/>
        <v>0</v>
      </c>
      <c r="BM37" s="256">
        <f t="shared" si="58"/>
        <v>0</v>
      </c>
      <c r="BN37" s="256">
        <f t="shared" si="59"/>
        <v>0</v>
      </c>
      <c r="BO37" s="399">
        <f t="shared" si="60"/>
        <v>0</v>
      </c>
    </row>
    <row r="38" spans="2:67" x14ac:dyDescent="0.2">
      <c r="B38" s="1056" t="s">
        <v>511</v>
      </c>
      <c r="C38" s="1056"/>
      <c r="D38" s="1056"/>
      <c r="E38" s="1056"/>
      <c r="F38" s="1056"/>
      <c r="G38" s="1056"/>
      <c r="H38" s="1056"/>
      <c r="I38" s="408">
        <f t="shared" si="61"/>
        <v>44234.280000000013</v>
      </c>
      <c r="J38" s="289"/>
      <c r="K38" s="256">
        <f t="shared" si="6"/>
        <v>0</v>
      </c>
      <c r="L38" s="256">
        <f t="shared" si="7"/>
        <v>0</v>
      </c>
      <c r="M38" s="256">
        <f t="shared" si="8"/>
        <v>0</v>
      </c>
      <c r="N38" s="256">
        <f t="shared" si="9"/>
        <v>0</v>
      </c>
      <c r="O38" s="562">
        <f t="shared" si="10"/>
        <v>0</v>
      </c>
      <c r="P38" s="379">
        <f t="shared" si="11"/>
        <v>0</v>
      </c>
      <c r="Q38" s="256">
        <f t="shared" si="12"/>
        <v>0</v>
      </c>
      <c r="R38" s="256">
        <f t="shared" si="13"/>
        <v>0</v>
      </c>
      <c r="S38" s="275">
        <f t="shared" si="14"/>
        <v>0</v>
      </c>
      <c r="T38" s="379">
        <f t="shared" si="15"/>
        <v>0</v>
      </c>
      <c r="U38" s="256">
        <f t="shared" si="16"/>
        <v>0</v>
      </c>
      <c r="V38" s="256">
        <f t="shared" si="17"/>
        <v>0</v>
      </c>
      <c r="W38" s="275">
        <f t="shared" si="18"/>
        <v>0</v>
      </c>
      <c r="X38" s="564">
        <f t="shared" si="62"/>
        <v>0</v>
      </c>
      <c r="Y38" s="256">
        <f t="shared" si="63"/>
        <v>0</v>
      </c>
      <c r="Z38" s="256">
        <f t="shared" si="19"/>
        <v>0</v>
      </c>
      <c r="AA38" s="256">
        <f t="shared" si="20"/>
        <v>0</v>
      </c>
      <c r="AB38" s="256">
        <f t="shared" si="21"/>
        <v>0</v>
      </c>
      <c r="AC38" s="256">
        <f t="shared" si="22"/>
        <v>0</v>
      </c>
      <c r="AD38" s="256">
        <f t="shared" si="23"/>
        <v>0</v>
      </c>
      <c r="AE38" s="256">
        <f t="shared" si="24"/>
        <v>0</v>
      </c>
      <c r="AF38" s="256">
        <f t="shared" si="25"/>
        <v>0</v>
      </c>
      <c r="AG38" s="256">
        <f t="shared" si="26"/>
        <v>0</v>
      </c>
      <c r="AH38" s="256">
        <f t="shared" si="27"/>
        <v>0</v>
      </c>
      <c r="AI38" s="256">
        <f t="shared" si="28"/>
        <v>0</v>
      </c>
      <c r="AJ38" s="256">
        <f t="shared" si="29"/>
        <v>0</v>
      </c>
      <c r="AK38" s="256">
        <f t="shared" si="30"/>
        <v>0</v>
      </c>
      <c r="AL38" s="256">
        <f t="shared" si="31"/>
        <v>0</v>
      </c>
      <c r="AM38" s="256">
        <f t="shared" si="32"/>
        <v>0</v>
      </c>
      <c r="AN38" s="256">
        <f t="shared" si="33"/>
        <v>0</v>
      </c>
      <c r="AO38" s="256">
        <f t="shared" si="34"/>
        <v>0</v>
      </c>
      <c r="AP38" s="256">
        <f t="shared" si="35"/>
        <v>0</v>
      </c>
      <c r="AQ38" s="256">
        <f t="shared" si="36"/>
        <v>0</v>
      </c>
      <c r="AR38" s="256">
        <f t="shared" si="37"/>
        <v>0</v>
      </c>
      <c r="AS38" s="256">
        <f t="shared" si="38"/>
        <v>0</v>
      </c>
      <c r="AT38" s="256">
        <f t="shared" si="39"/>
        <v>0</v>
      </c>
      <c r="AU38" s="256">
        <f t="shared" si="40"/>
        <v>0</v>
      </c>
      <c r="AV38" s="256">
        <f t="shared" si="41"/>
        <v>0</v>
      </c>
      <c r="AW38" s="256">
        <f t="shared" si="42"/>
        <v>0</v>
      </c>
      <c r="AX38" s="256">
        <f t="shared" si="43"/>
        <v>44234.280000000013</v>
      </c>
      <c r="AY38" s="256">
        <f t="shared" si="44"/>
        <v>0</v>
      </c>
      <c r="AZ38" s="256">
        <f t="shared" si="45"/>
        <v>0</v>
      </c>
      <c r="BA38" s="256">
        <f t="shared" si="46"/>
        <v>0</v>
      </c>
      <c r="BB38" s="256">
        <f t="shared" si="47"/>
        <v>0</v>
      </c>
      <c r="BC38" s="256">
        <f t="shared" si="48"/>
        <v>0</v>
      </c>
      <c r="BD38" s="256">
        <f t="shared" si="49"/>
        <v>0</v>
      </c>
      <c r="BE38" s="256">
        <f t="shared" si="50"/>
        <v>0</v>
      </c>
      <c r="BF38" s="256">
        <f t="shared" si="51"/>
        <v>0</v>
      </c>
      <c r="BG38" s="256">
        <f t="shared" si="52"/>
        <v>0</v>
      </c>
      <c r="BH38" s="256">
        <f t="shared" si="53"/>
        <v>0</v>
      </c>
      <c r="BI38" s="256">
        <f t="shared" si="54"/>
        <v>0</v>
      </c>
      <c r="BJ38" s="256">
        <f t="shared" si="55"/>
        <v>0</v>
      </c>
      <c r="BK38" s="256">
        <f t="shared" si="56"/>
        <v>0</v>
      </c>
      <c r="BL38" s="256">
        <f t="shared" si="57"/>
        <v>0</v>
      </c>
      <c r="BM38" s="256">
        <f t="shared" si="58"/>
        <v>0</v>
      </c>
      <c r="BN38" s="256">
        <f t="shared" si="59"/>
        <v>0</v>
      </c>
      <c r="BO38" s="399">
        <f t="shared" si="60"/>
        <v>0</v>
      </c>
    </row>
    <row r="39" spans="2:67" x14ac:dyDescent="0.2">
      <c r="B39" s="1056" t="s">
        <v>512</v>
      </c>
      <c r="C39" s="1056"/>
      <c r="D39" s="1056"/>
      <c r="E39" s="1056"/>
      <c r="F39" s="1056"/>
      <c r="G39" s="1056"/>
      <c r="H39" s="1056"/>
      <c r="I39" s="408">
        <f t="shared" si="61"/>
        <v>49832.639999999999</v>
      </c>
      <c r="J39" s="289"/>
      <c r="K39" s="256">
        <f t="shared" si="6"/>
        <v>77188.319999999992</v>
      </c>
      <c r="L39" s="256">
        <f t="shared" si="7"/>
        <v>0</v>
      </c>
      <c r="M39" s="256">
        <f t="shared" si="8"/>
        <v>0</v>
      </c>
      <c r="N39" s="256">
        <f t="shared" si="9"/>
        <v>0</v>
      </c>
      <c r="O39" s="562">
        <f t="shared" si="10"/>
        <v>0</v>
      </c>
      <c r="P39" s="379">
        <f t="shared" si="11"/>
        <v>0</v>
      </c>
      <c r="Q39" s="256">
        <f t="shared" si="12"/>
        <v>0</v>
      </c>
      <c r="R39" s="256">
        <f t="shared" si="13"/>
        <v>0</v>
      </c>
      <c r="S39" s="275">
        <f t="shared" si="14"/>
        <v>0</v>
      </c>
      <c r="T39" s="379">
        <f t="shared" si="15"/>
        <v>0</v>
      </c>
      <c r="U39" s="256">
        <f t="shared" si="16"/>
        <v>0</v>
      </c>
      <c r="V39" s="256">
        <f t="shared" si="17"/>
        <v>0</v>
      </c>
      <c r="W39" s="275">
        <f t="shared" si="18"/>
        <v>0</v>
      </c>
      <c r="X39" s="564">
        <f t="shared" si="62"/>
        <v>0</v>
      </c>
      <c r="Y39" s="256">
        <f t="shared" si="63"/>
        <v>0</v>
      </c>
      <c r="Z39" s="256">
        <f t="shared" si="19"/>
        <v>0</v>
      </c>
      <c r="AA39" s="256">
        <f t="shared" si="20"/>
        <v>0</v>
      </c>
      <c r="AB39" s="256">
        <f t="shared" si="21"/>
        <v>0</v>
      </c>
      <c r="AC39" s="256">
        <f t="shared" si="22"/>
        <v>0</v>
      </c>
      <c r="AD39" s="256">
        <f t="shared" si="23"/>
        <v>0</v>
      </c>
      <c r="AE39" s="256">
        <f t="shared" si="24"/>
        <v>0</v>
      </c>
      <c r="AF39" s="256">
        <f t="shared" si="25"/>
        <v>0</v>
      </c>
      <c r="AG39" s="256">
        <f t="shared" si="26"/>
        <v>0</v>
      </c>
      <c r="AH39" s="256">
        <f t="shared" si="27"/>
        <v>0</v>
      </c>
      <c r="AI39" s="256">
        <f t="shared" si="28"/>
        <v>0</v>
      </c>
      <c r="AJ39" s="256">
        <f t="shared" si="29"/>
        <v>0</v>
      </c>
      <c r="AK39" s="256">
        <f t="shared" si="30"/>
        <v>0</v>
      </c>
      <c r="AL39" s="256">
        <f t="shared" si="31"/>
        <v>0</v>
      </c>
      <c r="AM39" s="256">
        <f t="shared" si="32"/>
        <v>0</v>
      </c>
      <c r="AN39" s="256">
        <f t="shared" si="33"/>
        <v>0</v>
      </c>
      <c r="AO39" s="256">
        <f t="shared" si="34"/>
        <v>0</v>
      </c>
      <c r="AP39" s="256">
        <f t="shared" si="35"/>
        <v>0</v>
      </c>
      <c r="AQ39" s="256">
        <f t="shared" si="36"/>
        <v>0</v>
      </c>
      <c r="AR39" s="256">
        <f t="shared" si="37"/>
        <v>0</v>
      </c>
      <c r="AS39" s="256">
        <f t="shared" si="38"/>
        <v>0</v>
      </c>
      <c r="AT39" s="256">
        <f t="shared" si="39"/>
        <v>0</v>
      </c>
      <c r="AU39" s="256">
        <f t="shared" si="40"/>
        <v>0</v>
      </c>
      <c r="AV39" s="256">
        <f t="shared" si="41"/>
        <v>0</v>
      </c>
      <c r="AW39" s="256">
        <f t="shared" si="42"/>
        <v>26136</v>
      </c>
      <c r="AX39" s="256">
        <f t="shared" si="43"/>
        <v>23696.639999999999</v>
      </c>
      <c r="AY39" s="256">
        <f t="shared" si="44"/>
        <v>0</v>
      </c>
      <c r="AZ39" s="256">
        <f t="shared" si="45"/>
        <v>0</v>
      </c>
      <c r="BA39" s="256">
        <f t="shared" si="46"/>
        <v>0</v>
      </c>
      <c r="BB39" s="256">
        <f t="shared" si="47"/>
        <v>0</v>
      </c>
      <c r="BC39" s="256">
        <f t="shared" si="48"/>
        <v>0</v>
      </c>
      <c r="BD39" s="256">
        <f t="shared" si="49"/>
        <v>0</v>
      </c>
      <c r="BE39" s="256">
        <f t="shared" si="50"/>
        <v>0</v>
      </c>
      <c r="BF39" s="256">
        <f t="shared" si="51"/>
        <v>0</v>
      </c>
      <c r="BG39" s="256">
        <f t="shared" si="52"/>
        <v>0</v>
      </c>
      <c r="BH39" s="256">
        <f t="shared" si="53"/>
        <v>0</v>
      </c>
      <c r="BI39" s="256">
        <f t="shared" si="54"/>
        <v>0</v>
      </c>
      <c r="BJ39" s="256">
        <f t="shared" si="55"/>
        <v>0</v>
      </c>
      <c r="BK39" s="256">
        <f t="shared" si="56"/>
        <v>0</v>
      </c>
      <c r="BL39" s="256">
        <f t="shared" si="57"/>
        <v>0</v>
      </c>
      <c r="BM39" s="256">
        <f t="shared" si="58"/>
        <v>0</v>
      </c>
      <c r="BN39" s="256">
        <f t="shared" si="59"/>
        <v>0</v>
      </c>
      <c r="BO39" s="399">
        <f t="shared" si="60"/>
        <v>0</v>
      </c>
    </row>
    <row r="40" spans="2:67" x14ac:dyDescent="0.2">
      <c r="B40" s="1056" t="s">
        <v>513</v>
      </c>
      <c r="C40" s="1056"/>
      <c r="D40" s="1056"/>
      <c r="E40" s="1056"/>
      <c r="F40" s="1056"/>
      <c r="G40" s="1056"/>
      <c r="H40" s="1056"/>
      <c r="I40" s="408">
        <f t="shared" si="61"/>
        <v>61961.760000000017</v>
      </c>
      <c r="J40" s="289"/>
      <c r="K40" s="256">
        <f t="shared" si="6"/>
        <v>0</v>
      </c>
      <c r="L40" s="256">
        <f t="shared" si="7"/>
        <v>0</v>
      </c>
      <c r="M40" s="256">
        <f t="shared" si="8"/>
        <v>0</v>
      </c>
      <c r="N40" s="256">
        <f t="shared" si="9"/>
        <v>0</v>
      </c>
      <c r="O40" s="562">
        <f t="shared" si="10"/>
        <v>0</v>
      </c>
      <c r="P40" s="379">
        <f t="shared" si="11"/>
        <v>0</v>
      </c>
      <c r="Q40" s="256">
        <f t="shared" si="12"/>
        <v>0</v>
      </c>
      <c r="R40" s="256">
        <f t="shared" si="13"/>
        <v>0</v>
      </c>
      <c r="S40" s="275">
        <f t="shared" si="14"/>
        <v>0</v>
      </c>
      <c r="T40" s="379">
        <f t="shared" si="15"/>
        <v>0</v>
      </c>
      <c r="U40" s="256">
        <f t="shared" si="16"/>
        <v>0</v>
      </c>
      <c r="V40" s="256">
        <f t="shared" si="17"/>
        <v>0</v>
      </c>
      <c r="W40" s="275">
        <f t="shared" si="18"/>
        <v>0</v>
      </c>
      <c r="X40" s="564">
        <f t="shared" si="62"/>
        <v>0</v>
      </c>
      <c r="Y40" s="256">
        <f t="shared" si="63"/>
        <v>0</v>
      </c>
      <c r="Z40" s="256">
        <f t="shared" si="19"/>
        <v>0</v>
      </c>
      <c r="AA40" s="256">
        <f t="shared" si="20"/>
        <v>0</v>
      </c>
      <c r="AB40" s="256">
        <f t="shared" si="21"/>
        <v>0</v>
      </c>
      <c r="AC40" s="256">
        <f t="shared" si="22"/>
        <v>0</v>
      </c>
      <c r="AD40" s="256">
        <f t="shared" si="23"/>
        <v>0</v>
      </c>
      <c r="AE40" s="256">
        <f t="shared" si="24"/>
        <v>0</v>
      </c>
      <c r="AF40" s="256">
        <f t="shared" si="25"/>
        <v>0</v>
      </c>
      <c r="AG40" s="256">
        <f t="shared" si="26"/>
        <v>0</v>
      </c>
      <c r="AH40" s="256">
        <f t="shared" si="27"/>
        <v>0</v>
      </c>
      <c r="AI40" s="256">
        <f t="shared" si="28"/>
        <v>0</v>
      </c>
      <c r="AJ40" s="256">
        <f t="shared" si="29"/>
        <v>0</v>
      </c>
      <c r="AK40" s="256">
        <f t="shared" si="30"/>
        <v>0</v>
      </c>
      <c r="AL40" s="256">
        <f t="shared" si="31"/>
        <v>0</v>
      </c>
      <c r="AM40" s="256">
        <f t="shared" si="32"/>
        <v>0</v>
      </c>
      <c r="AN40" s="256">
        <f t="shared" si="33"/>
        <v>0</v>
      </c>
      <c r="AO40" s="256">
        <f t="shared" si="34"/>
        <v>0</v>
      </c>
      <c r="AP40" s="256">
        <f t="shared" si="35"/>
        <v>0</v>
      </c>
      <c r="AQ40" s="256">
        <f t="shared" si="36"/>
        <v>0</v>
      </c>
      <c r="AR40" s="256">
        <f t="shared" si="37"/>
        <v>0</v>
      </c>
      <c r="AS40" s="256">
        <f t="shared" si="38"/>
        <v>0</v>
      </c>
      <c r="AT40" s="256">
        <f t="shared" si="39"/>
        <v>0</v>
      </c>
      <c r="AU40" s="256">
        <f t="shared" si="40"/>
        <v>0</v>
      </c>
      <c r="AV40" s="256">
        <f t="shared" si="41"/>
        <v>0</v>
      </c>
      <c r="AW40" s="256">
        <f t="shared" si="42"/>
        <v>0</v>
      </c>
      <c r="AX40" s="256">
        <f t="shared" si="43"/>
        <v>61961.760000000017</v>
      </c>
      <c r="AY40" s="256">
        <f t="shared" si="44"/>
        <v>0</v>
      </c>
      <c r="AZ40" s="256">
        <f t="shared" si="45"/>
        <v>0</v>
      </c>
      <c r="BA40" s="256">
        <f t="shared" si="46"/>
        <v>0</v>
      </c>
      <c r="BB40" s="256">
        <f t="shared" si="47"/>
        <v>0</v>
      </c>
      <c r="BC40" s="256">
        <f t="shared" si="48"/>
        <v>0</v>
      </c>
      <c r="BD40" s="256">
        <f t="shared" si="49"/>
        <v>0</v>
      </c>
      <c r="BE40" s="256">
        <f t="shared" si="50"/>
        <v>0</v>
      </c>
      <c r="BF40" s="256">
        <f t="shared" si="51"/>
        <v>0</v>
      </c>
      <c r="BG40" s="256">
        <f t="shared" si="52"/>
        <v>0</v>
      </c>
      <c r="BH40" s="256">
        <f t="shared" si="53"/>
        <v>0</v>
      </c>
      <c r="BI40" s="256">
        <f t="shared" si="54"/>
        <v>0</v>
      </c>
      <c r="BJ40" s="256">
        <f t="shared" si="55"/>
        <v>0</v>
      </c>
      <c r="BK40" s="256">
        <f t="shared" si="56"/>
        <v>0</v>
      </c>
      <c r="BL40" s="256">
        <f t="shared" si="57"/>
        <v>0</v>
      </c>
      <c r="BM40" s="256">
        <f t="shared" si="58"/>
        <v>0</v>
      </c>
      <c r="BN40" s="256">
        <f t="shared" si="59"/>
        <v>0</v>
      </c>
      <c r="BO40" s="399">
        <f t="shared" si="60"/>
        <v>0</v>
      </c>
    </row>
    <row r="41" spans="2:67" x14ac:dyDescent="0.2">
      <c r="B41" s="1056" t="s">
        <v>15</v>
      </c>
      <c r="C41" s="1056"/>
      <c r="D41" s="1056"/>
      <c r="E41" s="1056"/>
      <c r="F41" s="1056"/>
      <c r="G41" s="1056"/>
      <c r="H41" s="1056"/>
      <c r="I41" s="408">
        <f t="shared" si="61"/>
        <v>1620960</v>
      </c>
      <c r="J41" s="289"/>
      <c r="K41" s="256">
        <f t="shared" si="6"/>
        <v>0</v>
      </c>
      <c r="L41" s="256">
        <f t="shared" si="7"/>
        <v>14080</v>
      </c>
      <c r="M41" s="256">
        <f t="shared" si="8"/>
        <v>159632</v>
      </c>
      <c r="N41" s="256">
        <f t="shared" si="9"/>
        <v>0</v>
      </c>
      <c r="O41" s="562">
        <f t="shared" si="10"/>
        <v>0</v>
      </c>
      <c r="P41" s="379">
        <f t="shared" si="11"/>
        <v>0</v>
      </c>
      <c r="Q41" s="256">
        <f t="shared" si="12"/>
        <v>36960</v>
      </c>
      <c r="R41" s="256">
        <f t="shared" si="13"/>
        <v>0</v>
      </c>
      <c r="S41" s="275">
        <f t="shared" si="14"/>
        <v>0</v>
      </c>
      <c r="T41" s="379">
        <f t="shared" si="15"/>
        <v>0</v>
      </c>
      <c r="U41" s="256">
        <f t="shared" si="16"/>
        <v>0</v>
      </c>
      <c r="V41" s="256">
        <f t="shared" si="17"/>
        <v>61248</v>
      </c>
      <c r="W41" s="275">
        <f t="shared" si="18"/>
        <v>54912</v>
      </c>
      <c r="X41" s="564">
        <f t="shared" si="62"/>
        <v>0</v>
      </c>
      <c r="Y41" s="256">
        <f t="shared" si="63"/>
        <v>0</v>
      </c>
      <c r="Z41" s="256">
        <f t="shared" si="19"/>
        <v>0</v>
      </c>
      <c r="AA41" s="256">
        <f t="shared" si="20"/>
        <v>17600</v>
      </c>
      <c r="AB41" s="256">
        <f t="shared" si="21"/>
        <v>89584</v>
      </c>
      <c r="AC41" s="256">
        <f t="shared" si="22"/>
        <v>0</v>
      </c>
      <c r="AD41" s="256">
        <f t="shared" si="23"/>
        <v>0</v>
      </c>
      <c r="AE41" s="256">
        <f t="shared" si="24"/>
        <v>0</v>
      </c>
      <c r="AF41" s="256">
        <f t="shared" si="25"/>
        <v>0</v>
      </c>
      <c r="AG41" s="256">
        <f t="shared" si="26"/>
        <v>146608</v>
      </c>
      <c r="AH41" s="256">
        <f t="shared" si="27"/>
        <v>197296</v>
      </c>
      <c r="AI41" s="256">
        <f t="shared" si="28"/>
        <v>29920</v>
      </c>
      <c r="AJ41" s="256">
        <f t="shared" si="29"/>
        <v>0</v>
      </c>
      <c r="AK41" s="256">
        <f t="shared" si="30"/>
        <v>0</v>
      </c>
      <c r="AL41" s="256">
        <f t="shared" si="31"/>
        <v>138336</v>
      </c>
      <c r="AM41" s="256">
        <f t="shared" si="32"/>
        <v>0</v>
      </c>
      <c r="AN41" s="256">
        <f t="shared" si="33"/>
        <v>0</v>
      </c>
      <c r="AO41" s="256">
        <f t="shared" si="34"/>
        <v>0</v>
      </c>
      <c r="AP41" s="256">
        <f t="shared" si="35"/>
        <v>0</v>
      </c>
      <c r="AQ41" s="256">
        <f t="shared" si="36"/>
        <v>0</v>
      </c>
      <c r="AR41" s="256">
        <f t="shared" si="37"/>
        <v>0</v>
      </c>
      <c r="AS41" s="256">
        <f t="shared" si="38"/>
        <v>137280</v>
      </c>
      <c r="AT41" s="256">
        <f t="shared" si="39"/>
        <v>0</v>
      </c>
      <c r="AU41" s="256">
        <f t="shared" si="40"/>
        <v>136224</v>
      </c>
      <c r="AV41" s="256">
        <f t="shared" si="41"/>
        <v>0</v>
      </c>
      <c r="AW41" s="256">
        <f t="shared" si="42"/>
        <v>0</v>
      </c>
      <c r="AX41" s="256">
        <f t="shared" si="43"/>
        <v>0</v>
      </c>
      <c r="AY41" s="256">
        <f t="shared" si="44"/>
        <v>35200</v>
      </c>
      <c r="AZ41" s="256">
        <f t="shared" si="45"/>
        <v>62480</v>
      </c>
      <c r="BA41" s="256">
        <f t="shared" si="46"/>
        <v>0</v>
      </c>
      <c r="BB41" s="256">
        <f t="shared" si="47"/>
        <v>0</v>
      </c>
      <c r="BC41" s="256">
        <f t="shared" si="48"/>
        <v>0</v>
      </c>
      <c r="BD41" s="256">
        <f t="shared" si="49"/>
        <v>0</v>
      </c>
      <c r="BE41" s="256">
        <f t="shared" si="50"/>
        <v>0</v>
      </c>
      <c r="BF41" s="256">
        <f t="shared" si="51"/>
        <v>0</v>
      </c>
      <c r="BG41" s="256">
        <f t="shared" si="52"/>
        <v>0</v>
      </c>
      <c r="BH41" s="256">
        <f t="shared" si="53"/>
        <v>26400</v>
      </c>
      <c r="BI41" s="256">
        <f t="shared" si="54"/>
        <v>234432</v>
      </c>
      <c r="BJ41" s="256">
        <f t="shared" si="55"/>
        <v>0</v>
      </c>
      <c r="BK41" s="256">
        <f t="shared" si="56"/>
        <v>0</v>
      </c>
      <c r="BL41" s="256">
        <f t="shared" si="57"/>
        <v>5280</v>
      </c>
      <c r="BM41" s="256">
        <f t="shared" si="58"/>
        <v>211200</v>
      </c>
      <c r="BN41" s="256">
        <f t="shared" si="59"/>
        <v>0</v>
      </c>
      <c r="BO41" s="399">
        <f t="shared" si="60"/>
        <v>0</v>
      </c>
    </row>
    <row r="42" spans="2:67" x14ac:dyDescent="0.2">
      <c r="B42" s="1056" t="s">
        <v>514</v>
      </c>
      <c r="C42" s="1056"/>
      <c r="D42" s="1056"/>
      <c r="E42" s="1056"/>
      <c r="F42" s="1056"/>
      <c r="G42" s="1056"/>
      <c r="H42" s="1056"/>
      <c r="I42" s="408">
        <f t="shared" si="61"/>
        <v>15000</v>
      </c>
      <c r="J42" s="289"/>
      <c r="K42" s="256">
        <f t="shared" si="6"/>
        <v>0</v>
      </c>
      <c r="L42" s="256">
        <f t="shared" si="7"/>
        <v>0</v>
      </c>
      <c r="M42" s="256">
        <f t="shared" si="8"/>
        <v>0</v>
      </c>
      <c r="N42" s="256">
        <f t="shared" si="9"/>
        <v>0</v>
      </c>
      <c r="O42" s="562">
        <f t="shared" si="10"/>
        <v>0</v>
      </c>
      <c r="P42" s="379">
        <f t="shared" si="11"/>
        <v>0</v>
      </c>
      <c r="Q42" s="256">
        <f t="shared" si="12"/>
        <v>0</v>
      </c>
      <c r="R42" s="256">
        <f t="shared" si="13"/>
        <v>0</v>
      </c>
      <c r="S42" s="275">
        <f t="shared" si="14"/>
        <v>0</v>
      </c>
      <c r="T42" s="379">
        <f t="shared" si="15"/>
        <v>0</v>
      </c>
      <c r="U42" s="256">
        <f t="shared" si="16"/>
        <v>0</v>
      </c>
      <c r="V42" s="256">
        <f t="shared" si="17"/>
        <v>0</v>
      </c>
      <c r="W42" s="275">
        <f t="shared" si="18"/>
        <v>0</v>
      </c>
      <c r="X42" s="564">
        <f t="shared" si="62"/>
        <v>0</v>
      </c>
      <c r="Y42" s="256">
        <f t="shared" si="63"/>
        <v>0</v>
      </c>
      <c r="Z42" s="256">
        <f t="shared" si="19"/>
        <v>0</v>
      </c>
      <c r="AA42" s="256">
        <f t="shared" si="20"/>
        <v>0</v>
      </c>
      <c r="AB42" s="256">
        <f t="shared" si="21"/>
        <v>0</v>
      </c>
      <c r="AC42" s="256">
        <f t="shared" si="22"/>
        <v>0</v>
      </c>
      <c r="AD42" s="256">
        <f t="shared" si="23"/>
        <v>0</v>
      </c>
      <c r="AE42" s="256">
        <f t="shared" si="24"/>
        <v>0</v>
      </c>
      <c r="AF42" s="256">
        <f t="shared" si="25"/>
        <v>0</v>
      </c>
      <c r="AG42" s="256">
        <f t="shared" si="26"/>
        <v>0</v>
      </c>
      <c r="AH42" s="256">
        <f t="shared" si="27"/>
        <v>0</v>
      </c>
      <c r="AI42" s="256">
        <f t="shared" si="28"/>
        <v>0</v>
      </c>
      <c r="AJ42" s="256">
        <f t="shared" si="29"/>
        <v>0</v>
      </c>
      <c r="AK42" s="256">
        <f t="shared" si="30"/>
        <v>0</v>
      </c>
      <c r="AL42" s="256">
        <f t="shared" si="31"/>
        <v>0</v>
      </c>
      <c r="AM42" s="256">
        <f t="shared" si="32"/>
        <v>0</v>
      </c>
      <c r="AN42" s="256">
        <f t="shared" si="33"/>
        <v>0</v>
      </c>
      <c r="AO42" s="256">
        <f t="shared" si="34"/>
        <v>0</v>
      </c>
      <c r="AP42" s="256">
        <f t="shared" si="35"/>
        <v>0</v>
      </c>
      <c r="AQ42" s="256">
        <f t="shared" si="36"/>
        <v>15000</v>
      </c>
      <c r="AR42" s="256">
        <f t="shared" si="37"/>
        <v>0</v>
      </c>
      <c r="AS42" s="256">
        <f t="shared" si="38"/>
        <v>0</v>
      </c>
      <c r="AT42" s="256">
        <f t="shared" si="39"/>
        <v>0</v>
      </c>
      <c r="AU42" s="256">
        <f t="shared" si="40"/>
        <v>0</v>
      </c>
      <c r="AV42" s="256">
        <f t="shared" si="41"/>
        <v>0</v>
      </c>
      <c r="AW42" s="256">
        <f t="shared" si="42"/>
        <v>0</v>
      </c>
      <c r="AX42" s="256">
        <f t="shared" si="43"/>
        <v>0</v>
      </c>
      <c r="AY42" s="256">
        <f t="shared" si="44"/>
        <v>0</v>
      </c>
      <c r="AZ42" s="256">
        <f t="shared" si="45"/>
        <v>0</v>
      </c>
      <c r="BA42" s="256">
        <f t="shared" si="46"/>
        <v>0</v>
      </c>
      <c r="BB42" s="256">
        <f t="shared" si="47"/>
        <v>0</v>
      </c>
      <c r="BC42" s="256">
        <f t="shared" si="48"/>
        <v>0</v>
      </c>
      <c r="BD42" s="256">
        <f t="shared" si="49"/>
        <v>0</v>
      </c>
      <c r="BE42" s="256">
        <f t="shared" si="50"/>
        <v>0</v>
      </c>
      <c r="BF42" s="256">
        <f t="shared" si="51"/>
        <v>0</v>
      </c>
      <c r="BG42" s="256">
        <f t="shared" si="52"/>
        <v>0</v>
      </c>
      <c r="BH42" s="256">
        <f t="shared" si="53"/>
        <v>0</v>
      </c>
      <c r="BI42" s="256">
        <f t="shared" si="54"/>
        <v>0</v>
      </c>
      <c r="BJ42" s="256">
        <f t="shared" si="55"/>
        <v>0</v>
      </c>
      <c r="BK42" s="256">
        <f t="shared" si="56"/>
        <v>0</v>
      </c>
      <c r="BL42" s="256">
        <f t="shared" si="57"/>
        <v>0</v>
      </c>
      <c r="BM42" s="256">
        <f t="shared" si="58"/>
        <v>0</v>
      </c>
      <c r="BN42" s="256">
        <f t="shared" si="59"/>
        <v>0</v>
      </c>
      <c r="BO42" s="399">
        <f t="shared" si="60"/>
        <v>0</v>
      </c>
    </row>
    <row r="43" spans="2:67" x14ac:dyDescent="0.2">
      <c r="B43" s="1056" t="s">
        <v>515</v>
      </c>
      <c r="C43" s="1056"/>
      <c r="D43" s="1056"/>
      <c r="E43" s="1056"/>
      <c r="F43" s="1056"/>
      <c r="G43" s="1056"/>
      <c r="H43" s="1056"/>
      <c r="I43" s="408">
        <f t="shared" si="61"/>
        <v>766292.67</v>
      </c>
      <c r="J43" s="289"/>
      <c r="K43" s="256">
        <f t="shared" si="6"/>
        <v>0</v>
      </c>
      <c r="L43" s="256">
        <f t="shared" si="7"/>
        <v>0</v>
      </c>
      <c r="M43" s="256">
        <f t="shared" si="8"/>
        <v>0</v>
      </c>
      <c r="N43" s="256">
        <f t="shared" si="9"/>
        <v>0</v>
      </c>
      <c r="O43" s="562">
        <f t="shared" si="10"/>
        <v>0</v>
      </c>
      <c r="P43" s="379">
        <f t="shared" si="11"/>
        <v>0</v>
      </c>
      <c r="Q43" s="256">
        <f t="shared" si="12"/>
        <v>0</v>
      </c>
      <c r="R43" s="256">
        <f t="shared" si="13"/>
        <v>0</v>
      </c>
      <c r="S43" s="275">
        <f t="shared" si="14"/>
        <v>0</v>
      </c>
      <c r="T43" s="379">
        <f t="shared" si="15"/>
        <v>0</v>
      </c>
      <c r="U43" s="256">
        <f t="shared" si="16"/>
        <v>60879</v>
      </c>
      <c r="V43" s="256">
        <f t="shared" si="17"/>
        <v>0</v>
      </c>
      <c r="W43" s="275">
        <f t="shared" si="18"/>
        <v>68880.240000000005</v>
      </c>
      <c r="X43" s="564">
        <f t="shared" si="62"/>
        <v>0</v>
      </c>
      <c r="Y43" s="256">
        <f t="shared" si="63"/>
        <v>0</v>
      </c>
      <c r="Z43" s="256">
        <f t="shared" si="19"/>
        <v>0</v>
      </c>
      <c r="AA43" s="256">
        <f t="shared" si="20"/>
        <v>42441.36</v>
      </c>
      <c r="AB43" s="256">
        <f t="shared" si="21"/>
        <v>0</v>
      </c>
      <c r="AC43" s="256">
        <f t="shared" si="22"/>
        <v>0</v>
      </c>
      <c r="AD43" s="256">
        <f t="shared" si="23"/>
        <v>0</v>
      </c>
      <c r="AE43" s="256">
        <f t="shared" si="24"/>
        <v>0</v>
      </c>
      <c r="AF43" s="256">
        <f t="shared" si="25"/>
        <v>52182</v>
      </c>
      <c r="AG43" s="256">
        <f t="shared" si="26"/>
        <v>50790.479999999996</v>
      </c>
      <c r="AH43" s="256">
        <f t="shared" si="27"/>
        <v>0</v>
      </c>
      <c r="AI43" s="256">
        <f t="shared" si="28"/>
        <v>0</v>
      </c>
      <c r="AJ43" s="256">
        <f t="shared" si="29"/>
        <v>0</v>
      </c>
      <c r="AK43" s="256">
        <f t="shared" si="30"/>
        <v>0</v>
      </c>
      <c r="AL43" s="256">
        <f t="shared" si="31"/>
        <v>0</v>
      </c>
      <c r="AM43" s="256">
        <f t="shared" si="32"/>
        <v>0</v>
      </c>
      <c r="AN43" s="256">
        <f t="shared" si="33"/>
        <v>0</v>
      </c>
      <c r="AO43" s="256">
        <f t="shared" si="34"/>
        <v>0</v>
      </c>
      <c r="AP43" s="256">
        <f t="shared" si="35"/>
        <v>0</v>
      </c>
      <c r="AQ43" s="256">
        <f t="shared" si="36"/>
        <v>0</v>
      </c>
      <c r="AR43" s="256">
        <f t="shared" si="37"/>
        <v>0</v>
      </c>
      <c r="AS43" s="256">
        <f t="shared" si="38"/>
        <v>30439.5</v>
      </c>
      <c r="AT43" s="256">
        <f t="shared" si="39"/>
        <v>56704.44</v>
      </c>
      <c r="AU43" s="256">
        <f t="shared" si="40"/>
        <v>100015.5</v>
      </c>
      <c r="AV43" s="256">
        <f t="shared" si="41"/>
        <v>0</v>
      </c>
      <c r="AW43" s="256">
        <f t="shared" si="42"/>
        <v>0</v>
      </c>
      <c r="AX43" s="256">
        <f t="shared" si="43"/>
        <v>0</v>
      </c>
      <c r="AY43" s="256">
        <f t="shared" si="44"/>
        <v>34788</v>
      </c>
      <c r="AZ43" s="256">
        <f t="shared" si="45"/>
        <v>34092.239999999998</v>
      </c>
      <c r="BA43" s="256">
        <f t="shared" si="46"/>
        <v>0</v>
      </c>
      <c r="BB43" s="256">
        <f t="shared" si="47"/>
        <v>0</v>
      </c>
      <c r="BC43" s="256">
        <f t="shared" si="48"/>
        <v>0</v>
      </c>
      <c r="BD43" s="256">
        <f t="shared" si="49"/>
        <v>0</v>
      </c>
      <c r="BE43" s="256">
        <f t="shared" si="50"/>
        <v>104624.91</v>
      </c>
      <c r="BF43" s="256">
        <f t="shared" si="51"/>
        <v>0</v>
      </c>
      <c r="BG43" s="256">
        <f t="shared" si="52"/>
        <v>0</v>
      </c>
      <c r="BH43" s="256">
        <f t="shared" si="53"/>
        <v>0</v>
      </c>
      <c r="BI43" s="256">
        <f t="shared" si="54"/>
        <v>65227.5</v>
      </c>
      <c r="BJ43" s="256">
        <f t="shared" si="55"/>
        <v>0</v>
      </c>
      <c r="BK43" s="256">
        <f t="shared" si="56"/>
        <v>0</v>
      </c>
      <c r="BL43" s="256">
        <f t="shared" si="57"/>
        <v>0</v>
      </c>
      <c r="BM43" s="256">
        <f t="shared" si="58"/>
        <v>52182</v>
      </c>
      <c r="BN43" s="256">
        <f t="shared" si="59"/>
        <v>13045.5</v>
      </c>
      <c r="BO43" s="399">
        <f t="shared" si="60"/>
        <v>0</v>
      </c>
    </row>
    <row r="44" spans="2:67" x14ac:dyDescent="0.2">
      <c r="B44" s="1056" t="s">
        <v>34</v>
      </c>
      <c r="C44" s="1056"/>
      <c r="D44" s="1056"/>
      <c r="E44" s="1056"/>
      <c r="F44" s="1056"/>
      <c r="G44" s="1056"/>
      <c r="H44" s="1056"/>
      <c r="I44" s="408">
        <f t="shared" si="61"/>
        <v>308225</v>
      </c>
      <c r="J44" s="289"/>
      <c r="K44" s="256">
        <f t="shared" si="6"/>
        <v>0</v>
      </c>
      <c r="L44" s="256">
        <f t="shared" si="7"/>
        <v>18225</v>
      </c>
      <c r="M44" s="256">
        <f t="shared" si="8"/>
        <v>0</v>
      </c>
      <c r="N44" s="256">
        <f t="shared" si="9"/>
        <v>0</v>
      </c>
      <c r="O44" s="562">
        <f t="shared" si="10"/>
        <v>0</v>
      </c>
      <c r="P44" s="379">
        <f t="shared" si="11"/>
        <v>54025</v>
      </c>
      <c r="Q44" s="256">
        <f t="shared" si="12"/>
        <v>16075</v>
      </c>
      <c r="R44" s="256">
        <f t="shared" si="13"/>
        <v>0</v>
      </c>
      <c r="S44" s="275">
        <f t="shared" si="14"/>
        <v>0</v>
      </c>
      <c r="T44" s="379">
        <f t="shared" si="15"/>
        <v>15000</v>
      </c>
      <c r="U44" s="256">
        <f t="shared" si="16"/>
        <v>0</v>
      </c>
      <c r="V44" s="256">
        <f t="shared" si="17"/>
        <v>0</v>
      </c>
      <c r="W44" s="275">
        <f t="shared" si="18"/>
        <v>5000</v>
      </c>
      <c r="X44" s="564">
        <f t="shared" si="62"/>
        <v>2950</v>
      </c>
      <c r="Y44" s="256">
        <f t="shared" si="63"/>
        <v>0</v>
      </c>
      <c r="Z44" s="256">
        <f t="shared" si="19"/>
        <v>0</v>
      </c>
      <c r="AA44" s="256">
        <f t="shared" si="20"/>
        <v>0</v>
      </c>
      <c r="AB44" s="256">
        <f t="shared" si="21"/>
        <v>2050</v>
      </c>
      <c r="AC44" s="256">
        <f t="shared" si="22"/>
        <v>4100</v>
      </c>
      <c r="AD44" s="256">
        <f t="shared" si="23"/>
        <v>0</v>
      </c>
      <c r="AE44" s="256">
        <f t="shared" si="24"/>
        <v>16525</v>
      </c>
      <c r="AF44" s="256">
        <f t="shared" si="25"/>
        <v>0</v>
      </c>
      <c r="AG44" s="256">
        <f t="shared" si="26"/>
        <v>0</v>
      </c>
      <c r="AH44" s="256">
        <f t="shared" si="27"/>
        <v>0</v>
      </c>
      <c r="AI44" s="256">
        <f t="shared" si="28"/>
        <v>30000</v>
      </c>
      <c r="AJ44" s="256">
        <f t="shared" si="29"/>
        <v>0</v>
      </c>
      <c r="AK44" s="256">
        <f t="shared" si="30"/>
        <v>0</v>
      </c>
      <c r="AL44" s="256">
        <f t="shared" si="31"/>
        <v>0</v>
      </c>
      <c r="AM44" s="256">
        <f t="shared" si="32"/>
        <v>0</v>
      </c>
      <c r="AN44" s="256">
        <f t="shared" si="33"/>
        <v>0</v>
      </c>
      <c r="AO44" s="256">
        <f t="shared" si="34"/>
        <v>41250</v>
      </c>
      <c r="AP44" s="256">
        <f t="shared" si="35"/>
        <v>6250</v>
      </c>
      <c r="AQ44" s="256">
        <f t="shared" si="36"/>
        <v>5000</v>
      </c>
      <c r="AR44" s="256">
        <f t="shared" si="37"/>
        <v>0</v>
      </c>
      <c r="AS44" s="256">
        <f t="shared" si="38"/>
        <v>15000</v>
      </c>
      <c r="AT44" s="256">
        <f t="shared" si="39"/>
        <v>0</v>
      </c>
      <c r="AU44" s="256">
        <f t="shared" si="40"/>
        <v>0</v>
      </c>
      <c r="AV44" s="256">
        <f t="shared" si="41"/>
        <v>0</v>
      </c>
      <c r="AW44" s="256">
        <f t="shared" si="42"/>
        <v>0</v>
      </c>
      <c r="AX44" s="256">
        <f t="shared" si="43"/>
        <v>10000</v>
      </c>
      <c r="AY44" s="256">
        <f t="shared" si="44"/>
        <v>0</v>
      </c>
      <c r="AZ44" s="256">
        <f t="shared" si="45"/>
        <v>0</v>
      </c>
      <c r="BA44" s="256">
        <f t="shared" si="46"/>
        <v>22500</v>
      </c>
      <c r="BB44" s="256">
        <f t="shared" si="47"/>
        <v>0</v>
      </c>
      <c r="BC44" s="256">
        <f t="shared" si="48"/>
        <v>0</v>
      </c>
      <c r="BD44" s="256">
        <f t="shared" si="49"/>
        <v>15000</v>
      </c>
      <c r="BE44" s="256">
        <f t="shared" si="50"/>
        <v>0</v>
      </c>
      <c r="BF44" s="256">
        <f t="shared" si="51"/>
        <v>0</v>
      </c>
      <c r="BG44" s="256">
        <f t="shared" si="52"/>
        <v>0</v>
      </c>
      <c r="BH44" s="256">
        <f t="shared" si="53"/>
        <v>0</v>
      </c>
      <c r="BI44" s="256">
        <f t="shared" si="54"/>
        <v>0</v>
      </c>
      <c r="BJ44" s="256">
        <f t="shared" si="55"/>
        <v>0</v>
      </c>
      <c r="BK44" s="256">
        <f t="shared" si="56"/>
        <v>0</v>
      </c>
      <c r="BL44" s="256">
        <f t="shared" si="57"/>
        <v>0</v>
      </c>
      <c r="BM44" s="256">
        <f t="shared" si="58"/>
        <v>0</v>
      </c>
      <c r="BN44" s="256">
        <f t="shared" si="59"/>
        <v>10000</v>
      </c>
      <c r="BO44" s="399">
        <f t="shared" si="60"/>
        <v>37500</v>
      </c>
    </row>
    <row r="45" spans="2:67" x14ac:dyDescent="0.2">
      <c r="B45" s="1056" t="s">
        <v>468</v>
      </c>
      <c r="C45" s="1056"/>
      <c r="D45" s="1056"/>
      <c r="E45" s="1056"/>
      <c r="F45" s="1056"/>
      <c r="G45" s="1056"/>
      <c r="H45" s="1056"/>
      <c r="I45" s="408">
        <f t="shared" si="61"/>
        <v>58309.2</v>
      </c>
      <c r="J45" s="289"/>
      <c r="K45" s="256">
        <f t="shared" si="6"/>
        <v>0</v>
      </c>
      <c r="L45" s="256">
        <f t="shared" si="7"/>
        <v>0</v>
      </c>
      <c r="M45" s="256">
        <f t="shared" si="8"/>
        <v>0</v>
      </c>
      <c r="N45" s="256">
        <f t="shared" si="9"/>
        <v>0</v>
      </c>
      <c r="O45" s="562">
        <f t="shared" si="10"/>
        <v>0</v>
      </c>
      <c r="P45" s="379">
        <f t="shared" si="11"/>
        <v>0</v>
      </c>
      <c r="Q45" s="256">
        <f t="shared" si="12"/>
        <v>0</v>
      </c>
      <c r="R45" s="256">
        <f t="shared" si="13"/>
        <v>0</v>
      </c>
      <c r="S45" s="275">
        <f t="shared" si="14"/>
        <v>0</v>
      </c>
      <c r="T45" s="379">
        <f t="shared" si="15"/>
        <v>0</v>
      </c>
      <c r="U45" s="256">
        <f t="shared" si="16"/>
        <v>0</v>
      </c>
      <c r="V45" s="256">
        <f t="shared" si="17"/>
        <v>0</v>
      </c>
      <c r="W45" s="275">
        <f t="shared" si="18"/>
        <v>0</v>
      </c>
      <c r="X45" s="564">
        <f t="shared" si="62"/>
        <v>0</v>
      </c>
      <c r="Y45" s="256">
        <f t="shared" si="63"/>
        <v>10798</v>
      </c>
      <c r="Z45" s="256">
        <f t="shared" si="19"/>
        <v>15117.2</v>
      </c>
      <c r="AA45" s="256">
        <f t="shared" si="20"/>
        <v>0</v>
      </c>
      <c r="AB45" s="256">
        <f t="shared" si="21"/>
        <v>0</v>
      </c>
      <c r="AC45" s="256">
        <f t="shared" si="22"/>
        <v>0</v>
      </c>
      <c r="AD45" s="256">
        <f t="shared" si="23"/>
        <v>0</v>
      </c>
      <c r="AE45" s="256">
        <f t="shared" si="24"/>
        <v>0</v>
      </c>
      <c r="AF45" s="256">
        <f t="shared" si="25"/>
        <v>0</v>
      </c>
      <c r="AG45" s="256">
        <f t="shared" si="26"/>
        <v>0</v>
      </c>
      <c r="AH45" s="256">
        <f t="shared" si="27"/>
        <v>0</v>
      </c>
      <c r="AI45" s="256">
        <f t="shared" si="28"/>
        <v>0</v>
      </c>
      <c r="AJ45" s="256">
        <f t="shared" si="29"/>
        <v>0</v>
      </c>
      <c r="AK45" s="256">
        <f t="shared" si="30"/>
        <v>0</v>
      </c>
      <c r="AL45" s="256">
        <f t="shared" si="31"/>
        <v>0</v>
      </c>
      <c r="AM45" s="256">
        <f t="shared" si="32"/>
        <v>0</v>
      </c>
      <c r="AN45" s="256">
        <f t="shared" si="33"/>
        <v>0</v>
      </c>
      <c r="AO45" s="256">
        <f t="shared" si="34"/>
        <v>0</v>
      </c>
      <c r="AP45" s="256">
        <f t="shared" si="35"/>
        <v>0</v>
      </c>
      <c r="AQ45" s="256">
        <f t="shared" si="36"/>
        <v>0</v>
      </c>
      <c r="AR45" s="256">
        <f t="shared" si="37"/>
        <v>0</v>
      </c>
      <c r="AS45" s="256">
        <f t="shared" si="38"/>
        <v>0</v>
      </c>
      <c r="AT45" s="256">
        <f t="shared" si="39"/>
        <v>0</v>
      </c>
      <c r="AU45" s="256">
        <f t="shared" si="40"/>
        <v>0</v>
      </c>
      <c r="AV45" s="256">
        <f t="shared" si="41"/>
        <v>0</v>
      </c>
      <c r="AW45" s="256">
        <f t="shared" si="42"/>
        <v>0</v>
      </c>
      <c r="AX45" s="256">
        <f t="shared" si="43"/>
        <v>0</v>
      </c>
      <c r="AY45" s="256">
        <f t="shared" si="44"/>
        <v>0</v>
      </c>
      <c r="AZ45" s="256">
        <f t="shared" si="45"/>
        <v>0</v>
      </c>
      <c r="BA45" s="256">
        <f t="shared" si="46"/>
        <v>0</v>
      </c>
      <c r="BB45" s="256">
        <f t="shared" si="47"/>
        <v>0</v>
      </c>
      <c r="BC45" s="256">
        <f t="shared" si="48"/>
        <v>0</v>
      </c>
      <c r="BD45" s="256">
        <f t="shared" si="49"/>
        <v>0</v>
      </c>
      <c r="BE45" s="256">
        <f t="shared" si="50"/>
        <v>32394</v>
      </c>
      <c r="BF45" s="256">
        <f t="shared" si="51"/>
        <v>0</v>
      </c>
      <c r="BG45" s="256">
        <f t="shared" si="52"/>
        <v>0</v>
      </c>
      <c r="BH45" s="256">
        <f t="shared" si="53"/>
        <v>0</v>
      </c>
      <c r="BI45" s="256">
        <f t="shared" si="54"/>
        <v>0</v>
      </c>
      <c r="BJ45" s="256">
        <f t="shared" si="55"/>
        <v>0</v>
      </c>
      <c r="BK45" s="256">
        <f t="shared" si="56"/>
        <v>0</v>
      </c>
      <c r="BL45" s="256">
        <f t="shared" si="57"/>
        <v>0</v>
      </c>
      <c r="BM45" s="256">
        <f t="shared" si="58"/>
        <v>0</v>
      </c>
      <c r="BN45" s="256">
        <f t="shared" si="59"/>
        <v>0</v>
      </c>
      <c r="BO45" s="399">
        <f t="shared" si="60"/>
        <v>0</v>
      </c>
    </row>
    <row r="46" spans="2:67" x14ac:dyDescent="0.2">
      <c r="B46" s="1056" t="s">
        <v>469</v>
      </c>
      <c r="C46" s="1056"/>
      <c r="D46" s="1056"/>
      <c r="E46" s="1056"/>
      <c r="F46" s="1056"/>
      <c r="G46" s="1056"/>
      <c r="H46" s="1056"/>
      <c r="I46" s="408">
        <f t="shared" si="61"/>
        <v>66120.000000000015</v>
      </c>
      <c r="J46" s="289"/>
      <c r="K46" s="256">
        <f t="shared" si="6"/>
        <v>0</v>
      </c>
      <c r="L46" s="256">
        <f t="shared" si="7"/>
        <v>0</v>
      </c>
      <c r="M46" s="256">
        <f t="shared" si="8"/>
        <v>0</v>
      </c>
      <c r="N46" s="256">
        <f t="shared" si="9"/>
        <v>0</v>
      </c>
      <c r="O46" s="562">
        <f t="shared" si="10"/>
        <v>0</v>
      </c>
      <c r="P46" s="379">
        <f t="shared" si="11"/>
        <v>0</v>
      </c>
      <c r="Q46" s="256">
        <f t="shared" si="12"/>
        <v>0</v>
      </c>
      <c r="R46" s="256">
        <f t="shared" si="13"/>
        <v>0</v>
      </c>
      <c r="S46" s="275">
        <f t="shared" si="14"/>
        <v>0</v>
      </c>
      <c r="T46" s="379">
        <f t="shared" si="15"/>
        <v>0</v>
      </c>
      <c r="U46" s="256">
        <f t="shared" si="16"/>
        <v>0</v>
      </c>
      <c r="V46" s="256">
        <f t="shared" si="17"/>
        <v>0</v>
      </c>
      <c r="W46" s="275">
        <f t="shared" si="18"/>
        <v>0</v>
      </c>
      <c r="X46" s="564">
        <f t="shared" si="62"/>
        <v>0</v>
      </c>
      <c r="Y46" s="256">
        <f t="shared" si="63"/>
        <v>0</v>
      </c>
      <c r="Z46" s="256">
        <f t="shared" si="19"/>
        <v>33060.000000000007</v>
      </c>
      <c r="AA46" s="256">
        <f t="shared" si="20"/>
        <v>0</v>
      </c>
      <c r="AB46" s="256">
        <f t="shared" si="21"/>
        <v>0</v>
      </c>
      <c r="AC46" s="256">
        <f t="shared" si="22"/>
        <v>0</v>
      </c>
      <c r="AD46" s="256">
        <f t="shared" si="23"/>
        <v>0</v>
      </c>
      <c r="AE46" s="256">
        <f t="shared" si="24"/>
        <v>0</v>
      </c>
      <c r="AF46" s="256">
        <f t="shared" si="25"/>
        <v>0</v>
      </c>
      <c r="AG46" s="256">
        <f t="shared" si="26"/>
        <v>0</v>
      </c>
      <c r="AH46" s="256">
        <f t="shared" si="27"/>
        <v>0</v>
      </c>
      <c r="AI46" s="256">
        <f t="shared" si="28"/>
        <v>0</v>
      </c>
      <c r="AJ46" s="256">
        <f t="shared" si="29"/>
        <v>0</v>
      </c>
      <c r="AK46" s="256">
        <f t="shared" si="30"/>
        <v>0</v>
      </c>
      <c r="AL46" s="256">
        <f t="shared" si="31"/>
        <v>0</v>
      </c>
      <c r="AM46" s="256">
        <f t="shared" si="32"/>
        <v>0</v>
      </c>
      <c r="AN46" s="256">
        <f t="shared" si="33"/>
        <v>0</v>
      </c>
      <c r="AO46" s="256">
        <f t="shared" si="34"/>
        <v>0</v>
      </c>
      <c r="AP46" s="256">
        <f t="shared" si="35"/>
        <v>0</v>
      </c>
      <c r="AQ46" s="256">
        <f t="shared" si="36"/>
        <v>0</v>
      </c>
      <c r="AR46" s="256">
        <f t="shared" si="37"/>
        <v>0</v>
      </c>
      <c r="AS46" s="256">
        <f t="shared" si="38"/>
        <v>0</v>
      </c>
      <c r="AT46" s="256">
        <f t="shared" si="39"/>
        <v>0</v>
      </c>
      <c r="AU46" s="256">
        <f t="shared" si="40"/>
        <v>0</v>
      </c>
      <c r="AV46" s="256">
        <f t="shared" si="41"/>
        <v>0</v>
      </c>
      <c r="AW46" s="256">
        <f t="shared" si="42"/>
        <v>0</v>
      </c>
      <c r="AX46" s="256">
        <f t="shared" si="43"/>
        <v>0</v>
      </c>
      <c r="AY46" s="256">
        <f t="shared" si="44"/>
        <v>0</v>
      </c>
      <c r="AZ46" s="256">
        <f t="shared" si="45"/>
        <v>0</v>
      </c>
      <c r="BA46" s="256">
        <f t="shared" si="46"/>
        <v>0</v>
      </c>
      <c r="BB46" s="256">
        <f t="shared" si="47"/>
        <v>33060.000000000007</v>
      </c>
      <c r="BC46" s="256">
        <f t="shared" si="48"/>
        <v>0</v>
      </c>
      <c r="BD46" s="256">
        <f t="shared" si="49"/>
        <v>0</v>
      </c>
      <c r="BE46" s="256">
        <f t="shared" si="50"/>
        <v>0</v>
      </c>
      <c r="BF46" s="256">
        <f t="shared" si="51"/>
        <v>0</v>
      </c>
      <c r="BG46" s="256">
        <f t="shared" si="52"/>
        <v>0</v>
      </c>
      <c r="BH46" s="256">
        <f t="shared" si="53"/>
        <v>0</v>
      </c>
      <c r="BI46" s="256">
        <f t="shared" si="54"/>
        <v>0</v>
      </c>
      <c r="BJ46" s="256">
        <f t="shared" si="55"/>
        <v>0</v>
      </c>
      <c r="BK46" s="256">
        <f t="shared" si="56"/>
        <v>0</v>
      </c>
      <c r="BL46" s="256">
        <f t="shared" si="57"/>
        <v>0</v>
      </c>
      <c r="BM46" s="256">
        <f t="shared" si="58"/>
        <v>0</v>
      </c>
      <c r="BN46" s="256">
        <f t="shared" si="59"/>
        <v>0</v>
      </c>
      <c r="BO46" s="399">
        <f t="shared" si="60"/>
        <v>0</v>
      </c>
    </row>
    <row r="47" spans="2:67" x14ac:dyDescent="0.2">
      <c r="B47" s="1056" t="s">
        <v>224</v>
      </c>
      <c r="C47" s="1056"/>
      <c r="D47" s="1056"/>
      <c r="E47" s="1056"/>
      <c r="F47" s="1056"/>
      <c r="G47" s="1056"/>
      <c r="H47" s="1056"/>
      <c r="I47" s="408">
        <f t="shared" si="61"/>
        <v>115000</v>
      </c>
      <c r="J47" s="289"/>
      <c r="K47" s="256">
        <f t="shared" si="6"/>
        <v>0</v>
      </c>
      <c r="L47" s="256">
        <f t="shared" si="7"/>
        <v>0</v>
      </c>
      <c r="M47" s="256">
        <f t="shared" si="8"/>
        <v>0</v>
      </c>
      <c r="N47" s="256">
        <f t="shared" si="9"/>
        <v>0</v>
      </c>
      <c r="O47" s="562">
        <f t="shared" si="10"/>
        <v>0</v>
      </c>
      <c r="P47" s="379">
        <f t="shared" si="11"/>
        <v>0</v>
      </c>
      <c r="Q47" s="256">
        <f t="shared" si="12"/>
        <v>0</v>
      </c>
      <c r="R47" s="256">
        <f>+R22*I22</f>
        <v>0</v>
      </c>
      <c r="S47" s="275">
        <f t="shared" si="14"/>
        <v>0</v>
      </c>
      <c r="T47" s="379">
        <f t="shared" si="15"/>
        <v>0</v>
      </c>
      <c r="U47" s="256">
        <f t="shared" si="16"/>
        <v>0</v>
      </c>
      <c r="V47" s="256">
        <f t="shared" si="17"/>
        <v>0</v>
      </c>
      <c r="W47" s="275">
        <f t="shared" si="18"/>
        <v>0</v>
      </c>
      <c r="X47" s="564">
        <f t="shared" si="62"/>
        <v>0</v>
      </c>
      <c r="Y47" s="256">
        <f t="shared" si="63"/>
        <v>0</v>
      </c>
      <c r="Z47" s="256">
        <f t="shared" si="19"/>
        <v>0</v>
      </c>
      <c r="AA47" s="256">
        <f t="shared" si="20"/>
        <v>0</v>
      </c>
      <c r="AB47" s="256">
        <f t="shared" si="21"/>
        <v>0</v>
      </c>
      <c r="AC47" s="256">
        <f t="shared" si="22"/>
        <v>0</v>
      </c>
      <c r="AD47" s="256">
        <f t="shared" si="23"/>
        <v>0</v>
      </c>
      <c r="AE47" s="256">
        <f t="shared" si="24"/>
        <v>0</v>
      </c>
      <c r="AF47" s="256">
        <f t="shared" si="25"/>
        <v>0</v>
      </c>
      <c r="AG47" s="256">
        <f t="shared" si="26"/>
        <v>0</v>
      </c>
      <c r="AH47" s="256">
        <f t="shared" si="27"/>
        <v>0</v>
      </c>
      <c r="AI47" s="256">
        <f t="shared" si="28"/>
        <v>0</v>
      </c>
      <c r="AJ47" s="256">
        <f t="shared" si="29"/>
        <v>0</v>
      </c>
      <c r="AK47" s="256">
        <f t="shared" si="30"/>
        <v>0</v>
      </c>
      <c r="AL47" s="256">
        <f t="shared" si="31"/>
        <v>0</v>
      </c>
      <c r="AM47" s="256">
        <f t="shared" si="32"/>
        <v>0</v>
      </c>
      <c r="AN47" s="256">
        <f t="shared" si="33"/>
        <v>0</v>
      </c>
      <c r="AO47" s="256">
        <f t="shared" si="34"/>
        <v>0</v>
      </c>
      <c r="AP47" s="256">
        <f t="shared" si="35"/>
        <v>0</v>
      </c>
      <c r="AQ47" s="256">
        <f t="shared" si="36"/>
        <v>0</v>
      </c>
      <c r="AR47" s="256">
        <f t="shared" si="37"/>
        <v>0</v>
      </c>
      <c r="AS47" s="256">
        <f t="shared" si="38"/>
        <v>0</v>
      </c>
      <c r="AT47" s="256">
        <f t="shared" si="39"/>
        <v>0</v>
      </c>
      <c r="AU47" s="256">
        <f t="shared" si="40"/>
        <v>0</v>
      </c>
      <c r="AV47" s="256">
        <f t="shared" si="41"/>
        <v>0</v>
      </c>
      <c r="AW47" s="256">
        <f t="shared" si="42"/>
        <v>0</v>
      </c>
      <c r="AX47" s="256">
        <f t="shared" si="43"/>
        <v>0</v>
      </c>
      <c r="AY47" s="256">
        <f t="shared" si="44"/>
        <v>0</v>
      </c>
      <c r="AZ47" s="256">
        <f t="shared" si="45"/>
        <v>0</v>
      </c>
      <c r="BA47" s="256">
        <f t="shared" si="46"/>
        <v>0</v>
      </c>
      <c r="BB47" s="256">
        <f t="shared" si="47"/>
        <v>0</v>
      </c>
      <c r="BC47" s="256">
        <f t="shared" si="48"/>
        <v>0</v>
      </c>
      <c r="BD47" s="256">
        <f t="shared" si="49"/>
        <v>0</v>
      </c>
      <c r="BE47" s="256">
        <f t="shared" si="50"/>
        <v>0</v>
      </c>
      <c r="BF47" s="256">
        <f t="shared" si="51"/>
        <v>0</v>
      </c>
      <c r="BG47" s="256">
        <f t="shared" si="52"/>
        <v>0</v>
      </c>
      <c r="BH47" s="256">
        <f t="shared" si="53"/>
        <v>0</v>
      </c>
      <c r="BI47" s="256">
        <f t="shared" si="54"/>
        <v>0</v>
      </c>
      <c r="BJ47" s="256">
        <f t="shared" si="55"/>
        <v>15000</v>
      </c>
      <c r="BK47" s="256">
        <f t="shared" si="56"/>
        <v>0</v>
      </c>
      <c r="BL47" s="256">
        <f t="shared" si="57"/>
        <v>0</v>
      </c>
      <c r="BM47" s="256">
        <f t="shared" si="58"/>
        <v>0</v>
      </c>
      <c r="BN47" s="256">
        <f t="shared" si="59"/>
        <v>62500</v>
      </c>
      <c r="BO47" s="399">
        <f t="shared" si="60"/>
        <v>37500</v>
      </c>
    </row>
    <row r="48" spans="2:67" x14ac:dyDescent="0.2">
      <c r="B48" s="1056" t="s">
        <v>470</v>
      </c>
      <c r="C48" s="1056"/>
      <c r="D48" s="1056"/>
      <c r="E48" s="1056"/>
      <c r="F48" s="1056"/>
      <c r="G48" s="1056"/>
      <c r="H48" s="1056"/>
      <c r="I48" s="408">
        <f t="shared" si="61"/>
        <v>283447.86750000005</v>
      </c>
      <c r="J48" s="289"/>
      <c r="K48" s="256">
        <f t="shared" si="6"/>
        <v>0</v>
      </c>
      <c r="L48" s="256">
        <f t="shared" si="7"/>
        <v>0</v>
      </c>
      <c r="M48" s="256">
        <f t="shared" si="8"/>
        <v>0</v>
      </c>
      <c r="N48" s="256">
        <f t="shared" si="9"/>
        <v>0</v>
      </c>
      <c r="O48" s="562">
        <f t="shared" si="10"/>
        <v>0</v>
      </c>
      <c r="P48" s="379">
        <f t="shared" si="11"/>
        <v>0</v>
      </c>
      <c r="Q48" s="256">
        <f t="shared" si="12"/>
        <v>0</v>
      </c>
      <c r="R48" s="256">
        <f>+R23*J23</f>
        <v>0</v>
      </c>
      <c r="S48" s="275">
        <f t="shared" si="14"/>
        <v>0</v>
      </c>
      <c r="T48" s="379">
        <f t="shared" si="15"/>
        <v>0</v>
      </c>
      <c r="U48" s="256">
        <f t="shared" si="16"/>
        <v>0</v>
      </c>
      <c r="V48" s="256">
        <f t="shared" si="17"/>
        <v>0</v>
      </c>
      <c r="W48" s="275">
        <f t="shared" si="18"/>
        <v>0</v>
      </c>
      <c r="X48" s="564">
        <f t="shared" si="62"/>
        <v>0</v>
      </c>
      <c r="Y48" s="256">
        <f t="shared" si="63"/>
        <v>0</v>
      </c>
      <c r="Z48" s="256">
        <f t="shared" si="19"/>
        <v>0</v>
      </c>
      <c r="AA48" s="256">
        <f t="shared" si="20"/>
        <v>0</v>
      </c>
      <c r="AB48" s="256">
        <f t="shared" si="21"/>
        <v>0</v>
      </c>
      <c r="AC48" s="256">
        <f t="shared" si="22"/>
        <v>0</v>
      </c>
      <c r="AD48" s="256">
        <f t="shared" si="23"/>
        <v>0</v>
      </c>
      <c r="AE48" s="256">
        <f t="shared" si="24"/>
        <v>0</v>
      </c>
      <c r="AF48" s="256">
        <f t="shared" si="25"/>
        <v>0</v>
      </c>
      <c r="AG48" s="256">
        <f t="shared" si="26"/>
        <v>0</v>
      </c>
      <c r="AH48" s="256">
        <f t="shared" si="27"/>
        <v>0</v>
      </c>
      <c r="AI48" s="256">
        <f t="shared" si="28"/>
        <v>0</v>
      </c>
      <c r="AJ48" s="256">
        <f t="shared" si="29"/>
        <v>0</v>
      </c>
      <c r="AK48" s="256">
        <f t="shared" si="30"/>
        <v>0</v>
      </c>
      <c r="AL48" s="256">
        <f t="shared" si="31"/>
        <v>0</v>
      </c>
      <c r="AM48" s="256">
        <f t="shared" si="32"/>
        <v>0</v>
      </c>
      <c r="AN48" s="256">
        <f t="shared" si="33"/>
        <v>0</v>
      </c>
      <c r="AO48" s="256">
        <f t="shared" si="34"/>
        <v>0</v>
      </c>
      <c r="AP48" s="256">
        <f t="shared" si="35"/>
        <v>0</v>
      </c>
      <c r="AQ48" s="256">
        <f t="shared" si="36"/>
        <v>0</v>
      </c>
      <c r="AR48" s="256">
        <f t="shared" si="37"/>
        <v>0</v>
      </c>
      <c r="AS48" s="256">
        <f t="shared" si="38"/>
        <v>0</v>
      </c>
      <c r="AT48" s="256">
        <f t="shared" si="39"/>
        <v>0</v>
      </c>
      <c r="AU48" s="256">
        <f t="shared" si="40"/>
        <v>0</v>
      </c>
      <c r="AV48" s="256">
        <f t="shared" si="41"/>
        <v>0</v>
      </c>
      <c r="AW48" s="256">
        <f t="shared" si="42"/>
        <v>0</v>
      </c>
      <c r="AX48" s="256">
        <f t="shared" si="43"/>
        <v>0</v>
      </c>
      <c r="AY48" s="256">
        <f t="shared" si="44"/>
        <v>0</v>
      </c>
      <c r="AZ48" s="256">
        <f t="shared" si="45"/>
        <v>0</v>
      </c>
      <c r="BA48" s="256">
        <f t="shared" si="46"/>
        <v>61447.602500000008</v>
      </c>
      <c r="BB48" s="256">
        <f t="shared" si="47"/>
        <v>0</v>
      </c>
      <c r="BC48" s="256">
        <f t="shared" si="48"/>
        <v>0</v>
      </c>
      <c r="BD48" s="256">
        <f t="shared" si="49"/>
        <v>0</v>
      </c>
      <c r="BE48" s="256">
        <f t="shared" si="50"/>
        <v>37102.765000000007</v>
      </c>
      <c r="BF48" s="256">
        <f t="shared" si="51"/>
        <v>0</v>
      </c>
      <c r="BG48" s="256">
        <f t="shared" si="52"/>
        <v>0</v>
      </c>
      <c r="BH48" s="256">
        <f t="shared" si="53"/>
        <v>0</v>
      </c>
      <c r="BI48" s="256">
        <f t="shared" si="54"/>
        <v>0</v>
      </c>
      <c r="BJ48" s="256">
        <f t="shared" si="55"/>
        <v>61632.500000000007</v>
      </c>
      <c r="BK48" s="256">
        <f t="shared" si="56"/>
        <v>0</v>
      </c>
      <c r="BL48" s="256">
        <f t="shared" si="57"/>
        <v>0</v>
      </c>
      <c r="BM48" s="256">
        <f t="shared" si="58"/>
        <v>0</v>
      </c>
      <c r="BN48" s="256">
        <f t="shared" si="59"/>
        <v>77040.625000000015</v>
      </c>
      <c r="BO48" s="399">
        <f t="shared" si="60"/>
        <v>46224.375000000007</v>
      </c>
    </row>
    <row r="49" spans="2:67" x14ac:dyDescent="0.2">
      <c r="B49" s="1056" t="s">
        <v>316</v>
      </c>
      <c r="C49" s="1056"/>
      <c r="D49" s="1056"/>
      <c r="E49" s="1056"/>
      <c r="F49" s="1056"/>
      <c r="G49" s="1056"/>
      <c r="H49" s="1056"/>
      <c r="I49" s="408">
        <f t="shared" si="61"/>
        <v>184722.24000000002</v>
      </c>
      <c r="J49" s="289"/>
      <c r="K49" s="256">
        <f t="shared" si="6"/>
        <v>0</v>
      </c>
      <c r="L49" s="256">
        <f t="shared" si="7"/>
        <v>0</v>
      </c>
      <c r="M49" s="256">
        <f t="shared" si="8"/>
        <v>0</v>
      </c>
      <c r="N49" s="256">
        <f t="shared" si="9"/>
        <v>0</v>
      </c>
      <c r="O49" s="562">
        <f t="shared" si="10"/>
        <v>0</v>
      </c>
      <c r="P49" s="379">
        <f t="shared" si="11"/>
        <v>0</v>
      </c>
      <c r="Q49" s="256">
        <f t="shared" si="12"/>
        <v>0</v>
      </c>
      <c r="R49" s="256">
        <f>+R24*J24</f>
        <v>0</v>
      </c>
      <c r="S49" s="275">
        <f t="shared" si="14"/>
        <v>0</v>
      </c>
      <c r="T49" s="379">
        <f t="shared" si="15"/>
        <v>0</v>
      </c>
      <c r="U49" s="256">
        <f t="shared" si="16"/>
        <v>0</v>
      </c>
      <c r="V49" s="256">
        <f t="shared" si="17"/>
        <v>0</v>
      </c>
      <c r="W49" s="275">
        <f t="shared" si="18"/>
        <v>0</v>
      </c>
      <c r="X49" s="564">
        <f t="shared" si="62"/>
        <v>0</v>
      </c>
      <c r="Y49" s="256">
        <f t="shared" si="63"/>
        <v>0</v>
      </c>
      <c r="Z49" s="256">
        <f t="shared" si="19"/>
        <v>0</v>
      </c>
      <c r="AA49" s="256">
        <f t="shared" si="20"/>
        <v>0</v>
      </c>
      <c r="AB49" s="256">
        <f t="shared" si="21"/>
        <v>0</v>
      </c>
      <c r="AC49" s="256">
        <f t="shared" si="22"/>
        <v>0</v>
      </c>
      <c r="AD49" s="256">
        <f t="shared" si="23"/>
        <v>0</v>
      </c>
      <c r="AE49" s="256">
        <f t="shared" si="24"/>
        <v>0</v>
      </c>
      <c r="AF49" s="256">
        <f t="shared" si="25"/>
        <v>0</v>
      </c>
      <c r="AG49" s="256">
        <f t="shared" si="26"/>
        <v>0</v>
      </c>
      <c r="AH49" s="256">
        <f t="shared" si="27"/>
        <v>0</v>
      </c>
      <c r="AI49" s="256">
        <f t="shared" si="28"/>
        <v>0</v>
      </c>
      <c r="AJ49" s="256">
        <f t="shared" si="29"/>
        <v>0</v>
      </c>
      <c r="AK49" s="256">
        <f t="shared" si="30"/>
        <v>0</v>
      </c>
      <c r="AL49" s="256">
        <f t="shared" si="31"/>
        <v>0</v>
      </c>
      <c r="AM49" s="256">
        <f t="shared" si="32"/>
        <v>0</v>
      </c>
      <c r="AN49" s="256">
        <f t="shared" si="33"/>
        <v>0</v>
      </c>
      <c r="AO49" s="256">
        <f t="shared" si="34"/>
        <v>32257.920000000006</v>
      </c>
      <c r="AP49" s="256">
        <f t="shared" si="35"/>
        <v>0</v>
      </c>
      <c r="AQ49" s="256">
        <f t="shared" si="36"/>
        <v>0</v>
      </c>
      <c r="AR49" s="256">
        <f t="shared" si="37"/>
        <v>111685.44000000002</v>
      </c>
      <c r="AS49" s="256">
        <f t="shared" si="38"/>
        <v>0</v>
      </c>
      <c r="AT49" s="256">
        <f t="shared" si="39"/>
        <v>0</v>
      </c>
      <c r="AU49" s="256">
        <f t="shared" si="40"/>
        <v>0</v>
      </c>
      <c r="AV49" s="256">
        <f t="shared" si="41"/>
        <v>40778.880000000005</v>
      </c>
      <c r="AW49" s="256">
        <f t="shared" si="42"/>
        <v>0</v>
      </c>
      <c r="AX49" s="256">
        <f t="shared" si="43"/>
        <v>0</v>
      </c>
      <c r="AY49" s="256">
        <f t="shared" si="44"/>
        <v>0</v>
      </c>
      <c r="AZ49" s="256">
        <f t="shared" si="45"/>
        <v>0</v>
      </c>
      <c r="BA49" s="256">
        <f t="shared" si="46"/>
        <v>0</v>
      </c>
      <c r="BB49" s="256">
        <f t="shared" si="47"/>
        <v>0</v>
      </c>
      <c r="BC49" s="256">
        <f t="shared" si="48"/>
        <v>0</v>
      </c>
      <c r="BD49" s="256">
        <f t="shared" si="49"/>
        <v>0</v>
      </c>
      <c r="BE49" s="256">
        <f t="shared" si="50"/>
        <v>0</v>
      </c>
      <c r="BF49" s="256">
        <f t="shared" si="51"/>
        <v>0</v>
      </c>
      <c r="BG49" s="256">
        <f t="shared" si="52"/>
        <v>0</v>
      </c>
      <c r="BH49" s="256">
        <f t="shared" si="53"/>
        <v>0</v>
      </c>
      <c r="BI49" s="256">
        <f t="shared" si="54"/>
        <v>0</v>
      </c>
      <c r="BJ49" s="256">
        <f t="shared" si="55"/>
        <v>0</v>
      </c>
      <c r="BK49" s="256">
        <f t="shared" si="56"/>
        <v>0</v>
      </c>
      <c r="BL49" s="256">
        <f t="shared" si="57"/>
        <v>0</v>
      </c>
      <c r="BM49" s="256">
        <f t="shared" si="58"/>
        <v>0</v>
      </c>
      <c r="BN49" s="256">
        <f t="shared" si="59"/>
        <v>0</v>
      </c>
      <c r="BO49" s="399">
        <f t="shared" si="60"/>
        <v>0</v>
      </c>
    </row>
    <row r="50" spans="2:67" ht="16" thickBot="1" x14ac:dyDescent="0.25">
      <c r="B50" s="1057" t="s">
        <v>397</v>
      </c>
      <c r="C50" s="1057"/>
      <c r="D50" s="1057"/>
      <c r="E50" s="1057"/>
      <c r="F50" s="1057"/>
      <c r="G50" s="1057"/>
      <c r="H50" s="1057"/>
      <c r="I50" s="416">
        <f>SUM(I29:I49)</f>
        <v>8029591.4575000005</v>
      </c>
      <c r="J50" s="417"/>
      <c r="K50" s="416">
        <f t="shared" ref="K50:O50" si="64">SUM(K29:K49)</f>
        <v>115303.32</v>
      </c>
      <c r="L50" s="416">
        <f t="shared" si="64"/>
        <v>59800</v>
      </c>
      <c r="M50" s="416">
        <f t="shared" si="64"/>
        <v>159632</v>
      </c>
      <c r="N50" s="416">
        <f t="shared" si="64"/>
        <v>62674.559999999998</v>
      </c>
      <c r="O50" s="563">
        <f t="shared" si="64"/>
        <v>44950.499999999993</v>
      </c>
      <c r="P50" s="566">
        <f t="shared" ref="P50:BO50" si="65">SUM(P29:P49)</f>
        <v>104112.7</v>
      </c>
      <c r="Q50" s="567">
        <f t="shared" si="65"/>
        <v>93456.16</v>
      </c>
      <c r="R50" s="567">
        <f t="shared" si="65"/>
        <v>108608.96999999999</v>
      </c>
      <c r="S50" s="568">
        <f t="shared" si="65"/>
        <v>117727.49999999999</v>
      </c>
      <c r="T50" s="566">
        <f t="shared" si="65"/>
        <v>107041.49999999999</v>
      </c>
      <c r="U50" s="567">
        <f t="shared" si="65"/>
        <v>164693.25</v>
      </c>
      <c r="V50" s="567">
        <f t="shared" si="65"/>
        <v>125034.9</v>
      </c>
      <c r="W50" s="568">
        <f t="shared" si="65"/>
        <v>128792.24</v>
      </c>
      <c r="X50" s="565">
        <f t="shared" si="65"/>
        <v>2950</v>
      </c>
      <c r="Y50" s="416">
        <f t="shared" si="65"/>
        <v>273096.7</v>
      </c>
      <c r="Z50" s="416">
        <f t="shared" si="65"/>
        <v>76239.020000000019</v>
      </c>
      <c r="AA50" s="416">
        <f t="shared" si="65"/>
        <v>186477.32</v>
      </c>
      <c r="AB50" s="416">
        <f t="shared" si="65"/>
        <v>91634</v>
      </c>
      <c r="AC50" s="416">
        <f t="shared" si="65"/>
        <v>123114.32000000002</v>
      </c>
      <c r="AD50" s="416">
        <f t="shared" si="65"/>
        <v>119279.76000000001</v>
      </c>
      <c r="AE50" s="416">
        <f t="shared" si="65"/>
        <v>74373.399999999994</v>
      </c>
      <c r="AF50" s="416">
        <f t="shared" si="65"/>
        <v>130925.52</v>
      </c>
      <c r="AG50" s="416">
        <f t="shared" si="65"/>
        <v>197398.47999999998</v>
      </c>
      <c r="AH50" s="416">
        <f t="shared" si="65"/>
        <v>197296</v>
      </c>
      <c r="AI50" s="416">
        <f t="shared" si="65"/>
        <v>122228.8</v>
      </c>
      <c r="AJ50" s="416">
        <f t="shared" si="65"/>
        <v>105488.46</v>
      </c>
      <c r="AK50" s="416">
        <f t="shared" si="65"/>
        <v>43686</v>
      </c>
      <c r="AL50" s="416">
        <f t="shared" si="65"/>
        <v>199824</v>
      </c>
      <c r="AM50" s="416">
        <f t="shared" si="65"/>
        <v>157614</v>
      </c>
      <c r="AN50" s="416">
        <f t="shared" si="65"/>
        <v>0</v>
      </c>
      <c r="AO50" s="416">
        <f t="shared" si="65"/>
        <v>73507.920000000013</v>
      </c>
      <c r="AP50" s="416">
        <f t="shared" si="65"/>
        <v>136774</v>
      </c>
      <c r="AQ50" s="416">
        <f t="shared" si="65"/>
        <v>152228</v>
      </c>
      <c r="AR50" s="416">
        <f t="shared" si="65"/>
        <v>111685.44000000002</v>
      </c>
      <c r="AS50" s="416">
        <f t="shared" si="65"/>
        <v>198297</v>
      </c>
      <c r="AT50" s="416">
        <f t="shared" si="65"/>
        <v>200017.44</v>
      </c>
      <c r="AU50" s="416">
        <f t="shared" si="65"/>
        <v>262501.5</v>
      </c>
      <c r="AV50" s="416">
        <f t="shared" si="65"/>
        <v>166529.54</v>
      </c>
      <c r="AW50" s="416">
        <f t="shared" si="65"/>
        <v>159669.58000000002</v>
      </c>
      <c r="AX50" s="416">
        <f t="shared" si="65"/>
        <v>139892.68000000002</v>
      </c>
      <c r="AY50" s="416">
        <f t="shared" si="65"/>
        <v>230397.06999999998</v>
      </c>
      <c r="AZ50" s="416">
        <f t="shared" si="65"/>
        <v>222863.84</v>
      </c>
      <c r="BA50" s="416">
        <f t="shared" si="65"/>
        <v>139452.55249999999</v>
      </c>
      <c r="BB50" s="416">
        <f t="shared" si="65"/>
        <v>182894.99999999997</v>
      </c>
      <c r="BC50" s="416">
        <f t="shared" si="65"/>
        <v>220728.06000000003</v>
      </c>
      <c r="BD50" s="416">
        <f t="shared" si="65"/>
        <v>148691.55000000002</v>
      </c>
      <c r="BE50" s="416">
        <f t="shared" si="65"/>
        <v>191245.67500000002</v>
      </c>
      <c r="BF50" s="416">
        <f t="shared" si="65"/>
        <v>214478.96999999997</v>
      </c>
      <c r="BG50" s="416">
        <f t="shared" si="65"/>
        <v>220982.19000000003</v>
      </c>
      <c r="BH50" s="416">
        <f t="shared" si="65"/>
        <v>188373.19</v>
      </c>
      <c r="BI50" s="416">
        <f t="shared" si="65"/>
        <v>299659.5</v>
      </c>
      <c r="BJ50" s="416">
        <f t="shared" si="65"/>
        <v>149409.5</v>
      </c>
      <c r="BK50" s="416">
        <f t="shared" si="65"/>
        <v>214173.09000000003</v>
      </c>
      <c r="BL50" s="416">
        <f t="shared" si="65"/>
        <v>206852.66999999998</v>
      </c>
      <c r="BM50" s="416">
        <f t="shared" si="65"/>
        <v>263382</v>
      </c>
      <c r="BN50" s="416">
        <f t="shared" si="65"/>
        <v>162586.125</v>
      </c>
      <c r="BO50" s="416">
        <f t="shared" si="65"/>
        <v>121224.375</v>
      </c>
    </row>
    <row r="51" spans="2:67" ht="16" thickBot="1" x14ac:dyDescent="0.25">
      <c r="B51" s="1052"/>
      <c r="C51" s="1053"/>
      <c r="D51" s="1053"/>
      <c r="E51" s="1053"/>
      <c r="F51" s="1053"/>
      <c r="G51" s="1053"/>
      <c r="H51" s="1053"/>
      <c r="I51" s="1053"/>
      <c r="J51" s="1054"/>
      <c r="K51" s="1087"/>
      <c r="L51" s="1087"/>
      <c r="M51" s="1087"/>
      <c r="N51" s="1087"/>
      <c r="O51" s="1087"/>
      <c r="P51" s="1069" t="s">
        <v>439</v>
      </c>
      <c r="Q51" s="1070"/>
      <c r="R51" s="1070"/>
      <c r="S51" s="1070"/>
      <c r="T51" s="1070"/>
      <c r="U51" s="1070"/>
      <c r="V51" s="1070"/>
      <c r="W51" s="1070"/>
      <c r="X51" s="1070"/>
      <c r="Y51" s="1070"/>
      <c r="Z51" s="1070"/>
      <c r="AA51" s="1071"/>
      <c r="AB51" s="1072" t="s">
        <v>440</v>
      </c>
      <c r="AC51" s="1073"/>
      <c r="AD51" s="1073"/>
      <c r="AE51" s="1073"/>
      <c r="AF51" s="1073"/>
      <c r="AG51" s="1073"/>
      <c r="AH51" s="1073"/>
      <c r="AI51" s="1073"/>
      <c r="AJ51" s="1073"/>
      <c r="AK51" s="1073"/>
      <c r="AL51" s="1073"/>
      <c r="AM51" s="1073"/>
      <c r="AN51" s="1073"/>
      <c r="AO51" s="1074"/>
      <c r="AP51" s="1062" t="s">
        <v>441</v>
      </c>
      <c r="AQ51" s="1062"/>
      <c r="AR51" s="1062"/>
      <c r="AS51" s="1062"/>
      <c r="AT51" s="1062"/>
      <c r="AU51" s="1062"/>
      <c r="AV51" s="1062"/>
      <c r="AW51" s="1062"/>
      <c r="AX51" s="1062"/>
      <c r="AY51" s="1062"/>
      <c r="AZ51" s="1062"/>
      <c r="BA51" s="1062"/>
      <c r="BB51" s="1062"/>
      <c r="BC51" s="1075" t="s">
        <v>442</v>
      </c>
      <c r="BD51" s="1075"/>
      <c r="BE51" s="1075"/>
      <c r="BF51" s="1075"/>
      <c r="BG51" s="1075"/>
      <c r="BH51" s="1075"/>
      <c r="BI51" s="1075"/>
      <c r="BJ51" s="1075"/>
      <c r="BK51" s="1075"/>
      <c r="BL51" s="1075"/>
      <c r="BM51" s="1075"/>
      <c r="BN51" s="1075"/>
      <c r="BO51" s="1076"/>
    </row>
    <row r="52" spans="2:67" s="142" customFormat="1" x14ac:dyDescent="0.2">
      <c r="B52" s="1055" t="s">
        <v>517</v>
      </c>
      <c r="C52" s="1050"/>
      <c r="D52" s="1050"/>
      <c r="E52" s="1050"/>
      <c r="F52" s="1050"/>
      <c r="G52" s="1050"/>
      <c r="H52" s="1050"/>
      <c r="I52" s="1051"/>
      <c r="J52" s="412"/>
      <c r="K52" s="534">
        <f t="shared" ref="K52:N52" si="66">+L52-7</f>
        <v>45996</v>
      </c>
      <c r="L52" s="534">
        <f t="shared" si="66"/>
        <v>46003</v>
      </c>
      <c r="M52" s="534">
        <f t="shared" si="66"/>
        <v>46010</v>
      </c>
      <c r="N52" s="534">
        <f t="shared" si="66"/>
        <v>46017</v>
      </c>
      <c r="O52" s="534">
        <f>+P52-7</f>
        <v>46024</v>
      </c>
      <c r="P52" s="559">
        <f>+P27</f>
        <v>46031</v>
      </c>
      <c r="Q52" s="574">
        <f t="shared" ref="Q52:BO52" si="67">+P52+7</f>
        <v>46038</v>
      </c>
      <c r="R52" s="574">
        <f t="shared" si="67"/>
        <v>46045</v>
      </c>
      <c r="S52" s="575">
        <f t="shared" si="67"/>
        <v>46052</v>
      </c>
      <c r="T52" s="573">
        <f t="shared" si="67"/>
        <v>46059</v>
      </c>
      <c r="U52" s="574">
        <f t="shared" si="67"/>
        <v>46066</v>
      </c>
      <c r="V52" s="574">
        <f t="shared" si="67"/>
        <v>46073</v>
      </c>
      <c r="W52" s="575">
        <f t="shared" si="67"/>
        <v>46080</v>
      </c>
      <c r="X52" s="571">
        <f t="shared" si="67"/>
        <v>46087</v>
      </c>
      <c r="Y52" s="413">
        <f t="shared" si="67"/>
        <v>46094</v>
      </c>
      <c r="Z52" s="413">
        <f t="shared" si="67"/>
        <v>46101</v>
      </c>
      <c r="AA52" s="413">
        <f t="shared" si="67"/>
        <v>46108</v>
      </c>
      <c r="AB52" s="413">
        <f t="shared" si="67"/>
        <v>46115</v>
      </c>
      <c r="AC52" s="413">
        <f t="shared" si="67"/>
        <v>46122</v>
      </c>
      <c r="AD52" s="413">
        <f t="shared" si="67"/>
        <v>46129</v>
      </c>
      <c r="AE52" s="413">
        <f t="shared" si="67"/>
        <v>46136</v>
      </c>
      <c r="AF52" s="413">
        <f t="shared" si="67"/>
        <v>46143</v>
      </c>
      <c r="AG52" s="413">
        <f t="shared" si="67"/>
        <v>46150</v>
      </c>
      <c r="AH52" s="413">
        <f t="shared" si="67"/>
        <v>46157</v>
      </c>
      <c r="AI52" s="413">
        <f t="shared" si="67"/>
        <v>46164</v>
      </c>
      <c r="AJ52" s="413">
        <f t="shared" si="67"/>
        <v>46171</v>
      </c>
      <c r="AK52" s="413">
        <f t="shared" si="67"/>
        <v>46178</v>
      </c>
      <c r="AL52" s="413">
        <f t="shared" si="67"/>
        <v>46185</v>
      </c>
      <c r="AM52" s="413">
        <f t="shared" si="67"/>
        <v>46192</v>
      </c>
      <c r="AN52" s="413">
        <f t="shared" si="67"/>
        <v>46199</v>
      </c>
      <c r="AO52" s="413">
        <f t="shared" si="67"/>
        <v>46206</v>
      </c>
      <c r="AP52" s="413">
        <f t="shared" si="67"/>
        <v>46213</v>
      </c>
      <c r="AQ52" s="413">
        <f t="shared" si="67"/>
        <v>46220</v>
      </c>
      <c r="AR52" s="413">
        <f t="shared" si="67"/>
        <v>46227</v>
      </c>
      <c r="AS52" s="413">
        <f t="shared" si="67"/>
        <v>46234</v>
      </c>
      <c r="AT52" s="413">
        <f t="shared" si="67"/>
        <v>46241</v>
      </c>
      <c r="AU52" s="413">
        <f t="shared" si="67"/>
        <v>46248</v>
      </c>
      <c r="AV52" s="413">
        <f t="shared" si="67"/>
        <v>46255</v>
      </c>
      <c r="AW52" s="413">
        <f t="shared" si="67"/>
        <v>46262</v>
      </c>
      <c r="AX52" s="413">
        <f t="shared" si="67"/>
        <v>46269</v>
      </c>
      <c r="AY52" s="413">
        <f t="shared" si="67"/>
        <v>46276</v>
      </c>
      <c r="AZ52" s="413">
        <f t="shared" si="67"/>
        <v>46283</v>
      </c>
      <c r="BA52" s="413">
        <f t="shared" si="67"/>
        <v>46290</v>
      </c>
      <c r="BB52" s="413">
        <f t="shared" si="67"/>
        <v>46297</v>
      </c>
      <c r="BC52" s="413">
        <f t="shared" si="67"/>
        <v>46304</v>
      </c>
      <c r="BD52" s="413">
        <f t="shared" si="67"/>
        <v>46311</v>
      </c>
      <c r="BE52" s="413">
        <f t="shared" si="67"/>
        <v>46318</v>
      </c>
      <c r="BF52" s="413">
        <f t="shared" si="67"/>
        <v>46325</v>
      </c>
      <c r="BG52" s="413">
        <f t="shared" si="67"/>
        <v>46332</v>
      </c>
      <c r="BH52" s="413">
        <f t="shared" si="67"/>
        <v>46339</v>
      </c>
      <c r="BI52" s="413">
        <f t="shared" si="67"/>
        <v>46346</v>
      </c>
      <c r="BJ52" s="413">
        <f t="shared" si="67"/>
        <v>46353</v>
      </c>
      <c r="BK52" s="413">
        <f t="shared" si="67"/>
        <v>46360</v>
      </c>
      <c r="BL52" s="413">
        <f t="shared" si="67"/>
        <v>46367</v>
      </c>
      <c r="BM52" s="413">
        <f t="shared" si="67"/>
        <v>46374</v>
      </c>
      <c r="BN52" s="413">
        <f t="shared" si="67"/>
        <v>46381</v>
      </c>
      <c r="BO52" s="418">
        <f t="shared" si="67"/>
        <v>46388</v>
      </c>
    </row>
    <row r="53" spans="2:67" s="89" customFormat="1" x14ac:dyDescent="0.2">
      <c r="B53" s="1058" t="s">
        <v>505</v>
      </c>
      <c r="C53" s="1059"/>
      <c r="D53" s="1059"/>
      <c r="E53" s="1059"/>
      <c r="F53" s="1059"/>
      <c r="G53" s="1059"/>
      <c r="H53" s="1059"/>
      <c r="I53" s="408">
        <f>SUM(P53:CT53)</f>
        <v>597465.00000000012</v>
      </c>
      <c r="J53" s="289"/>
      <c r="K53" s="414"/>
      <c r="L53" s="414"/>
      <c r="M53" s="415"/>
      <c r="N53" s="415"/>
      <c r="O53" s="569"/>
      <c r="P53" s="576">
        <f t="shared" ref="P53:BO53" si="68">+M29</f>
        <v>0</v>
      </c>
      <c r="Q53" s="415">
        <f t="shared" si="68"/>
        <v>12330.000000000002</v>
      </c>
      <c r="R53" s="414">
        <f t="shared" si="68"/>
        <v>0</v>
      </c>
      <c r="S53" s="419">
        <f t="shared" si="68"/>
        <v>0</v>
      </c>
      <c r="T53" s="576"/>
      <c r="U53" s="414">
        <f t="shared" si="68"/>
        <v>0</v>
      </c>
      <c r="V53" s="415">
        <f>+Q29</f>
        <v>38880.000000000007</v>
      </c>
      <c r="W53" s="419">
        <f t="shared" si="68"/>
        <v>0</v>
      </c>
      <c r="X53" s="572">
        <f t="shared" si="68"/>
        <v>0</v>
      </c>
      <c r="Y53" s="414">
        <f t="shared" si="68"/>
        <v>0</v>
      </c>
      <c r="Z53" s="414">
        <f t="shared" si="68"/>
        <v>0</v>
      </c>
      <c r="AA53" s="414">
        <f t="shared" si="68"/>
        <v>0</v>
      </c>
      <c r="AB53" s="414">
        <f t="shared" si="68"/>
        <v>68040.000000000015</v>
      </c>
      <c r="AC53" s="414">
        <f t="shared" si="68"/>
        <v>0</v>
      </c>
      <c r="AD53" s="414">
        <f t="shared" si="68"/>
        <v>28080.000000000004</v>
      </c>
      <c r="AE53" s="414">
        <f t="shared" si="68"/>
        <v>0</v>
      </c>
      <c r="AF53" s="414">
        <f t="shared" si="68"/>
        <v>0</v>
      </c>
      <c r="AG53" s="414">
        <f t="shared" si="68"/>
        <v>30780.000000000004</v>
      </c>
      <c r="AH53" s="414">
        <f t="shared" si="68"/>
        <v>0</v>
      </c>
      <c r="AI53" s="414">
        <f t="shared" si="68"/>
        <v>0</v>
      </c>
      <c r="AJ53" s="414">
        <f t="shared" si="68"/>
        <v>0</v>
      </c>
      <c r="AK53" s="414">
        <f t="shared" si="68"/>
        <v>0</v>
      </c>
      <c r="AL53" s="414">
        <f t="shared" si="68"/>
        <v>0</v>
      </c>
      <c r="AM53" s="414">
        <f t="shared" si="68"/>
        <v>0</v>
      </c>
      <c r="AN53" s="414">
        <f t="shared" si="68"/>
        <v>18000.000000000004</v>
      </c>
      <c r="AO53" s="414">
        <f t="shared" si="68"/>
        <v>9000.0000000000018</v>
      </c>
      <c r="AP53" s="414">
        <f t="shared" si="68"/>
        <v>0</v>
      </c>
      <c r="AQ53" s="414">
        <f t="shared" si="68"/>
        <v>0</v>
      </c>
      <c r="AR53" s="414">
        <f t="shared" si="68"/>
        <v>0</v>
      </c>
      <c r="AS53" s="414">
        <f t="shared" si="68"/>
        <v>0</v>
      </c>
      <c r="AT53" s="414">
        <f t="shared" si="68"/>
        <v>27000.000000000004</v>
      </c>
      <c r="AU53" s="414">
        <f t="shared" si="68"/>
        <v>0</v>
      </c>
      <c r="AV53" s="414">
        <f t="shared" si="68"/>
        <v>0</v>
      </c>
      <c r="AW53" s="414">
        <f t="shared" si="68"/>
        <v>0</v>
      </c>
      <c r="AX53" s="414">
        <f t="shared" si="68"/>
        <v>0</v>
      </c>
      <c r="AY53" s="414">
        <f t="shared" si="68"/>
        <v>27000.000000000004</v>
      </c>
      <c r="AZ53" s="414">
        <f t="shared" si="68"/>
        <v>0</v>
      </c>
      <c r="BA53" s="414">
        <f t="shared" si="68"/>
        <v>0</v>
      </c>
      <c r="BB53" s="414">
        <f t="shared" si="68"/>
        <v>0</v>
      </c>
      <c r="BC53" s="414">
        <f t="shared" si="68"/>
        <v>57870.000000000007</v>
      </c>
      <c r="BD53" s="414">
        <f t="shared" si="68"/>
        <v>0</v>
      </c>
      <c r="BE53" s="414">
        <f t="shared" si="68"/>
        <v>0</v>
      </c>
      <c r="BF53" s="414">
        <f t="shared" si="68"/>
        <v>78705.000000000015</v>
      </c>
      <c r="BG53" s="414">
        <f t="shared" si="68"/>
        <v>0</v>
      </c>
      <c r="BH53" s="414">
        <f t="shared" si="68"/>
        <v>0</v>
      </c>
      <c r="BI53" s="414">
        <f t="shared" si="68"/>
        <v>20250.000000000004</v>
      </c>
      <c r="BJ53" s="414">
        <f t="shared" si="68"/>
        <v>91755.000000000015</v>
      </c>
      <c r="BK53" s="414">
        <f t="shared" si="68"/>
        <v>0</v>
      </c>
      <c r="BL53" s="414">
        <f t="shared" si="68"/>
        <v>0</v>
      </c>
      <c r="BM53" s="414">
        <f t="shared" si="68"/>
        <v>0</v>
      </c>
      <c r="BN53" s="414">
        <f t="shared" si="68"/>
        <v>89775.000000000015</v>
      </c>
      <c r="BO53" s="414">
        <f t="shared" si="68"/>
        <v>0</v>
      </c>
    </row>
    <row r="54" spans="2:67" s="89" customFormat="1" x14ac:dyDescent="0.2">
      <c r="B54" s="1058" t="s">
        <v>506</v>
      </c>
      <c r="C54" s="1059"/>
      <c r="D54" s="1059"/>
      <c r="E54" s="1059"/>
      <c r="F54" s="1059"/>
      <c r="G54" s="1059"/>
      <c r="H54" s="1059"/>
      <c r="I54" s="408">
        <f t="shared" ref="I54:I73" si="69">SUM(P54:CT54)</f>
        <v>1568344.3499999999</v>
      </c>
      <c r="J54" s="289"/>
      <c r="K54" s="414"/>
      <c r="L54" s="414"/>
      <c r="M54" s="414"/>
      <c r="N54" s="414"/>
      <c r="O54" s="570"/>
      <c r="P54" s="576">
        <f t="shared" ref="P54:P60" si="70">+M30</f>
        <v>0</v>
      </c>
      <c r="Q54" s="415">
        <f t="shared" ref="Q54:Q60" si="71">+N30</f>
        <v>50344.56</v>
      </c>
      <c r="R54" s="415">
        <f t="shared" ref="R54:R60" si="72">+O30</f>
        <v>44950.499999999993</v>
      </c>
      <c r="S54" s="577">
        <f t="shared" ref="S54:S60" si="73">+P30</f>
        <v>50087.7</v>
      </c>
      <c r="T54" s="582">
        <f t="shared" ref="T54:T60" si="74">+Q30</f>
        <v>1541.1599999999999</v>
      </c>
      <c r="U54" s="414"/>
      <c r="V54" s="415">
        <f>+R30+S30</f>
        <v>226336.46999999997</v>
      </c>
      <c r="W54" s="577">
        <f t="shared" ref="W54:W60" si="75">+T30</f>
        <v>92041.499999999985</v>
      </c>
      <c r="X54" s="647">
        <f t="shared" ref="X54:X60" si="76">+U30</f>
        <v>103814.24999999999</v>
      </c>
      <c r="Y54" s="415">
        <f t="shared" ref="Y54:Y60" si="77">+V30</f>
        <v>63786.899999999994</v>
      </c>
      <c r="Z54" s="414">
        <f t="shared" ref="Z54:Z60" si="78">+W30</f>
        <v>0</v>
      </c>
      <c r="AA54" s="414">
        <f t="shared" ref="AA54:AA60" si="79">+X30</f>
        <v>0</v>
      </c>
      <c r="AB54" s="414">
        <f t="shared" ref="AB54:AB60" si="80">+Y30</f>
        <v>114559.55999999998</v>
      </c>
      <c r="AC54" s="414">
        <f t="shared" ref="AC54:AC60" si="81">+Z30</f>
        <v>0</v>
      </c>
      <c r="AD54" s="414">
        <f t="shared" ref="AD54:AD60" si="82">+AA30</f>
        <v>27740.879999999997</v>
      </c>
      <c r="AE54" s="414">
        <f t="shared" ref="AE54:AE60" si="83">+AB30</f>
        <v>0</v>
      </c>
      <c r="AF54" s="414">
        <f t="shared" ref="AF54:AF60" si="84">+AC30</f>
        <v>8561.9999999999982</v>
      </c>
      <c r="AG54" s="414">
        <f t="shared" ref="AG54:AG60" si="85">+AD30</f>
        <v>20720.039999999997</v>
      </c>
      <c r="AH54" s="414">
        <f t="shared" ref="AH54:AH60" si="86">+AE30</f>
        <v>0</v>
      </c>
      <c r="AI54" s="414">
        <f t="shared" ref="AI54:AI60" si="87">+AF30</f>
        <v>0</v>
      </c>
      <c r="AJ54" s="414">
        <f t="shared" ref="AJ54:AJ60" si="88">+AG30</f>
        <v>0</v>
      </c>
      <c r="AK54" s="414">
        <f t="shared" ref="AK54:AK60" si="89">+AH30</f>
        <v>0</v>
      </c>
      <c r="AL54" s="414">
        <f t="shared" ref="AL54:AL60" si="90">+AI30</f>
        <v>0</v>
      </c>
      <c r="AM54" s="414">
        <f t="shared" ref="AM54:AM60" si="91">+AJ30</f>
        <v>0</v>
      </c>
      <c r="AN54" s="414">
        <f t="shared" ref="AN54:AN60" si="92">+AK30</f>
        <v>25685.999999999996</v>
      </c>
      <c r="AO54" s="414">
        <f t="shared" ref="AO54:AO60" si="93">+AL30</f>
        <v>0</v>
      </c>
      <c r="AP54" s="414">
        <f t="shared" ref="AP54:AP60" si="94">+AM30</f>
        <v>0</v>
      </c>
      <c r="AQ54" s="414">
        <f t="shared" ref="AQ54:AQ60" si="95">+AN30</f>
        <v>0</v>
      </c>
      <c r="AR54" s="414">
        <f t="shared" ref="AR54:AR60" si="96">+AO30</f>
        <v>0</v>
      </c>
      <c r="AS54" s="414">
        <f t="shared" ref="AS54:AS60" si="97">+AP30</f>
        <v>0</v>
      </c>
      <c r="AT54" s="414">
        <f t="shared" ref="AT54:AT60" si="98">+AQ30</f>
        <v>25685.999999999996</v>
      </c>
      <c r="AU54" s="414">
        <f t="shared" ref="AU54:AU60" si="99">+AR30</f>
        <v>0</v>
      </c>
      <c r="AV54" s="414">
        <f t="shared" ref="AV54:AV60" si="100">+AS30</f>
        <v>0</v>
      </c>
      <c r="AW54" s="414">
        <f t="shared" ref="AW54:AW60" si="101">+AT30</f>
        <v>0</v>
      </c>
      <c r="AX54" s="414">
        <f t="shared" ref="AX54:AX60" si="102">+AU30</f>
        <v>0</v>
      </c>
      <c r="AY54" s="414">
        <f t="shared" ref="AY54:AY60" si="103">+AV30</f>
        <v>0</v>
      </c>
      <c r="AZ54" s="414">
        <f t="shared" ref="AZ54:AZ60" si="104">+AW30</f>
        <v>0</v>
      </c>
      <c r="BA54" s="414">
        <f t="shared" ref="BA54:BA60" si="105">+AX30</f>
        <v>0</v>
      </c>
      <c r="BB54" s="414">
        <f t="shared" ref="BB54:BB60" si="106">+AY30</f>
        <v>160409.06999999998</v>
      </c>
      <c r="BC54" s="414">
        <f t="shared" ref="BC54:BC60" si="107">+AZ30</f>
        <v>0</v>
      </c>
      <c r="BD54" s="414">
        <f t="shared" ref="BD54:BD60" si="108">+BA30</f>
        <v>0</v>
      </c>
      <c r="BE54" s="414">
        <f t="shared" ref="BE54:BE60" si="109">+BB30</f>
        <v>149834.99999999997</v>
      </c>
      <c r="BF54" s="414">
        <f t="shared" ref="BF54:BF60" si="110">+BC30</f>
        <v>28682.699999999997</v>
      </c>
      <c r="BG54" s="414">
        <f t="shared" ref="BG54:BG60" si="111">+BD30</f>
        <v>0</v>
      </c>
      <c r="BH54" s="414">
        <f t="shared" ref="BH54:BH60" si="112">+BE30</f>
        <v>17123.999999999996</v>
      </c>
      <c r="BI54" s="414">
        <f t="shared" ref="BI54:BI60" si="113">+BF30</f>
        <v>194228.96999999997</v>
      </c>
      <c r="BJ54" s="414">
        <f t="shared" ref="BJ54:BJ60" si="114">+BG30</f>
        <v>0</v>
      </c>
      <c r="BK54" s="414">
        <f t="shared" ref="BK54:BK60" si="115">+BH30</f>
        <v>0</v>
      </c>
      <c r="BL54" s="414">
        <f t="shared" ref="BL54:BL60" si="116">+BI30</f>
        <v>0</v>
      </c>
      <c r="BM54" s="414">
        <f t="shared" ref="BM54:BM60" si="117">+BJ30</f>
        <v>72776.999999999985</v>
      </c>
      <c r="BN54" s="414">
        <f t="shared" ref="BN54:BN60" si="118">+BK30</f>
        <v>89430.09</v>
      </c>
      <c r="BO54" s="414">
        <f t="shared" ref="BO54:BO60" si="119">+BL30</f>
        <v>0</v>
      </c>
    </row>
    <row r="55" spans="2:67" s="89" customFormat="1" x14ac:dyDescent="0.2">
      <c r="B55" s="1058" t="s">
        <v>507</v>
      </c>
      <c r="C55" s="1059"/>
      <c r="D55" s="1059"/>
      <c r="E55" s="1059"/>
      <c r="F55" s="1059"/>
      <c r="G55" s="1059"/>
      <c r="H55" s="1059"/>
      <c r="I55" s="408">
        <f t="shared" si="69"/>
        <v>280968.44999999995</v>
      </c>
      <c r="J55" s="289"/>
      <c r="K55" s="414"/>
      <c r="L55" s="414"/>
      <c r="M55" s="414"/>
      <c r="N55" s="414"/>
      <c r="O55" s="570"/>
      <c r="P55" s="576">
        <f t="shared" si="70"/>
        <v>0</v>
      </c>
      <c r="Q55" s="414">
        <f t="shared" si="71"/>
        <v>0</v>
      </c>
      <c r="R55" s="414">
        <f t="shared" si="72"/>
        <v>0</v>
      </c>
      <c r="S55" s="419">
        <f t="shared" si="73"/>
        <v>0</v>
      </c>
      <c r="T55" s="576">
        <f t="shared" si="74"/>
        <v>0</v>
      </c>
      <c r="U55" s="414">
        <f t="shared" ref="U55:U60" si="120">+R31</f>
        <v>0</v>
      </c>
      <c r="V55" s="414">
        <f t="shared" ref="V55:V60" si="121">+S31</f>
        <v>0</v>
      </c>
      <c r="W55" s="419">
        <f t="shared" si="75"/>
        <v>0</v>
      </c>
      <c r="X55" s="572">
        <f t="shared" si="76"/>
        <v>0</v>
      </c>
      <c r="Y55" s="414">
        <f t="shared" si="77"/>
        <v>0</v>
      </c>
      <c r="Z55" s="414">
        <f t="shared" si="78"/>
        <v>0</v>
      </c>
      <c r="AA55" s="414">
        <f t="shared" si="79"/>
        <v>0</v>
      </c>
      <c r="AB55" s="414">
        <f t="shared" si="80"/>
        <v>0</v>
      </c>
      <c r="AC55" s="414">
        <f t="shared" si="81"/>
        <v>0</v>
      </c>
      <c r="AD55" s="414">
        <f t="shared" si="82"/>
        <v>41989.5</v>
      </c>
      <c r="AE55" s="414">
        <f t="shared" si="83"/>
        <v>0</v>
      </c>
      <c r="AF55" s="414">
        <f t="shared" si="84"/>
        <v>0</v>
      </c>
      <c r="AG55" s="414">
        <f t="shared" si="85"/>
        <v>0</v>
      </c>
      <c r="AH55" s="414">
        <f t="shared" si="86"/>
        <v>31424.399999999998</v>
      </c>
      <c r="AI55" s="414">
        <f t="shared" si="87"/>
        <v>0</v>
      </c>
      <c r="AJ55" s="414">
        <f t="shared" si="88"/>
        <v>0</v>
      </c>
      <c r="AK55" s="414">
        <f t="shared" si="89"/>
        <v>0</v>
      </c>
      <c r="AL55" s="414">
        <f t="shared" si="90"/>
        <v>0</v>
      </c>
      <c r="AM55" s="414">
        <f t="shared" si="91"/>
        <v>27090</v>
      </c>
      <c r="AN55" s="414">
        <f t="shared" si="92"/>
        <v>0</v>
      </c>
      <c r="AO55" s="414">
        <f t="shared" si="93"/>
        <v>0</v>
      </c>
      <c r="AP55" s="414">
        <f t="shared" si="94"/>
        <v>27090</v>
      </c>
      <c r="AQ55" s="414">
        <f t="shared" si="95"/>
        <v>0</v>
      </c>
      <c r="AR55" s="414">
        <f t="shared" si="96"/>
        <v>0</v>
      </c>
      <c r="AS55" s="414">
        <f t="shared" si="97"/>
        <v>0</v>
      </c>
      <c r="AT55" s="414">
        <f t="shared" si="98"/>
        <v>27090</v>
      </c>
      <c r="AU55" s="414">
        <f t="shared" si="99"/>
        <v>0</v>
      </c>
      <c r="AV55" s="414">
        <f t="shared" si="100"/>
        <v>0</v>
      </c>
      <c r="AW55" s="414">
        <f t="shared" si="101"/>
        <v>0</v>
      </c>
      <c r="AX55" s="414">
        <f t="shared" si="102"/>
        <v>0</v>
      </c>
      <c r="AY55" s="414">
        <f t="shared" si="103"/>
        <v>27090</v>
      </c>
      <c r="AZ55" s="414">
        <f t="shared" si="104"/>
        <v>0</v>
      </c>
      <c r="BA55" s="414">
        <f t="shared" si="105"/>
        <v>0</v>
      </c>
      <c r="BB55" s="414">
        <f t="shared" si="106"/>
        <v>0</v>
      </c>
      <c r="BC55" s="414">
        <f t="shared" si="107"/>
        <v>0</v>
      </c>
      <c r="BD55" s="414">
        <f t="shared" si="108"/>
        <v>45014.549999999996</v>
      </c>
      <c r="BE55" s="414">
        <f t="shared" si="109"/>
        <v>0</v>
      </c>
      <c r="BF55" s="414">
        <f t="shared" si="110"/>
        <v>0</v>
      </c>
      <c r="BG55" s="414">
        <f t="shared" si="111"/>
        <v>27090</v>
      </c>
      <c r="BH55" s="414">
        <f t="shared" si="112"/>
        <v>0</v>
      </c>
      <c r="BI55" s="414">
        <f t="shared" si="113"/>
        <v>0</v>
      </c>
      <c r="BJ55" s="414">
        <f t="shared" si="114"/>
        <v>0</v>
      </c>
      <c r="BK55" s="414">
        <f t="shared" si="115"/>
        <v>0</v>
      </c>
      <c r="BL55" s="414">
        <f t="shared" si="116"/>
        <v>0</v>
      </c>
      <c r="BM55" s="414">
        <f t="shared" si="117"/>
        <v>0</v>
      </c>
      <c r="BN55" s="414">
        <f t="shared" si="118"/>
        <v>0</v>
      </c>
      <c r="BO55" s="414">
        <f t="shared" si="119"/>
        <v>27090</v>
      </c>
    </row>
    <row r="56" spans="2:67" s="89" customFormat="1" x14ac:dyDescent="0.2">
      <c r="B56" s="1058" t="s">
        <v>465</v>
      </c>
      <c r="C56" s="1059"/>
      <c r="D56" s="1059"/>
      <c r="E56" s="1059"/>
      <c r="F56" s="1059"/>
      <c r="G56" s="1059"/>
      <c r="H56" s="1059"/>
      <c r="I56" s="408">
        <f t="shared" si="69"/>
        <v>364279.14</v>
      </c>
      <c r="J56" s="289"/>
      <c r="K56" s="414"/>
      <c r="L56" s="414"/>
      <c r="M56" s="414"/>
      <c r="N56" s="414"/>
      <c r="O56" s="570"/>
      <c r="P56" s="576">
        <f t="shared" si="70"/>
        <v>0</v>
      </c>
      <c r="Q56" s="414">
        <f t="shared" si="71"/>
        <v>0</v>
      </c>
      <c r="R56" s="414">
        <f t="shared" si="72"/>
        <v>0</v>
      </c>
      <c r="S56" s="419">
        <f t="shared" si="73"/>
        <v>0</v>
      </c>
      <c r="T56" s="576">
        <f t="shared" si="74"/>
        <v>0</v>
      </c>
      <c r="U56" s="414">
        <f t="shared" si="120"/>
        <v>0</v>
      </c>
      <c r="V56" s="414">
        <f t="shared" si="121"/>
        <v>0</v>
      </c>
      <c r="W56" s="419">
        <f t="shared" si="75"/>
        <v>0</v>
      </c>
      <c r="X56" s="572">
        <f t="shared" si="76"/>
        <v>0</v>
      </c>
      <c r="Y56" s="414">
        <f t="shared" si="77"/>
        <v>0</v>
      </c>
      <c r="Z56" s="414">
        <f t="shared" si="78"/>
        <v>0</v>
      </c>
      <c r="AA56" s="414">
        <f t="shared" si="79"/>
        <v>0</v>
      </c>
      <c r="AB56" s="414">
        <f t="shared" si="80"/>
        <v>26750.520000000004</v>
      </c>
      <c r="AC56" s="414">
        <f t="shared" si="81"/>
        <v>28061.820000000003</v>
      </c>
      <c r="AD56" s="414">
        <f t="shared" si="82"/>
        <v>0</v>
      </c>
      <c r="AE56" s="414">
        <f t="shared" si="83"/>
        <v>0</v>
      </c>
      <c r="AF56" s="414">
        <f t="shared" si="84"/>
        <v>0</v>
      </c>
      <c r="AG56" s="414">
        <f t="shared" si="85"/>
        <v>29897.640000000007</v>
      </c>
      <c r="AH56" s="414">
        <f t="shared" si="86"/>
        <v>0</v>
      </c>
      <c r="AI56" s="414">
        <f t="shared" si="87"/>
        <v>0</v>
      </c>
      <c r="AJ56" s="414">
        <f t="shared" si="88"/>
        <v>0</v>
      </c>
      <c r="AK56" s="414">
        <f t="shared" si="89"/>
        <v>0</v>
      </c>
      <c r="AL56" s="414">
        <f t="shared" si="90"/>
        <v>0</v>
      </c>
      <c r="AM56" s="414">
        <f t="shared" si="91"/>
        <v>0</v>
      </c>
      <c r="AN56" s="414">
        <f t="shared" si="92"/>
        <v>0</v>
      </c>
      <c r="AO56" s="414">
        <f t="shared" si="93"/>
        <v>26226.000000000004</v>
      </c>
      <c r="AP56" s="414">
        <f t="shared" si="94"/>
        <v>0</v>
      </c>
      <c r="AQ56" s="414">
        <f t="shared" si="95"/>
        <v>0</v>
      </c>
      <c r="AR56" s="414">
        <f t="shared" si="96"/>
        <v>0</v>
      </c>
      <c r="AS56" s="414">
        <f t="shared" si="97"/>
        <v>0</v>
      </c>
      <c r="AT56" s="414">
        <f t="shared" si="98"/>
        <v>52452.000000000007</v>
      </c>
      <c r="AU56" s="414">
        <f t="shared" si="99"/>
        <v>0</v>
      </c>
      <c r="AV56" s="414">
        <f t="shared" si="100"/>
        <v>0</v>
      </c>
      <c r="AW56" s="414">
        <f t="shared" si="101"/>
        <v>0</v>
      </c>
      <c r="AX56" s="414">
        <f t="shared" si="102"/>
        <v>0</v>
      </c>
      <c r="AY56" s="414">
        <f t="shared" si="103"/>
        <v>43535.160000000011</v>
      </c>
      <c r="AZ56" s="414">
        <f t="shared" si="104"/>
        <v>0</v>
      </c>
      <c r="BA56" s="414">
        <f t="shared" si="105"/>
        <v>0</v>
      </c>
      <c r="BB56" s="414">
        <f t="shared" si="106"/>
        <v>0</v>
      </c>
      <c r="BC56" s="414">
        <f t="shared" si="107"/>
        <v>15735.600000000002</v>
      </c>
      <c r="BD56" s="414">
        <f t="shared" si="108"/>
        <v>10490.400000000001</v>
      </c>
      <c r="BE56" s="414">
        <f t="shared" si="109"/>
        <v>0</v>
      </c>
      <c r="BF56" s="414">
        <f t="shared" si="110"/>
        <v>39339.000000000007</v>
      </c>
      <c r="BG56" s="414">
        <f t="shared" si="111"/>
        <v>0</v>
      </c>
      <c r="BH56" s="414">
        <f t="shared" si="112"/>
        <v>0</v>
      </c>
      <c r="BI56" s="414">
        <f t="shared" si="113"/>
        <v>0</v>
      </c>
      <c r="BJ56" s="414">
        <f t="shared" si="114"/>
        <v>43710.000000000007</v>
      </c>
      <c r="BK56" s="414">
        <f t="shared" si="115"/>
        <v>0</v>
      </c>
      <c r="BL56" s="414">
        <f t="shared" si="116"/>
        <v>0</v>
      </c>
      <c r="BM56" s="414">
        <f t="shared" si="117"/>
        <v>0</v>
      </c>
      <c r="BN56" s="414">
        <f t="shared" si="118"/>
        <v>34968.000000000007</v>
      </c>
      <c r="BO56" s="414">
        <f t="shared" si="119"/>
        <v>13113.000000000002</v>
      </c>
    </row>
    <row r="57" spans="2:67" s="89" customFormat="1" x14ac:dyDescent="0.2">
      <c r="B57" s="1058" t="s">
        <v>466</v>
      </c>
      <c r="C57" s="1059"/>
      <c r="D57" s="1059"/>
      <c r="E57" s="1059"/>
      <c r="F57" s="1059"/>
      <c r="G57" s="1059"/>
      <c r="H57" s="1059"/>
      <c r="I57" s="408">
        <f t="shared" si="69"/>
        <v>224583.87</v>
      </c>
      <c r="J57" s="289"/>
      <c r="K57" s="414"/>
      <c r="L57" s="414"/>
      <c r="M57" s="414"/>
      <c r="N57" s="414"/>
      <c r="O57" s="570"/>
      <c r="P57" s="576">
        <f t="shared" si="70"/>
        <v>0</v>
      </c>
      <c r="Q57" s="414">
        <f t="shared" si="71"/>
        <v>0</v>
      </c>
      <c r="R57" s="414">
        <f t="shared" si="72"/>
        <v>0</v>
      </c>
      <c r="S57" s="419">
        <f t="shared" si="73"/>
        <v>0</v>
      </c>
      <c r="T57" s="576">
        <f t="shared" si="74"/>
        <v>0</v>
      </c>
      <c r="U57" s="414">
        <f t="shared" si="120"/>
        <v>0</v>
      </c>
      <c r="V57" s="414">
        <f t="shared" si="121"/>
        <v>0</v>
      </c>
      <c r="W57" s="419">
        <f t="shared" si="75"/>
        <v>0</v>
      </c>
      <c r="X57" s="572">
        <f t="shared" si="76"/>
        <v>0</v>
      </c>
      <c r="Y57" s="414">
        <f t="shared" si="77"/>
        <v>0</v>
      </c>
      <c r="Z57" s="414">
        <f t="shared" si="78"/>
        <v>0</v>
      </c>
      <c r="AA57" s="414">
        <f t="shared" si="79"/>
        <v>0</v>
      </c>
      <c r="AB57" s="414">
        <f t="shared" si="80"/>
        <v>26524.62</v>
      </c>
      <c r="AC57" s="414">
        <f t="shared" si="81"/>
        <v>0</v>
      </c>
      <c r="AD57" s="414">
        <f t="shared" si="82"/>
        <v>28625.579999999998</v>
      </c>
      <c r="AE57" s="414">
        <f t="shared" si="83"/>
        <v>0</v>
      </c>
      <c r="AF57" s="414">
        <f t="shared" si="84"/>
        <v>0</v>
      </c>
      <c r="AG57" s="414">
        <f t="shared" si="85"/>
        <v>27312.479999999996</v>
      </c>
      <c r="AH57" s="414">
        <f t="shared" si="86"/>
        <v>0</v>
      </c>
      <c r="AI57" s="414">
        <f t="shared" si="87"/>
        <v>0</v>
      </c>
      <c r="AJ57" s="414">
        <f t="shared" si="88"/>
        <v>0</v>
      </c>
      <c r="AK57" s="414">
        <f t="shared" si="89"/>
        <v>0</v>
      </c>
      <c r="AL57" s="414">
        <f t="shared" si="90"/>
        <v>0</v>
      </c>
      <c r="AM57" s="414">
        <f t="shared" si="91"/>
        <v>0</v>
      </c>
      <c r="AN57" s="414">
        <f t="shared" si="92"/>
        <v>0</v>
      </c>
      <c r="AO57" s="414">
        <f t="shared" si="93"/>
        <v>26261.999999999996</v>
      </c>
      <c r="AP57" s="414">
        <f t="shared" si="94"/>
        <v>0</v>
      </c>
      <c r="AQ57" s="414">
        <f t="shared" si="95"/>
        <v>0</v>
      </c>
      <c r="AR57" s="414">
        <f t="shared" si="96"/>
        <v>0</v>
      </c>
      <c r="AS57" s="414">
        <f t="shared" si="97"/>
        <v>0</v>
      </c>
      <c r="AT57" s="414">
        <f t="shared" si="98"/>
        <v>0</v>
      </c>
      <c r="AU57" s="414">
        <f t="shared" si="99"/>
        <v>0</v>
      </c>
      <c r="AV57" s="414">
        <f t="shared" si="100"/>
        <v>0</v>
      </c>
      <c r="AW57" s="414">
        <f t="shared" si="101"/>
        <v>0</v>
      </c>
      <c r="AX57" s="414">
        <f t="shared" si="102"/>
        <v>26261.999999999996</v>
      </c>
      <c r="AY57" s="414">
        <f t="shared" si="103"/>
        <v>0</v>
      </c>
      <c r="AZ57" s="414">
        <f t="shared" si="104"/>
        <v>0</v>
      </c>
      <c r="BA57" s="414">
        <f t="shared" si="105"/>
        <v>0</v>
      </c>
      <c r="BB57" s="414">
        <f t="shared" si="106"/>
        <v>0</v>
      </c>
      <c r="BC57" s="414">
        <f t="shared" si="107"/>
        <v>26261.999999999996</v>
      </c>
      <c r="BD57" s="414">
        <f t="shared" si="108"/>
        <v>0</v>
      </c>
      <c r="BE57" s="414">
        <f t="shared" si="109"/>
        <v>0</v>
      </c>
      <c r="BF57" s="414">
        <f t="shared" si="110"/>
        <v>26261.999999999996</v>
      </c>
      <c r="BG57" s="414">
        <f t="shared" si="111"/>
        <v>0</v>
      </c>
      <c r="BH57" s="414">
        <f t="shared" si="112"/>
        <v>0</v>
      </c>
      <c r="BI57" s="414">
        <f t="shared" si="113"/>
        <v>0</v>
      </c>
      <c r="BJ57" s="414">
        <f t="shared" si="114"/>
        <v>37073.189999999995</v>
      </c>
      <c r="BK57" s="414">
        <f t="shared" si="115"/>
        <v>0</v>
      </c>
      <c r="BL57" s="414">
        <f t="shared" si="116"/>
        <v>0</v>
      </c>
      <c r="BM57" s="414">
        <f t="shared" si="117"/>
        <v>0</v>
      </c>
      <c r="BN57" s="414">
        <f t="shared" si="118"/>
        <v>0</v>
      </c>
      <c r="BO57" s="414">
        <f t="shared" si="119"/>
        <v>0</v>
      </c>
    </row>
    <row r="58" spans="2:67" s="89" customFormat="1" x14ac:dyDescent="0.2">
      <c r="B58" s="1058" t="s">
        <v>467</v>
      </c>
      <c r="C58" s="1059"/>
      <c r="D58" s="1059"/>
      <c r="E58" s="1059"/>
      <c r="F58" s="1059"/>
      <c r="G58" s="1059"/>
      <c r="H58" s="1059"/>
      <c r="I58" s="408">
        <f t="shared" si="69"/>
        <v>529713.12</v>
      </c>
      <c r="J58" s="289"/>
      <c r="K58" s="414"/>
      <c r="L58" s="414"/>
      <c r="M58" s="414"/>
      <c r="N58" s="414"/>
      <c r="O58" s="570"/>
      <c r="P58" s="576">
        <f t="shared" si="70"/>
        <v>0</v>
      </c>
      <c r="Q58" s="414">
        <f t="shared" si="71"/>
        <v>0</v>
      </c>
      <c r="R58" s="414">
        <f t="shared" si="72"/>
        <v>0</v>
      </c>
      <c r="S58" s="419">
        <f t="shared" si="73"/>
        <v>0</v>
      </c>
      <c r="T58" s="576">
        <f t="shared" si="74"/>
        <v>0</v>
      </c>
      <c r="U58" s="414">
        <f t="shared" si="120"/>
        <v>0</v>
      </c>
      <c r="V58" s="414">
        <f t="shared" si="121"/>
        <v>0</v>
      </c>
      <c r="W58" s="419">
        <f t="shared" si="75"/>
        <v>0</v>
      </c>
      <c r="X58" s="572">
        <f t="shared" si="76"/>
        <v>0</v>
      </c>
      <c r="Y58" s="414">
        <f t="shared" si="77"/>
        <v>0</v>
      </c>
      <c r="Z58" s="414">
        <f t="shared" si="78"/>
        <v>0</v>
      </c>
      <c r="AA58" s="414">
        <f t="shared" si="79"/>
        <v>0</v>
      </c>
      <c r="AB58" s="414">
        <f t="shared" si="80"/>
        <v>26424.000000000004</v>
      </c>
      <c r="AC58" s="414">
        <f t="shared" si="81"/>
        <v>0</v>
      </c>
      <c r="AD58" s="414">
        <f t="shared" si="82"/>
        <v>0</v>
      </c>
      <c r="AE58" s="414">
        <f t="shared" si="83"/>
        <v>0</v>
      </c>
      <c r="AF58" s="414">
        <f t="shared" si="84"/>
        <v>110452.32000000002</v>
      </c>
      <c r="AG58" s="414">
        <f t="shared" si="85"/>
        <v>10569.600000000002</v>
      </c>
      <c r="AH58" s="414">
        <f t="shared" si="86"/>
        <v>26424.000000000004</v>
      </c>
      <c r="AI58" s="414">
        <f t="shared" si="87"/>
        <v>78743.520000000004</v>
      </c>
      <c r="AJ58" s="414">
        <f t="shared" si="88"/>
        <v>0</v>
      </c>
      <c r="AK58" s="414">
        <f t="shared" si="89"/>
        <v>0</v>
      </c>
      <c r="AL58" s="414">
        <f t="shared" si="90"/>
        <v>0</v>
      </c>
      <c r="AM58" s="414">
        <f t="shared" si="91"/>
        <v>0</v>
      </c>
      <c r="AN58" s="414">
        <f t="shared" si="92"/>
        <v>0</v>
      </c>
      <c r="AO58" s="414">
        <f t="shared" si="93"/>
        <v>0</v>
      </c>
      <c r="AP58" s="414">
        <f t="shared" si="94"/>
        <v>26424.000000000004</v>
      </c>
      <c r="AQ58" s="414">
        <f t="shared" si="95"/>
        <v>0</v>
      </c>
      <c r="AR58" s="414">
        <f t="shared" si="96"/>
        <v>0</v>
      </c>
      <c r="AS58" s="414">
        <f t="shared" si="97"/>
        <v>26424.000000000004</v>
      </c>
      <c r="AT58" s="414">
        <f t="shared" si="98"/>
        <v>0</v>
      </c>
      <c r="AU58" s="414">
        <f t="shared" si="99"/>
        <v>0</v>
      </c>
      <c r="AV58" s="414">
        <f t="shared" si="100"/>
        <v>0</v>
      </c>
      <c r="AW58" s="414">
        <f t="shared" si="101"/>
        <v>0</v>
      </c>
      <c r="AX58" s="414">
        <f t="shared" si="102"/>
        <v>0</v>
      </c>
      <c r="AY58" s="414">
        <f t="shared" si="103"/>
        <v>0</v>
      </c>
      <c r="AZ58" s="414">
        <f t="shared" si="104"/>
        <v>26424.000000000004</v>
      </c>
      <c r="BA58" s="414">
        <f t="shared" si="105"/>
        <v>0</v>
      </c>
      <c r="BB58" s="414">
        <f t="shared" si="106"/>
        <v>0</v>
      </c>
      <c r="BC58" s="414">
        <f t="shared" si="107"/>
        <v>26424.000000000004</v>
      </c>
      <c r="BD58" s="414">
        <f t="shared" si="108"/>
        <v>0</v>
      </c>
      <c r="BE58" s="414">
        <f t="shared" si="109"/>
        <v>0</v>
      </c>
      <c r="BF58" s="414">
        <f t="shared" si="110"/>
        <v>47739.360000000008</v>
      </c>
      <c r="BG58" s="414">
        <f t="shared" si="111"/>
        <v>0</v>
      </c>
      <c r="BH58" s="414">
        <f t="shared" si="112"/>
        <v>0</v>
      </c>
      <c r="BI58" s="414">
        <f t="shared" si="113"/>
        <v>0</v>
      </c>
      <c r="BJ58" s="414">
        <f t="shared" si="114"/>
        <v>48444.000000000007</v>
      </c>
      <c r="BK58" s="414">
        <f t="shared" si="115"/>
        <v>20963.040000000005</v>
      </c>
      <c r="BL58" s="414">
        <f t="shared" si="116"/>
        <v>0</v>
      </c>
      <c r="BM58" s="414">
        <f t="shared" si="117"/>
        <v>0</v>
      </c>
      <c r="BN58" s="414">
        <f t="shared" si="118"/>
        <v>0</v>
      </c>
      <c r="BO58" s="414">
        <f t="shared" si="119"/>
        <v>54257.280000000006</v>
      </c>
    </row>
    <row r="59" spans="2:67" s="89" customFormat="1" x14ac:dyDescent="0.2">
      <c r="B59" s="1058" t="s">
        <v>508</v>
      </c>
      <c r="C59" s="1059"/>
      <c r="D59" s="1059"/>
      <c r="E59" s="1059"/>
      <c r="F59" s="1059"/>
      <c r="G59" s="1059"/>
      <c r="H59" s="1059"/>
      <c r="I59" s="408">
        <f t="shared" si="69"/>
        <v>331837.63000000006</v>
      </c>
      <c r="J59" s="289"/>
      <c r="K59" s="414"/>
      <c r="L59" s="414"/>
      <c r="M59" s="414"/>
      <c r="N59" s="414"/>
      <c r="O59" s="570"/>
      <c r="P59" s="576">
        <f t="shared" si="70"/>
        <v>0</v>
      </c>
      <c r="Q59" s="414">
        <f t="shared" si="71"/>
        <v>0</v>
      </c>
      <c r="R59" s="414">
        <f t="shared" si="72"/>
        <v>0</v>
      </c>
      <c r="S59" s="419">
        <f t="shared" si="73"/>
        <v>0</v>
      </c>
      <c r="T59" s="576">
        <f t="shared" si="74"/>
        <v>0</v>
      </c>
      <c r="U59" s="414">
        <f t="shared" si="120"/>
        <v>0</v>
      </c>
      <c r="V59" s="414">
        <f t="shared" si="121"/>
        <v>0</v>
      </c>
      <c r="W59" s="419">
        <f t="shared" si="75"/>
        <v>0</v>
      </c>
      <c r="X59" s="572">
        <f t="shared" si="76"/>
        <v>0</v>
      </c>
      <c r="Y59" s="414">
        <f t="shared" si="77"/>
        <v>0</v>
      </c>
      <c r="Z59" s="414">
        <f t="shared" si="78"/>
        <v>0</v>
      </c>
      <c r="AA59" s="414">
        <f t="shared" si="79"/>
        <v>0</v>
      </c>
      <c r="AB59" s="414">
        <f t="shared" si="80"/>
        <v>0</v>
      </c>
      <c r="AC59" s="414">
        <f t="shared" si="81"/>
        <v>0</v>
      </c>
      <c r="AD59" s="414">
        <f t="shared" si="82"/>
        <v>0</v>
      </c>
      <c r="AE59" s="414">
        <f t="shared" si="83"/>
        <v>0</v>
      </c>
      <c r="AF59" s="414">
        <f t="shared" si="84"/>
        <v>0</v>
      </c>
      <c r="AG59" s="414">
        <f t="shared" si="85"/>
        <v>0</v>
      </c>
      <c r="AH59" s="414">
        <f t="shared" si="86"/>
        <v>0</v>
      </c>
      <c r="AI59" s="414">
        <f t="shared" si="87"/>
        <v>0</v>
      </c>
      <c r="AJ59" s="414">
        <f t="shared" si="88"/>
        <v>0</v>
      </c>
      <c r="AK59" s="414">
        <f t="shared" si="89"/>
        <v>0</v>
      </c>
      <c r="AL59" s="414">
        <f t="shared" si="90"/>
        <v>62308.800000000003</v>
      </c>
      <c r="AM59" s="414">
        <f t="shared" si="91"/>
        <v>0</v>
      </c>
      <c r="AN59" s="414">
        <f t="shared" si="92"/>
        <v>0</v>
      </c>
      <c r="AO59" s="414">
        <f t="shared" si="93"/>
        <v>0</v>
      </c>
      <c r="AP59" s="414">
        <f t="shared" si="94"/>
        <v>25962.000000000004</v>
      </c>
      <c r="AQ59" s="414">
        <f t="shared" si="95"/>
        <v>0</v>
      </c>
      <c r="AR59" s="414">
        <f t="shared" si="96"/>
        <v>0</v>
      </c>
      <c r="AS59" s="414">
        <f t="shared" si="97"/>
        <v>25962.000000000004</v>
      </c>
      <c r="AT59" s="414">
        <f t="shared" si="98"/>
        <v>0</v>
      </c>
      <c r="AU59" s="414">
        <f t="shared" si="99"/>
        <v>0</v>
      </c>
      <c r="AV59" s="414">
        <f t="shared" si="100"/>
        <v>0</v>
      </c>
      <c r="AW59" s="414">
        <f t="shared" si="101"/>
        <v>0</v>
      </c>
      <c r="AX59" s="414">
        <f t="shared" si="102"/>
        <v>0</v>
      </c>
      <c r="AY59" s="414">
        <f t="shared" si="103"/>
        <v>28125.500000000004</v>
      </c>
      <c r="AZ59" s="414">
        <f t="shared" si="104"/>
        <v>34962.160000000003</v>
      </c>
      <c r="BA59" s="414">
        <f t="shared" si="105"/>
        <v>0</v>
      </c>
      <c r="BB59" s="414">
        <f t="shared" si="106"/>
        <v>0</v>
      </c>
      <c r="BC59" s="414">
        <f t="shared" si="107"/>
        <v>0</v>
      </c>
      <c r="BD59" s="414">
        <f t="shared" si="108"/>
        <v>0</v>
      </c>
      <c r="BE59" s="414">
        <f t="shared" si="109"/>
        <v>0</v>
      </c>
      <c r="BF59" s="414">
        <f t="shared" si="110"/>
        <v>0</v>
      </c>
      <c r="BG59" s="414">
        <f t="shared" si="111"/>
        <v>44395.020000000004</v>
      </c>
      <c r="BH59" s="414">
        <f t="shared" si="112"/>
        <v>0</v>
      </c>
      <c r="BI59" s="414">
        <f t="shared" si="113"/>
        <v>0</v>
      </c>
      <c r="BJ59" s="414">
        <f t="shared" si="114"/>
        <v>0</v>
      </c>
      <c r="BK59" s="414">
        <f t="shared" si="115"/>
        <v>62611.69</v>
      </c>
      <c r="BL59" s="414">
        <f t="shared" si="116"/>
        <v>0</v>
      </c>
      <c r="BM59" s="414">
        <f t="shared" si="117"/>
        <v>0</v>
      </c>
      <c r="BN59" s="414">
        <f t="shared" si="118"/>
        <v>0</v>
      </c>
      <c r="BO59" s="414">
        <f t="shared" si="119"/>
        <v>47510.460000000006</v>
      </c>
    </row>
    <row r="60" spans="2:67" s="89" customFormat="1" x14ac:dyDescent="0.2">
      <c r="B60" s="1058" t="s">
        <v>509</v>
      </c>
      <c r="C60" s="1059"/>
      <c r="D60" s="1059"/>
      <c r="E60" s="1059"/>
      <c r="F60" s="1059"/>
      <c r="G60" s="1059"/>
      <c r="H60" s="1059"/>
      <c r="I60" s="408">
        <f t="shared" si="69"/>
        <v>507028.80000000005</v>
      </c>
      <c r="J60" s="289"/>
      <c r="K60" s="414"/>
      <c r="L60" s="414"/>
      <c r="M60" s="414"/>
      <c r="N60" s="414"/>
      <c r="O60" s="570"/>
      <c r="P60" s="576">
        <f t="shared" si="70"/>
        <v>0</v>
      </c>
      <c r="Q60" s="414">
        <f t="shared" si="71"/>
        <v>0</v>
      </c>
      <c r="R60" s="414">
        <f t="shared" si="72"/>
        <v>0</v>
      </c>
      <c r="S60" s="419">
        <f t="shared" si="73"/>
        <v>0</v>
      </c>
      <c r="T60" s="576">
        <f t="shared" si="74"/>
        <v>0</v>
      </c>
      <c r="U60" s="414">
        <f t="shared" si="120"/>
        <v>0</v>
      </c>
      <c r="V60" s="414">
        <f t="shared" si="121"/>
        <v>0</v>
      </c>
      <c r="W60" s="419">
        <f t="shared" si="75"/>
        <v>0</v>
      </c>
      <c r="X60" s="572">
        <f t="shared" si="76"/>
        <v>0</v>
      </c>
      <c r="Y60" s="414">
        <f t="shared" si="77"/>
        <v>0</v>
      </c>
      <c r="Z60" s="414">
        <f t="shared" si="78"/>
        <v>0</v>
      </c>
      <c r="AA60" s="414">
        <f t="shared" si="79"/>
        <v>0</v>
      </c>
      <c r="AB60" s="414">
        <f t="shared" si="80"/>
        <v>0</v>
      </c>
      <c r="AC60" s="414">
        <f t="shared" si="81"/>
        <v>0</v>
      </c>
      <c r="AD60" s="414">
        <f t="shared" si="82"/>
        <v>0</v>
      </c>
      <c r="AE60" s="414">
        <f t="shared" si="83"/>
        <v>0</v>
      </c>
      <c r="AF60" s="414">
        <f t="shared" si="84"/>
        <v>0</v>
      </c>
      <c r="AG60" s="414">
        <f t="shared" si="85"/>
        <v>0</v>
      </c>
      <c r="AH60" s="414">
        <f t="shared" si="86"/>
        <v>0</v>
      </c>
      <c r="AI60" s="414">
        <f t="shared" si="87"/>
        <v>0</v>
      </c>
      <c r="AJ60" s="414">
        <f t="shared" si="88"/>
        <v>0</v>
      </c>
      <c r="AK60" s="414">
        <f t="shared" si="89"/>
        <v>0</v>
      </c>
      <c r="AL60" s="414">
        <f t="shared" si="90"/>
        <v>0</v>
      </c>
      <c r="AM60" s="414">
        <f t="shared" si="91"/>
        <v>78398.460000000006</v>
      </c>
      <c r="AN60" s="414">
        <f t="shared" si="92"/>
        <v>0</v>
      </c>
      <c r="AO60" s="414">
        <f t="shared" si="93"/>
        <v>0</v>
      </c>
      <c r="AP60" s="414">
        <f t="shared" si="94"/>
        <v>78138</v>
      </c>
      <c r="AQ60" s="414">
        <f t="shared" si="95"/>
        <v>0</v>
      </c>
      <c r="AR60" s="414">
        <f t="shared" si="96"/>
        <v>0</v>
      </c>
      <c r="AS60" s="414">
        <f t="shared" si="97"/>
        <v>78138</v>
      </c>
      <c r="AT60" s="414">
        <f t="shared" si="98"/>
        <v>0</v>
      </c>
      <c r="AU60" s="414">
        <f t="shared" si="99"/>
        <v>0</v>
      </c>
      <c r="AV60" s="414">
        <f t="shared" si="100"/>
        <v>0</v>
      </c>
      <c r="AW60" s="414">
        <f t="shared" si="101"/>
        <v>0</v>
      </c>
      <c r="AX60" s="414">
        <f t="shared" si="102"/>
        <v>0</v>
      </c>
      <c r="AY60" s="414">
        <f t="shared" si="103"/>
        <v>0</v>
      </c>
      <c r="AZ60" s="414">
        <f t="shared" si="104"/>
        <v>72147.420000000013</v>
      </c>
      <c r="BA60" s="414">
        <f t="shared" si="105"/>
        <v>0</v>
      </c>
      <c r="BB60" s="414">
        <f t="shared" si="106"/>
        <v>0</v>
      </c>
      <c r="BC60" s="414">
        <f t="shared" si="107"/>
        <v>0</v>
      </c>
      <c r="BD60" s="414">
        <f t="shared" si="108"/>
        <v>0</v>
      </c>
      <c r="BE60" s="414">
        <f t="shared" si="109"/>
        <v>0</v>
      </c>
      <c r="BF60" s="414">
        <f t="shared" si="110"/>
        <v>0</v>
      </c>
      <c r="BG60" s="414">
        <f t="shared" si="111"/>
        <v>62206.530000000006</v>
      </c>
      <c r="BH60" s="414">
        <f t="shared" si="112"/>
        <v>0</v>
      </c>
      <c r="BI60" s="414">
        <f t="shared" si="113"/>
        <v>0</v>
      </c>
      <c r="BJ60" s="414">
        <f t="shared" si="114"/>
        <v>0</v>
      </c>
      <c r="BK60" s="414">
        <f t="shared" si="115"/>
        <v>78398.460000000006</v>
      </c>
      <c r="BL60" s="414">
        <f t="shared" si="116"/>
        <v>0</v>
      </c>
      <c r="BM60" s="414">
        <f t="shared" si="117"/>
        <v>0</v>
      </c>
      <c r="BN60" s="414">
        <f t="shared" si="118"/>
        <v>0</v>
      </c>
      <c r="BO60" s="414">
        <f t="shared" si="119"/>
        <v>59601.930000000008</v>
      </c>
    </row>
    <row r="61" spans="2:67" s="89" customFormat="1" x14ac:dyDescent="0.2">
      <c r="B61" s="1058" t="s">
        <v>510</v>
      </c>
      <c r="C61" s="1059"/>
      <c r="D61" s="1059"/>
      <c r="E61" s="1059"/>
      <c r="F61" s="1059"/>
      <c r="G61" s="1059"/>
      <c r="H61" s="1059"/>
      <c r="I61" s="408">
        <f t="shared" si="69"/>
        <v>158890.5</v>
      </c>
      <c r="J61" s="289"/>
      <c r="K61" s="415"/>
      <c r="L61" s="415"/>
      <c r="M61" s="414"/>
      <c r="N61" s="414"/>
      <c r="O61" s="570"/>
      <c r="P61" s="576">
        <f t="shared" ref="P61:AQ61" si="122">+O37</f>
        <v>0</v>
      </c>
      <c r="Q61" s="414">
        <f t="shared" si="122"/>
        <v>0</v>
      </c>
      <c r="R61" s="414">
        <f t="shared" si="122"/>
        <v>0</v>
      </c>
      <c r="S61" s="419">
        <f t="shared" si="122"/>
        <v>0</v>
      </c>
      <c r="T61" s="576">
        <f t="shared" si="122"/>
        <v>0</v>
      </c>
      <c r="U61" s="414">
        <f t="shared" si="122"/>
        <v>0</v>
      </c>
      <c r="V61" s="414">
        <f t="shared" si="122"/>
        <v>0</v>
      </c>
      <c r="W61" s="419">
        <f t="shared" si="122"/>
        <v>0</v>
      </c>
      <c r="X61" s="572">
        <f t="shared" si="122"/>
        <v>0</v>
      </c>
      <c r="Y61" s="414">
        <f t="shared" si="122"/>
        <v>0</v>
      </c>
      <c r="Z61" s="414">
        <f t="shared" si="122"/>
        <v>0</v>
      </c>
      <c r="AA61" s="414">
        <f t="shared" si="122"/>
        <v>0</v>
      </c>
      <c r="AB61" s="414">
        <f t="shared" si="122"/>
        <v>0</v>
      </c>
      <c r="AC61" s="414">
        <f t="shared" si="122"/>
        <v>0</v>
      </c>
      <c r="AD61" s="414">
        <f t="shared" si="122"/>
        <v>0</v>
      </c>
      <c r="AE61" s="414">
        <f t="shared" si="122"/>
        <v>0</v>
      </c>
      <c r="AF61" s="414">
        <f t="shared" si="122"/>
        <v>0</v>
      </c>
      <c r="AG61" s="414">
        <f t="shared" si="122"/>
        <v>0</v>
      </c>
      <c r="AH61" s="414">
        <f t="shared" si="122"/>
        <v>0</v>
      </c>
      <c r="AI61" s="414">
        <f t="shared" si="122"/>
        <v>0</v>
      </c>
      <c r="AJ61" s="414">
        <f t="shared" si="122"/>
        <v>0</v>
      </c>
      <c r="AK61" s="414">
        <f t="shared" si="122"/>
        <v>0</v>
      </c>
      <c r="AL61" s="414">
        <f t="shared" si="122"/>
        <v>0</v>
      </c>
      <c r="AM61" s="414">
        <f t="shared" si="122"/>
        <v>0</v>
      </c>
      <c r="AN61" s="414">
        <f t="shared" si="122"/>
        <v>0</v>
      </c>
      <c r="AO61" s="414">
        <f t="shared" si="122"/>
        <v>0</v>
      </c>
      <c r="AP61" s="414">
        <f t="shared" si="122"/>
        <v>0</v>
      </c>
      <c r="AQ61" s="414">
        <f t="shared" si="122"/>
        <v>0</v>
      </c>
      <c r="AR61" s="414">
        <f t="shared" ref="AR61:BO61" si="123">+AQ37</f>
        <v>0</v>
      </c>
      <c r="AS61" s="414">
        <f t="shared" si="123"/>
        <v>0</v>
      </c>
      <c r="AT61" s="414">
        <f t="shared" si="123"/>
        <v>15577.5</v>
      </c>
      <c r="AU61" s="414">
        <f t="shared" si="123"/>
        <v>143313</v>
      </c>
      <c r="AV61" s="414">
        <f t="shared" si="123"/>
        <v>0</v>
      </c>
      <c r="AW61" s="414">
        <f t="shared" si="123"/>
        <v>0</v>
      </c>
      <c r="AX61" s="414">
        <f t="shared" si="123"/>
        <v>0</v>
      </c>
      <c r="AY61" s="414">
        <f t="shared" si="123"/>
        <v>0</v>
      </c>
      <c r="AZ61" s="414">
        <f t="shared" si="123"/>
        <v>0</v>
      </c>
      <c r="BA61" s="414">
        <f t="shared" si="123"/>
        <v>0</v>
      </c>
      <c r="BB61" s="414">
        <f t="shared" si="123"/>
        <v>0</v>
      </c>
      <c r="BC61" s="414">
        <f t="shared" si="123"/>
        <v>0</v>
      </c>
      <c r="BD61" s="414">
        <f t="shared" si="123"/>
        <v>0</v>
      </c>
      <c r="BE61" s="414">
        <f t="shared" si="123"/>
        <v>0</v>
      </c>
      <c r="BF61" s="414">
        <f t="shared" si="123"/>
        <v>0</v>
      </c>
      <c r="BG61" s="414">
        <f t="shared" si="123"/>
        <v>0</v>
      </c>
      <c r="BH61" s="414">
        <f t="shared" si="123"/>
        <v>0</v>
      </c>
      <c r="BI61" s="414">
        <f t="shared" si="123"/>
        <v>0</v>
      </c>
      <c r="BJ61" s="414">
        <f t="shared" si="123"/>
        <v>0</v>
      </c>
      <c r="BK61" s="414">
        <f t="shared" si="123"/>
        <v>0</v>
      </c>
      <c r="BL61" s="414">
        <f t="shared" si="123"/>
        <v>0</v>
      </c>
      <c r="BM61" s="414">
        <f t="shared" si="123"/>
        <v>0</v>
      </c>
      <c r="BN61" s="414">
        <f t="shared" si="123"/>
        <v>0</v>
      </c>
      <c r="BO61" s="414">
        <f t="shared" si="123"/>
        <v>0</v>
      </c>
    </row>
    <row r="62" spans="2:67" s="89" customFormat="1" x14ac:dyDescent="0.2">
      <c r="B62" s="1058" t="s">
        <v>511</v>
      </c>
      <c r="C62" s="1059"/>
      <c r="D62" s="1059"/>
      <c r="E62" s="1059"/>
      <c r="F62" s="1059"/>
      <c r="G62" s="1059"/>
      <c r="H62" s="1059"/>
      <c r="I62" s="408">
        <f t="shared" si="69"/>
        <v>44234.280000000013</v>
      </c>
      <c r="J62" s="289"/>
      <c r="K62" s="414"/>
      <c r="L62" s="414"/>
      <c r="M62" s="414"/>
      <c r="N62" s="414"/>
      <c r="O62" s="570"/>
      <c r="P62" s="576">
        <f t="shared" ref="P62:AQ62" si="124">+O38</f>
        <v>0</v>
      </c>
      <c r="Q62" s="414">
        <f t="shared" si="124"/>
        <v>0</v>
      </c>
      <c r="R62" s="414">
        <f t="shared" si="124"/>
        <v>0</v>
      </c>
      <c r="S62" s="419">
        <f t="shared" si="124"/>
        <v>0</v>
      </c>
      <c r="T62" s="576">
        <f t="shared" si="124"/>
        <v>0</v>
      </c>
      <c r="U62" s="414">
        <f t="shared" si="124"/>
        <v>0</v>
      </c>
      <c r="V62" s="414">
        <f t="shared" si="124"/>
        <v>0</v>
      </c>
      <c r="W62" s="419">
        <f t="shared" si="124"/>
        <v>0</v>
      </c>
      <c r="X62" s="572">
        <f t="shared" si="124"/>
        <v>0</v>
      </c>
      <c r="Y62" s="414">
        <f t="shared" si="124"/>
        <v>0</v>
      </c>
      <c r="Z62" s="414">
        <f t="shared" si="124"/>
        <v>0</v>
      </c>
      <c r="AA62" s="414">
        <f t="shared" si="124"/>
        <v>0</v>
      </c>
      <c r="AB62" s="414">
        <f t="shared" si="124"/>
        <v>0</v>
      </c>
      <c r="AC62" s="414">
        <f t="shared" si="124"/>
        <v>0</v>
      </c>
      <c r="AD62" s="414">
        <f t="shared" si="124"/>
        <v>0</v>
      </c>
      <c r="AE62" s="414">
        <f t="shared" si="124"/>
        <v>0</v>
      </c>
      <c r="AF62" s="414">
        <f t="shared" si="124"/>
        <v>0</v>
      </c>
      <c r="AG62" s="414">
        <f t="shared" si="124"/>
        <v>0</v>
      </c>
      <c r="AH62" s="414">
        <f t="shared" si="124"/>
        <v>0</v>
      </c>
      <c r="AI62" s="414">
        <f t="shared" si="124"/>
        <v>0</v>
      </c>
      <c r="AJ62" s="414">
        <f t="shared" si="124"/>
        <v>0</v>
      </c>
      <c r="AK62" s="414">
        <f t="shared" si="124"/>
        <v>0</v>
      </c>
      <c r="AL62" s="414">
        <f t="shared" si="124"/>
        <v>0</v>
      </c>
      <c r="AM62" s="414">
        <f t="shared" si="124"/>
        <v>0</v>
      </c>
      <c r="AN62" s="414">
        <f t="shared" si="124"/>
        <v>0</v>
      </c>
      <c r="AO62" s="414">
        <f t="shared" si="124"/>
        <v>0</v>
      </c>
      <c r="AP62" s="414">
        <f t="shared" si="124"/>
        <v>0</v>
      </c>
      <c r="AQ62" s="414">
        <f t="shared" si="124"/>
        <v>0</v>
      </c>
      <c r="AR62" s="414">
        <f t="shared" ref="AR62:BO62" si="125">+AQ38</f>
        <v>0</v>
      </c>
      <c r="AS62" s="414">
        <f t="shared" si="125"/>
        <v>0</v>
      </c>
      <c r="AT62" s="414">
        <f t="shared" si="125"/>
        <v>0</v>
      </c>
      <c r="AU62" s="414">
        <f t="shared" si="125"/>
        <v>0</v>
      </c>
      <c r="AV62" s="414">
        <f t="shared" si="125"/>
        <v>0</v>
      </c>
      <c r="AW62" s="414">
        <f t="shared" si="125"/>
        <v>0</v>
      </c>
      <c r="AX62" s="414">
        <f t="shared" si="125"/>
        <v>0</v>
      </c>
      <c r="AY62" s="414">
        <f t="shared" si="125"/>
        <v>44234.280000000013</v>
      </c>
      <c r="AZ62" s="414">
        <f t="shared" si="125"/>
        <v>0</v>
      </c>
      <c r="BA62" s="414">
        <f t="shared" si="125"/>
        <v>0</v>
      </c>
      <c r="BB62" s="414">
        <f t="shared" si="125"/>
        <v>0</v>
      </c>
      <c r="BC62" s="414">
        <f t="shared" si="125"/>
        <v>0</v>
      </c>
      <c r="BD62" s="414">
        <f t="shared" si="125"/>
        <v>0</v>
      </c>
      <c r="BE62" s="414">
        <f t="shared" si="125"/>
        <v>0</v>
      </c>
      <c r="BF62" s="414">
        <f t="shared" si="125"/>
        <v>0</v>
      </c>
      <c r="BG62" s="414">
        <f t="shared" si="125"/>
        <v>0</v>
      </c>
      <c r="BH62" s="414">
        <f t="shared" si="125"/>
        <v>0</v>
      </c>
      <c r="BI62" s="414">
        <f t="shared" si="125"/>
        <v>0</v>
      </c>
      <c r="BJ62" s="414">
        <f t="shared" si="125"/>
        <v>0</v>
      </c>
      <c r="BK62" s="414">
        <f t="shared" si="125"/>
        <v>0</v>
      </c>
      <c r="BL62" s="414">
        <f t="shared" si="125"/>
        <v>0</v>
      </c>
      <c r="BM62" s="414">
        <f t="shared" si="125"/>
        <v>0</v>
      </c>
      <c r="BN62" s="414">
        <f t="shared" si="125"/>
        <v>0</v>
      </c>
      <c r="BO62" s="414">
        <f t="shared" si="125"/>
        <v>0</v>
      </c>
    </row>
    <row r="63" spans="2:67" s="89" customFormat="1" x14ac:dyDescent="0.2">
      <c r="B63" s="1058" t="s">
        <v>512</v>
      </c>
      <c r="C63" s="1059"/>
      <c r="D63" s="1059"/>
      <c r="E63" s="1059"/>
      <c r="F63" s="1059"/>
      <c r="G63" s="1059"/>
      <c r="H63" s="1059"/>
      <c r="I63" s="408">
        <f t="shared" si="69"/>
        <v>49832.639999999999</v>
      </c>
      <c r="J63" s="289"/>
      <c r="K63" s="414"/>
      <c r="L63" s="414"/>
      <c r="M63" s="414"/>
      <c r="N63" s="414"/>
      <c r="O63" s="570"/>
      <c r="P63" s="576">
        <f t="shared" ref="P63:AQ63" si="126">+O39</f>
        <v>0</v>
      </c>
      <c r="Q63" s="414">
        <f t="shared" si="126"/>
        <v>0</v>
      </c>
      <c r="R63" s="414">
        <f t="shared" si="126"/>
        <v>0</v>
      </c>
      <c r="S63" s="419">
        <f t="shared" si="126"/>
        <v>0</v>
      </c>
      <c r="T63" s="576">
        <f t="shared" si="126"/>
        <v>0</v>
      </c>
      <c r="U63" s="414">
        <f t="shared" si="126"/>
        <v>0</v>
      </c>
      <c r="V63" s="414">
        <f t="shared" si="126"/>
        <v>0</v>
      </c>
      <c r="W63" s="419">
        <f t="shared" si="126"/>
        <v>0</v>
      </c>
      <c r="X63" s="572">
        <f t="shared" si="126"/>
        <v>0</v>
      </c>
      <c r="Y63" s="414">
        <f t="shared" si="126"/>
        <v>0</v>
      </c>
      <c r="Z63" s="414">
        <f t="shared" si="126"/>
        <v>0</v>
      </c>
      <c r="AA63" s="414">
        <f t="shared" si="126"/>
        <v>0</v>
      </c>
      <c r="AB63" s="414">
        <f t="shared" si="126"/>
        <v>0</v>
      </c>
      <c r="AC63" s="414">
        <f t="shared" si="126"/>
        <v>0</v>
      </c>
      <c r="AD63" s="414">
        <f t="shared" si="126"/>
        <v>0</v>
      </c>
      <c r="AE63" s="414">
        <f t="shared" si="126"/>
        <v>0</v>
      </c>
      <c r="AF63" s="414">
        <f t="shared" si="126"/>
        <v>0</v>
      </c>
      <c r="AG63" s="414">
        <f t="shared" si="126"/>
        <v>0</v>
      </c>
      <c r="AH63" s="414">
        <f t="shared" si="126"/>
        <v>0</v>
      </c>
      <c r="AI63" s="414">
        <f t="shared" si="126"/>
        <v>0</v>
      </c>
      <c r="AJ63" s="414">
        <f t="shared" si="126"/>
        <v>0</v>
      </c>
      <c r="AK63" s="414">
        <f t="shared" si="126"/>
        <v>0</v>
      </c>
      <c r="AL63" s="414">
        <f t="shared" si="126"/>
        <v>0</v>
      </c>
      <c r="AM63" s="414">
        <f t="shared" si="126"/>
        <v>0</v>
      </c>
      <c r="AN63" s="414">
        <f t="shared" si="126"/>
        <v>0</v>
      </c>
      <c r="AO63" s="414">
        <f t="shared" si="126"/>
        <v>0</v>
      </c>
      <c r="AP63" s="414">
        <f t="shared" si="126"/>
        <v>0</v>
      </c>
      <c r="AQ63" s="414">
        <f t="shared" si="126"/>
        <v>0</v>
      </c>
      <c r="AR63" s="414">
        <f t="shared" ref="AR63:BO63" si="127">+AQ39</f>
        <v>0</v>
      </c>
      <c r="AS63" s="414">
        <f t="shared" si="127"/>
        <v>0</v>
      </c>
      <c r="AT63" s="414">
        <f t="shared" si="127"/>
        <v>0</v>
      </c>
      <c r="AU63" s="414">
        <f t="shared" si="127"/>
        <v>0</v>
      </c>
      <c r="AV63" s="414">
        <f t="shared" si="127"/>
        <v>0</v>
      </c>
      <c r="AW63" s="414">
        <f t="shared" si="127"/>
        <v>0</v>
      </c>
      <c r="AX63" s="414">
        <f t="shared" si="127"/>
        <v>26136</v>
      </c>
      <c r="AY63" s="414">
        <f t="shared" si="127"/>
        <v>23696.639999999999</v>
      </c>
      <c r="AZ63" s="414">
        <f t="shared" si="127"/>
        <v>0</v>
      </c>
      <c r="BA63" s="414">
        <f t="shared" si="127"/>
        <v>0</v>
      </c>
      <c r="BB63" s="414">
        <f t="shared" si="127"/>
        <v>0</v>
      </c>
      <c r="BC63" s="414">
        <f t="shared" si="127"/>
        <v>0</v>
      </c>
      <c r="BD63" s="414">
        <f t="shared" si="127"/>
        <v>0</v>
      </c>
      <c r="BE63" s="414">
        <f t="shared" si="127"/>
        <v>0</v>
      </c>
      <c r="BF63" s="414">
        <f t="shared" si="127"/>
        <v>0</v>
      </c>
      <c r="BG63" s="414">
        <f t="shared" si="127"/>
        <v>0</v>
      </c>
      <c r="BH63" s="414">
        <f t="shared" si="127"/>
        <v>0</v>
      </c>
      <c r="BI63" s="414">
        <f t="shared" si="127"/>
        <v>0</v>
      </c>
      <c r="BJ63" s="414">
        <f t="shared" si="127"/>
        <v>0</v>
      </c>
      <c r="BK63" s="414">
        <f t="shared" si="127"/>
        <v>0</v>
      </c>
      <c r="BL63" s="414">
        <f t="shared" si="127"/>
        <v>0</v>
      </c>
      <c r="BM63" s="414">
        <f t="shared" si="127"/>
        <v>0</v>
      </c>
      <c r="BN63" s="414">
        <f t="shared" si="127"/>
        <v>0</v>
      </c>
      <c r="BO63" s="414">
        <f t="shared" si="127"/>
        <v>0</v>
      </c>
    </row>
    <row r="64" spans="2:67" s="89" customFormat="1" x14ac:dyDescent="0.2">
      <c r="B64" s="1058" t="s">
        <v>513</v>
      </c>
      <c r="C64" s="1059"/>
      <c r="D64" s="1059"/>
      <c r="E64" s="1059"/>
      <c r="F64" s="1059"/>
      <c r="G64" s="1059"/>
      <c r="H64" s="1059"/>
      <c r="I64" s="408">
        <f t="shared" si="69"/>
        <v>61961.760000000017</v>
      </c>
      <c r="J64" s="289"/>
      <c r="K64" s="414"/>
      <c r="L64" s="414"/>
      <c r="M64" s="414"/>
      <c r="N64" s="414"/>
      <c r="O64" s="570"/>
      <c r="P64" s="576">
        <f t="shared" ref="P64:AQ64" si="128">+O40</f>
        <v>0</v>
      </c>
      <c r="Q64" s="414">
        <f t="shared" si="128"/>
        <v>0</v>
      </c>
      <c r="R64" s="414">
        <f t="shared" si="128"/>
        <v>0</v>
      </c>
      <c r="S64" s="419">
        <f t="shared" si="128"/>
        <v>0</v>
      </c>
      <c r="T64" s="576">
        <f t="shared" si="128"/>
        <v>0</v>
      </c>
      <c r="U64" s="414">
        <f t="shared" si="128"/>
        <v>0</v>
      </c>
      <c r="V64" s="414">
        <f t="shared" si="128"/>
        <v>0</v>
      </c>
      <c r="W64" s="419">
        <f t="shared" si="128"/>
        <v>0</v>
      </c>
      <c r="X64" s="572">
        <f t="shared" si="128"/>
        <v>0</v>
      </c>
      <c r="Y64" s="414">
        <f t="shared" si="128"/>
        <v>0</v>
      </c>
      <c r="Z64" s="414">
        <f t="shared" si="128"/>
        <v>0</v>
      </c>
      <c r="AA64" s="414">
        <f t="shared" si="128"/>
        <v>0</v>
      </c>
      <c r="AB64" s="414">
        <f t="shared" si="128"/>
        <v>0</v>
      </c>
      <c r="AC64" s="414">
        <f t="shared" si="128"/>
        <v>0</v>
      </c>
      <c r="AD64" s="414">
        <f t="shared" si="128"/>
        <v>0</v>
      </c>
      <c r="AE64" s="414">
        <f t="shared" si="128"/>
        <v>0</v>
      </c>
      <c r="AF64" s="414">
        <f t="shared" si="128"/>
        <v>0</v>
      </c>
      <c r="AG64" s="414">
        <f t="shared" si="128"/>
        <v>0</v>
      </c>
      <c r="AH64" s="414">
        <f t="shared" si="128"/>
        <v>0</v>
      </c>
      <c r="AI64" s="414">
        <f t="shared" si="128"/>
        <v>0</v>
      </c>
      <c r="AJ64" s="414">
        <f t="shared" si="128"/>
        <v>0</v>
      </c>
      <c r="AK64" s="414">
        <f t="shared" si="128"/>
        <v>0</v>
      </c>
      <c r="AL64" s="414">
        <f t="shared" si="128"/>
        <v>0</v>
      </c>
      <c r="AM64" s="414">
        <f t="shared" si="128"/>
        <v>0</v>
      </c>
      <c r="AN64" s="414">
        <f t="shared" si="128"/>
        <v>0</v>
      </c>
      <c r="AO64" s="414">
        <f t="shared" si="128"/>
        <v>0</v>
      </c>
      <c r="AP64" s="414">
        <f t="shared" si="128"/>
        <v>0</v>
      </c>
      <c r="AQ64" s="414">
        <f t="shared" si="128"/>
        <v>0</v>
      </c>
      <c r="AR64" s="414">
        <f t="shared" ref="AR64:BO64" si="129">+AQ40</f>
        <v>0</v>
      </c>
      <c r="AS64" s="414">
        <f t="shared" si="129"/>
        <v>0</v>
      </c>
      <c r="AT64" s="414">
        <f t="shared" si="129"/>
        <v>0</v>
      </c>
      <c r="AU64" s="414">
        <f t="shared" si="129"/>
        <v>0</v>
      </c>
      <c r="AV64" s="414">
        <f t="shared" si="129"/>
        <v>0</v>
      </c>
      <c r="AW64" s="414">
        <f t="shared" si="129"/>
        <v>0</v>
      </c>
      <c r="AX64" s="414">
        <f t="shared" si="129"/>
        <v>0</v>
      </c>
      <c r="AY64" s="414">
        <f t="shared" si="129"/>
        <v>61961.760000000017</v>
      </c>
      <c r="AZ64" s="414">
        <f t="shared" si="129"/>
        <v>0</v>
      </c>
      <c r="BA64" s="414">
        <f t="shared" si="129"/>
        <v>0</v>
      </c>
      <c r="BB64" s="414">
        <f t="shared" si="129"/>
        <v>0</v>
      </c>
      <c r="BC64" s="414">
        <f t="shared" si="129"/>
        <v>0</v>
      </c>
      <c r="BD64" s="414">
        <f t="shared" si="129"/>
        <v>0</v>
      </c>
      <c r="BE64" s="414">
        <f t="shared" si="129"/>
        <v>0</v>
      </c>
      <c r="BF64" s="414">
        <f t="shared" si="129"/>
        <v>0</v>
      </c>
      <c r="BG64" s="414">
        <f t="shared" si="129"/>
        <v>0</v>
      </c>
      <c r="BH64" s="414">
        <f t="shared" si="129"/>
        <v>0</v>
      </c>
      <c r="BI64" s="414">
        <f t="shared" si="129"/>
        <v>0</v>
      </c>
      <c r="BJ64" s="414">
        <f t="shared" si="129"/>
        <v>0</v>
      </c>
      <c r="BK64" s="414">
        <f t="shared" si="129"/>
        <v>0</v>
      </c>
      <c r="BL64" s="414">
        <f t="shared" si="129"/>
        <v>0</v>
      </c>
      <c r="BM64" s="414">
        <f t="shared" si="129"/>
        <v>0</v>
      </c>
      <c r="BN64" s="414">
        <f t="shared" si="129"/>
        <v>0</v>
      </c>
      <c r="BO64" s="414">
        <f t="shared" si="129"/>
        <v>0</v>
      </c>
    </row>
    <row r="65" spans="1:67" s="89" customFormat="1" x14ac:dyDescent="0.2">
      <c r="B65" s="1058" t="s">
        <v>15</v>
      </c>
      <c r="C65" s="1059"/>
      <c r="D65" s="1059"/>
      <c r="E65" s="1059"/>
      <c r="F65" s="1059"/>
      <c r="G65" s="1059"/>
      <c r="H65" s="1059"/>
      <c r="I65" s="408">
        <f t="shared" si="69"/>
        <v>1620960</v>
      </c>
      <c r="J65" s="289"/>
      <c r="K65" s="414"/>
      <c r="L65" s="414"/>
      <c r="M65" s="415"/>
      <c r="N65" s="415"/>
      <c r="O65" s="570"/>
      <c r="P65" s="576">
        <f t="shared" ref="P65:AS65" si="130">+O41</f>
        <v>0</v>
      </c>
      <c r="Q65" s="414">
        <f t="shared" si="130"/>
        <v>0</v>
      </c>
      <c r="R65" s="415">
        <f t="shared" si="130"/>
        <v>36960</v>
      </c>
      <c r="S65" s="419">
        <f t="shared" si="130"/>
        <v>0</v>
      </c>
      <c r="T65" s="576">
        <f t="shared" si="130"/>
        <v>0</v>
      </c>
      <c r="U65" s="414">
        <f t="shared" si="130"/>
        <v>0</v>
      </c>
      <c r="V65" s="414">
        <f t="shared" si="130"/>
        <v>0</v>
      </c>
      <c r="W65" s="577">
        <f t="shared" si="130"/>
        <v>61248</v>
      </c>
      <c r="X65" s="647">
        <f t="shared" si="130"/>
        <v>54912</v>
      </c>
      <c r="Y65" s="414">
        <f t="shared" si="130"/>
        <v>0</v>
      </c>
      <c r="Z65" s="414">
        <f t="shared" si="130"/>
        <v>0</v>
      </c>
      <c r="AA65" s="414">
        <f t="shared" si="130"/>
        <v>0</v>
      </c>
      <c r="AB65" s="414">
        <f t="shared" si="130"/>
        <v>17600</v>
      </c>
      <c r="AC65" s="414">
        <f t="shared" si="130"/>
        <v>89584</v>
      </c>
      <c r="AD65" s="414">
        <f t="shared" si="130"/>
        <v>0</v>
      </c>
      <c r="AE65" s="414">
        <f t="shared" si="130"/>
        <v>0</v>
      </c>
      <c r="AF65" s="414">
        <f t="shared" si="130"/>
        <v>0</v>
      </c>
      <c r="AG65" s="414">
        <f t="shared" si="130"/>
        <v>0</v>
      </c>
      <c r="AH65" s="414">
        <f t="shared" si="130"/>
        <v>146608</v>
      </c>
      <c r="AI65" s="414">
        <f t="shared" si="130"/>
        <v>197296</v>
      </c>
      <c r="AJ65" s="414">
        <f t="shared" si="130"/>
        <v>29920</v>
      </c>
      <c r="AK65" s="414">
        <f t="shared" si="130"/>
        <v>0</v>
      </c>
      <c r="AL65" s="414">
        <f t="shared" si="130"/>
        <v>0</v>
      </c>
      <c r="AM65" s="414">
        <f t="shared" si="130"/>
        <v>138336</v>
      </c>
      <c r="AN65" s="414">
        <f t="shared" si="130"/>
        <v>0</v>
      </c>
      <c r="AO65" s="414">
        <f t="shared" si="130"/>
        <v>0</v>
      </c>
      <c r="AP65" s="414">
        <f t="shared" si="130"/>
        <v>0</v>
      </c>
      <c r="AQ65" s="414">
        <f t="shared" si="130"/>
        <v>0</v>
      </c>
      <c r="AR65" s="414">
        <f t="shared" si="130"/>
        <v>0</v>
      </c>
      <c r="AS65" s="414">
        <f t="shared" si="130"/>
        <v>0</v>
      </c>
      <c r="AT65" s="414">
        <f t="shared" ref="AT65:BO65" si="131">+AS41</f>
        <v>137280</v>
      </c>
      <c r="AU65" s="414">
        <f t="shared" si="131"/>
        <v>0</v>
      </c>
      <c r="AV65" s="414">
        <f t="shared" si="131"/>
        <v>136224</v>
      </c>
      <c r="AW65" s="414">
        <f t="shared" si="131"/>
        <v>0</v>
      </c>
      <c r="AX65" s="414">
        <f t="shared" si="131"/>
        <v>0</v>
      </c>
      <c r="AY65" s="414">
        <f t="shared" si="131"/>
        <v>0</v>
      </c>
      <c r="AZ65" s="414">
        <f t="shared" si="131"/>
        <v>35200</v>
      </c>
      <c r="BA65" s="414">
        <f t="shared" si="131"/>
        <v>62480</v>
      </c>
      <c r="BB65" s="414">
        <f t="shared" si="131"/>
        <v>0</v>
      </c>
      <c r="BC65" s="414">
        <f t="shared" si="131"/>
        <v>0</v>
      </c>
      <c r="BD65" s="414">
        <f t="shared" si="131"/>
        <v>0</v>
      </c>
      <c r="BE65" s="414">
        <f t="shared" si="131"/>
        <v>0</v>
      </c>
      <c r="BF65" s="414">
        <f t="shared" si="131"/>
        <v>0</v>
      </c>
      <c r="BG65" s="414">
        <f t="shared" si="131"/>
        <v>0</v>
      </c>
      <c r="BH65" s="414">
        <f t="shared" si="131"/>
        <v>0</v>
      </c>
      <c r="BI65" s="414">
        <f t="shared" si="131"/>
        <v>26400</v>
      </c>
      <c r="BJ65" s="414">
        <f t="shared" si="131"/>
        <v>234432</v>
      </c>
      <c r="BK65" s="414">
        <f t="shared" si="131"/>
        <v>0</v>
      </c>
      <c r="BL65" s="414">
        <f t="shared" si="131"/>
        <v>0</v>
      </c>
      <c r="BM65" s="414">
        <f t="shared" si="131"/>
        <v>5280</v>
      </c>
      <c r="BN65" s="414">
        <f t="shared" si="131"/>
        <v>211200</v>
      </c>
      <c r="BO65" s="414">
        <f t="shared" si="131"/>
        <v>0</v>
      </c>
    </row>
    <row r="66" spans="1:67" s="89" customFormat="1" x14ac:dyDescent="0.2">
      <c r="B66" s="1058" t="s">
        <v>514</v>
      </c>
      <c r="C66" s="1059"/>
      <c r="D66" s="1059"/>
      <c r="E66" s="1059"/>
      <c r="F66" s="1059"/>
      <c r="G66" s="1059"/>
      <c r="H66" s="1059"/>
      <c r="I66" s="408">
        <f t="shared" si="69"/>
        <v>15000</v>
      </c>
      <c r="J66" s="289"/>
      <c r="K66" s="414"/>
      <c r="L66" s="414"/>
      <c r="M66" s="414"/>
      <c r="N66" s="414"/>
      <c r="O66" s="570"/>
      <c r="P66" s="576">
        <f t="shared" ref="P66:AS66" si="132">+O42</f>
        <v>0</v>
      </c>
      <c r="Q66" s="414">
        <f t="shared" si="132"/>
        <v>0</v>
      </c>
      <c r="R66" s="414">
        <f t="shared" si="132"/>
        <v>0</v>
      </c>
      <c r="S66" s="419">
        <f t="shared" si="132"/>
        <v>0</v>
      </c>
      <c r="T66" s="576">
        <f t="shared" si="132"/>
        <v>0</v>
      </c>
      <c r="U66" s="414">
        <f t="shared" si="132"/>
        <v>0</v>
      </c>
      <c r="V66" s="414">
        <f t="shared" si="132"/>
        <v>0</v>
      </c>
      <c r="W66" s="419">
        <f t="shared" si="132"/>
        <v>0</v>
      </c>
      <c r="X66" s="572">
        <f t="shared" si="132"/>
        <v>0</v>
      </c>
      <c r="Y66" s="414">
        <f t="shared" si="132"/>
        <v>0</v>
      </c>
      <c r="Z66" s="414">
        <f t="shared" si="132"/>
        <v>0</v>
      </c>
      <c r="AA66" s="414">
        <f t="shared" si="132"/>
        <v>0</v>
      </c>
      <c r="AB66" s="414">
        <f t="shared" si="132"/>
        <v>0</v>
      </c>
      <c r="AC66" s="414">
        <f t="shared" si="132"/>
        <v>0</v>
      </c>
      <c r="AD66" s="414">
        <f t="shared" si="132"/>
        <v>0</v>
      </c>
      <c r="AE66" s="414">
        <f t="shared" si="132"/>
        <v>0</v>
      </c>
      <c r="AF66" s="414">
        <f t="shared" si="132"/>
        <v>0</v>
      </c>
      <c r="AG66" s="414">
        <f t="shared" si="132"/>
        <v>0</v>
      </c>
      <c r="AH66" s="414">
        <f t="shared" si="132"/>
        <v>0</v>
      </c>
      <c r="AI66" s="414">
        <f t="shared" si="132"/>
        <v>0</v>
      </c>
      <c r="AJ66" s="414">
        <f t="shared" si="132"/>
        <v>0</v>
      </c>
      <c r="AK66" s="414">
        <f t="shared" si="132"/>
        <v>0</v>
      </c>
      <c r="AL66" s="414">
        <f t="shared" si="132"/>
        <v>0</v>
      </c>
      <c r="AM66" s="414">
        <f t="shared" si="132"/>
        <v>0</v>
      </c>
      <c r="AN66" s="414">
        <f t="shared" si="132"/>
        <v>0</v>
      </c>
      <c r="AO66" s="414">
        <f t="shared" si="132"/>
        <v>0</v>
      </c>
      <c r="AP66" s="414">
        <f t="shared" si="132"/>
        <v>0</v>
      </c>
      <c r="AQ66" s="414">
        <f t="shared" si="132"/>
        <v>0</v>
      </c>
      <c r="AR66" s="414">
        <f t="shared" si="132"/>
        <v>15000</v>
      </c>
      <c r="AS66" s="414">
        <f t="shared" si="132"/>
        <v>0</v>
      </c>
      <c r="AT66" s="414">
        <f t="shared" ref="AT66:BO66" si="133">+AS42</f>
        <v>0</v>
      </c>
      <c r="AU66" s="414">
        <f t="shared" si="133"/>
        <v>0</v>
      </c>
      <c r="AV66" s="414">
        <f t="shared" si="133"/>
        <v>0</v>
      </c>
      <c r="AW66" s="414">
        <f t="shared" si="133"/>
        <v>0</v>
      </c>
      <c r="AX66" s="414">
        <f t="shared" si="133"/>
        <v>0</v>
      </c>
      <c r="AY66" s="414">
        <f t="shared" si="133"/>
        <v>0</v>
      </c>
      <c r="AZ66" s="414">
        <f t="shared" si="133"/>
        <v>0</v>
      </c>
      <c r="BA66" s="414">
        <f t="shared" si="133"/>
        <v>0</v>
      </c>
      <c r="BB66" s="414">
        <f t="shared" si="133"/>
        <v>0</v>
      </c>
      <c r="BC66" s="414">
        <f t="shared" si="133"/>
        <v>0</v>
      </c>
      <c r="BD66" s="414">
        <f t="shared" si="133"/>
        <v>0</v>
      </c>
      <c r="BE66" s="414">
        <f t="shared" si="133"/>
        <v>0</v>
      </c>
      <c r="BF66" s="414">
        <f t="shared" si="133"/>
        <v>0</v>
      </c>
      <c r="BG66" s="414">
        <f t="shared" si="133"/>
        <v>0</v>
      </c>
      <c r="BH66" s="414">
        <f t="shared" si="133"/>
        <v>0</v>
      </c>
      <c r="BI66" s="414">
        <f t="shared" si="133"/>
        <v>0</v>
      </c>
      <c r="BJ66" s="414">
        <f t="shared" si="133"/>
        <v>0</v>
      </c>
      <c r="BK66" s="414">
        <f t="shared" si="133"/>
        <v>0</v>
      </c>
      <c r="BL66" s="414">
        <f t="shared" si="133"/>
        <v>0</v>
      </c>
      <c r="BM66" s="414">
        <f t="shared" si="133"/>
        <v>0</v>
      </c>
      <c r="BN66" s="414">
        <f t="shared" si="133"/>
        <v>0</v>
      </c>
      <c r="BO66" s="414">
        <f t="shared" si="133"/>
        <v>0</v>
      </c>
    </row>
    <row r="67" spans="1:67" s="89" customFormat="1" x14ac:dyDescent="0.2">
      <c r="B67" s="1058" t="s">
        <v>515</v>
      </c>
      <c r="C67" s="1059"/>
      <c r="D67" s="1059"/>
      <c r="E67" s="1059"/>
      <c r="F67" s="1059"/>
      <c r="G67" s="1059"/>
      <c r="H67" s="1059"/>
      <c r="I67" s="408">
        <f t="shared" si="69"/>
        <v>766292.67</v>
      </c>
      <c r="J67" s="289"/>
      <c r="K67" s="414"/>
      <c r="L67" s="414"/>
      <c r="M67" s="414"/>
      <c r="N67" s="414"/>
      <c r="O67" s="570"/>
      <c r="P67" s="576">
        <f t="shared" ref="P67:W67" si="134">+O43</f>
        <v>0</v>
      </c>
      <c r="Q67" s="414">
        <f t="shared" si="134"/>
        <v>0</v>
      </c>
      <c r="R67" s="414">
        <f t="shared" si="134"/>
        <v>0</v>
      </c>
      <c r="S67" s="419">
        <f t="shared" si="134"/>
        <v>0</v>
      </c>
      <c r="T67" s="576">
        <f t="shared" si="134"/>
        <v>0</v>
      </c>
      <c r="U67" s="414">
        <f t="shared" si="134"/>
        <v>0</v>
      </c>
      <c r="V67" s="415">
        <f t="shared" si="134"/>
        <v>60879</v>
      </c>
      <c r="W67" s="419">
        <f t="shared" si="134"/>
        <v>0</v>
      </c>
      <c r="X67" s="647">
        <f t="shared" ref="X67:BO67" si="135">+W43</f>
        <v>68880.240000000005</v>
      </c>
      <c r="Y67" s="414">
        <f t="shared" si="135"/>
        <v>0</v>
      </c>
      <c r="Z67" s="414">
        <f t="shared" si="135"/>
        <v>0</v>
      </c>
      <c r="AA67" s="414">
        <f t="shared" si="135"/>
        <v>0</v>
      </c>
      <c r="AB67" s="414">
        <f t="shared" si="135"/>
        <v>42441.36</v>
      </c>
      <c r="AC67" s="414">
        <f t="shared" si="135"/>
        <v>0</v>
      </c>
      <c r="AD67" s="414">
        <f t="shared" si="135"/>
        <v>0</v>
      </c>
      <c r="AE67" s="414">
        <f t="shared" si="135"/>
        <v>0</v>
      </c>
      <c r="AF67" s="414">
        <f t="shared" si="135"/>
        <v>0</v>
      </c>
      <c r="AG67" s="414">
        <f t="shared" si="135"/>
        <v>52182</v>
      </c>
      <c r="AH67" s="414">
        <f t="shared" si="135"/>
        <v>50790.479999999996</v>
      </c>
      <c r="AI67" s="414">
        <f t="shared" si="135"/>
        <v>0</v>
      </c>
      <c r="AJ67" s="414">
        <f t="shared" si="135"/>
        <v>0</v>
      </c>
      <c r="AK67" s="414">
        <f t="shared" si="135"/>
        <v>0</v>
      </c>
      <c r="AL67" s="414">
        <f t="shared" si="135"/>
        <v>0</v>
      </c>
      <c r="AM67" s="414">
        <f t="shared" si="135"/>
        <v>0</v>
      </c>
      <c r="AN67" s="414">
        <f t="shared" si="135"/>
        <v>0</v>
      </c>
      <c r="AO67" s="414">
        <f t="shared" si="135"/>
        <v>0</v>
      </c>
      <c r="AP67" s="414">
        <f t="shared" si="135"/>
        <v>0</v>
      </c>
      <c r="AQ67" s="414">
        <f t="shared" si="135"/>
        <v>0</v>
      </c>
      <c r="AR67" s="414">
        <f t="shared" si="135"/>
        <v>0</v>
      </c>
      <c r="AS67" s="414">
        <f t="shared" si="135"/>
        <v>0</v>
      </c>
      <c r="AT67" s="414">
        <f t="shared" si="135"/>
        <v>30439.5</v>
      </c>
      <c r="AU67" s="414">
        <f t="shared" si="135"/>
        <v>56704.44</v>
      </c>
      <c r="AV67" s="414">
        <f t="shared" si="135"/>
        <v>100015.5</v>
      </c>
      <c r="AW67" s="414">
        <f t="shared" si="135"/>
        <v>0</v>
      </c>
      <c r="AX67" s="414">
        <f t="shared" si="135"/>
        <v>0</v>
      </c>
      <c r="AY67" s="414">
        <f t="shared" si="135"/>
        <v>0</v>
      </c>
      <c r="AZ67" s="414">
        <f t="shared" si="135"/>
        <v>34788</v>
      </c>
      <c r="BA67" s="414">
        <f t="shared" si="135"/>
        <v>34092.239999999998</v>
      </c>
      <c r="BB67" s="414">
        <f t="shared" si="135"/>
        <v>0</v>
      </c>
      <c r="BC67" s="414">
        <f t="shared" si="135"/>
        <v>0</v>
      </c>
      <c r="BD67" s="414">
        <f t="shared" si="135"/>
        <v>0</v>
      </c>
      <c r="BE67" s="414">
        <f t="shared" si="135"/>
        <v>0</v>
      </c>
      <c r="BF67" s="414">
        <f t="shared" si="135"/>
        <v>104624.91</v>
      </c>
      <c r="BG67" s="414">
        <f t="shared" si="135"/>
        <v>0</v>
      </c>
      <c r="BH67" s="414">
        <f t="shared" si="135"/>
        <v>0</v>
      </c>
      <c r="BI67" s="414">
        <f t="shared" si="135"/>
        <v>0</v>
      </c>
      <c r="BJ67" s="414">
        <f t="shared" si="135"/>
        <v>65227.5</v>
      </c>
      <c r="BK67" s="414">
        <f t="shared" si="135"/>
        <v>0</v>
      </c>
      <c r="BL67" s="414">
        <f t="shared" si="135"/>
        <v>0</v>
      </c>
      <c r="BM67" s="414">
        <f t="shared" si="135"/>
        <v>0</v>
      </c>
      <c r="BN67" s="414">
        <f t="shared" si="135"/>
        <v>52182</v>
      </c>
      <c r="BO67" s="414">
        <f t="shared" si="135"/>
        <v>13045.5</v>
      </c>
    </row>
    <row r="68" spans="1:67" s="89" customFormat="1" x14ac:dyDescent="0.2">
      <c r="B68" s="1058" t="s">
        <v>34</v>
      </c>
      <c r="C68" s="1059"/>
      <c r="D68" s="1059"/>
      <c r="E68" s="1059"/>
      <c r="F68" s="1059"/>
      <c r="G68" s="1059"/>
      <c r="H68" s="1059"/>
      <c r="I68" s="408">
        <f t="shared" si="69"/>
        <v>163950</v>
      </c>
      <c r="J68" s="289"/>
      <c r="K68" s="414"/>
      <c r="L68" s="414"/>
      <c r="M68" s="414"/>
      <c r="N68" s="414"/>
      <c r="O68" s="570"/>
      <c r="P68" s="576"/>
      <c r="Q68" s="414"/>
      <c r="R68" s="414"/>
      <c r="S68" s="419"/>
      <c r="T68" s="576"/>
      <c r="U68" s="414"/>
      <c r="V68" s="414"/>
      <c r="W68" s="419"/>
      <c r="X68" s="572"/>
      <c r="Y68" s="414"/>
      <c r="Z68" s="414"/>
      <c r="AA68" s="414"/>
      <c r="AB68" s="414"/>
      <c r="AC68" s="414"/>
      <c r="AD68" s="414"/>
      <c r="AE68" s="414"/>
      <c r="AF68" s="414"/>
      <c r="AG68" s="414"/>
      <c r="AH68" s="414"/>
      <c r="AI68" s="414"/>
      <c r="AJ68" s="414"/>
      <c r="AK68" s="414"/>
      <c r="AL68" s="414"/>
      <c r="AM68" s="414">
        <f>+L44</f>
        <v>18225</v>
      </c>
      <c r="AN68" s="414">
        <f t="shared" ref="AN68:BO68" si="136">+M44</f>
        <v>0</v>
      </c>
      <c r="AO68" s="414">
        <f t="shared" si="136"/>
        <v>0</v>
      </c>
      <c r="AP68" s="414">
        <f t="shared" si="136"/>
        <v>0</v>
      </c>
      <c r="AQ68" s="414">
        <f t="shared" si="136"/>
        <v>54025</v>
      </c>
      <c r="AR68" s="414">
        <f t="shared" si="136"/>
        <v>16075</v>
      </c>
      <c r="AS68" s="414">
        <f t="shared" si="136"/>
        <v>0</v>
      </c>
      <c r="AT68" s="414">
        <f t="shared" si="136"/>
        <v>0</v>
      </c>
      <c r="AU68" s="414">
        <f t="shared" si="136"/>
        <v>15000</v>
      </c>
      <c r="AV68" s="414">
        <f t="shared" si="136"/>
        <v>0</v>
      </c>
      <c r="AW68" s="414">
        <f t="shared" si="136"/>
        <v>0</v>
      </c>
      <c r="AX68" s="414">
        <f t="shared" si="136"/>
        <v>5000</v>
      </c>
      <c r="AY68" s="414">
        <f t="shared" si="136"/>
        <v>2950</v>
      </c>
      <c r="AZ68" s="414">
        <f t="shared" si="136"/>
        <v>0</v>
      </c>
      <c r="BA68" s="414">
        <f t="shared" si="136"/>
        <v>0</v>
      </c>
      <c r="BB68" s="414">
        <f t="shared" si="136"/>
        <v>0</v>
      </c>
      <c r="BC68" s="414">
        <f t="shared" si="136"/>
        <v>2050</v>
      </c>
      <c r="BD68" s="414">
        <f t="shared" si="136"/>
        <v>4100</v>
      </c>
      <c r="BE68" s="414">
        <f t="shared" si="136"/>
        <v>0</v>
      </c>
      <c r="BF68" s="414">
        <f t="shared" si="136"/>
        <v>16525</v>
      </c>
      <c r="BG68" s="414">
        <f t="shared" si="136"/>
        <v>0</v>
      </c>
      <c r="BH68" s="414">
        <f t="shared" si="136"/>
        <v>0</v>
      </c>
      <c r="BI68" s="414">
        <f t="shared" si="136"/>
        <v>0</v>
      </c>
      <c r="BJ68" s="414">
        <f t="shared" si="136"/>
        <v>30000</v>
      </c>
      <c r="BK68" s="414">
        <f t="shared" si="136"/>
        <v>0</v>
      </c>
      <c r="BL68" s="414">
        <f t="shared" si="136"/>
        <v>0</v>
      </c>
      <c r="BM68" s="414">
        <f t="shared" si="136"/>
        <v>0</v>
      </c>
      <c r="BN68" s="414">
        <f t="shared" si="136"/>
        <v>0</v>
      </c>
      <c r="BO68" s="414">
        <f t="shared" si="136"/>
        <v>0</v>
      </c>
    </row>
    <row r="69" spans="1:67" s="89" customFormat="1" x14ac:dyDescent="0.2">
      <c r="B69" s="1058" t="s">
        <v>468</v>
      </c>
      <c r="C69" s="1059"/>
      <c r="D69" s="1059"/>
      <c r="E69" s="1059"/>
      <c r="F69" s="1059"/>
      <c r="G69" s="1059"/>
      <c r="H69" s="1059"/>
      <c r="I69" s="408">
        <f t="shared" si="69"/>
        <v>25915.200000000001</v>
      </c>
      <c r="J69" s="289"/>
      <c r="K69" s="414"/>
      <c r="L69" s="414"/>
      <c r="M69" s="414"/>
      <c r="N69" s="414"/>
      <c r="O69" s="570"/>
      <c r="P69" s="576"/>
      <c r="Q69" s="414"/>
      <c r="R69" s="414"/>
      <c r="S69" s="419"/>
      <c r="T69" s="576"/>
      <c r="U69" s="414"/>
      <c r="V69" s="414"/>
      <c r="W69" s="419"/>
      <c r="X69" s="572">
        <f t="shared" ref="X69:AG69" si="137">+K45</f>
        <v>0</v>
      </c>
      <c r="Y69" s="414">
        <f t="shared" si="137"/>
        <v>0</v>
      </c>
      <c r="Z69" s="414">
        <f t="shared" si="137"/>
        <v>0</v>
      </c>
      <c r="AA69" s="414">
        <f t="shared" si="137"/>
        <v>0</v>
      </c>
      <c r="AB69" s="414">
        <f t="shared" si="137"/>
        <v>0</v>
      </c>
      <c r="AC69" s="414">
        <f t="shared" si="137"/>
        <v>0</v>
      </c>
      <c r="AD69" s="414">
        <f t="shared" si="137"/>
        <v>0</v>
      </c>
      <c r="AE69" s="414">
        <f t="shared" si="137"/>
        <v>0</v>
      </c>
      <c r="AF69" s="414">
        <f t="shared" si="137"/>
        <v>0</v>
      </c>
      <c r="AG69" s="414">
        <f t="shared" si="137"/>
        <v>0</v>
      </c>
      <c r="AH69" s="414">
        <f t="shared" ref="AH69:AQ70" si="138">+U45</f>
        <v>0</v>
      </c>
      <c r="AI69" s="414">
        <f t="shared" si="138"/>
        <v>0</v>
      </c>
      <c r="AJ69" s="414">
        <f t="shared" si="138"/>
        <v>0</v>
      </c>
      <c r="AK69" s="414">
        <f t="shared" si="138"/>
        <v>0</v>
      </c>
      <c r="AL69" s="414">
        <f t="shared" si="138"/>
        <v>10798</v>
      </c>
      <c r="AM69" s="414">
        <f t="shared" si="138"/>
        <v>15117.2</v>
      </c>
      <c r="AN69" s="414">
        <f t="shared" si="138"/>
        <v>0</v>
      </c>
      <c r="AO69" s="414">
        <f t="shared" si="138"/>
        <v>0</v>
      </c>
      <c r="AP69" s="414">
        <f t="shared" si="138"/>
        <v>0</v>
      </c>
      <c r="AQ69" s="414">
        <f t="shared" si="138"/>
        <v>0</v>
      </c>
      <c r="AR69" s="414">
        <f t="shared" ref="AR69:BA70" si="139">+AE45</f>
        <v>0</v>
      </c>
      <c r="AS69" s="414">
        <f t="shared" si="139"/>
        <v>0</v>
      </c>
      <c r="AT69" s="414">
        <f t="shared" si="139"/>
        <v>0</v>
      </c>
      <c r="AU69" s="414">
        <f t="shared" si="139"/>
        <v>0</v>
      </c>
      <c r="AV69" s="414">
        <f t="shared" si="139"/>
        <v>0</v>
      </c>
      <c r="AW69" s="414">
        <f t="shared" si="139"/>
        <v>0</v>
      </c>
      <c r="AX69" s="414">
        <f t="shared" si="139"/>
        <v>0</v>
      </c>
      <c r="AY69" s="414">
        <f t="shared" si="139"/>
        <v>0</v>
      </c>
      <c r="AZ69" s="414">
        <f t="shared" si="139"/>
        <v>0</v>
      </c>
      <c r="BA69" s="414">
        <f t="shared" si="139"/>
        <v>0</v>
      </c>
      <c r="BB69" s="414">
        <f t="shared" ref="BB69:BK70" si="140">+AO45</f>
        <v>0</v>
      </c>
      <c r="BC69" s="414">
        <f t="shared" si="140"/>
        <v>0</v>
      </c>
      <c r="BD69" s="414">
        <f t="shared" si="140"/>
        <v>0</v>
      </c>
      <c r="BE69" s="414">
        <f t="shared" si="140"/>
        <v>0</v>
      </c>
      <c r="BF69" s="414">
        <f t="shared" si="140"/>
        <v>0</v>
      </c>
      <c r="BG69" s="414">
        <f t="shared" si="140"/>
        <v>0</v>
      </c>
      <c r="BH69" s="414">
        <f t="shared" si="140"/>
        <v>0</v>
      </c>
      <c r="BI69" s="414">
        <f t="shared" si="140"/>
        <v>0</v>
      </c>
      <c r="BJ69" s="414">
        <f t="shared" si="140"/>
        <v>0</v>
      </c>
      <c r="BK69" s="414">
        <f t="shared" si="140"/>
        <v>0</v>
      </c>
      <c r="BL69" s="414">
        <f t="shared" ref="BL69:BO70" si="141">+AY45</f>
        <v>0</v>
      </c>
      <c r="BM69" s="414">
        <f t="shared" si="141"/>
        <v>0</v>
      </c>
      <c r="BN69" s="414">
        <f t="shared" si="141"/>
        <v>0</v>
      </c>
      <c r="BO69" s="414">
        <f t="shared" si="141"/>
        <v>0</v>
      </c>
    </row>
    <row r="70" spans="1:67" s="89" customFormat="1" x14ac:dyDescent="0.2">
      <c r="B70" s="1058" t="s">
        <v>469</v>
      </c>
      <c r="C70" s="1059"/>
      <c r="D70" s="1059"/>
      <c r="E70" s="1059"/>
      <c r="F70" s="1059"/>
      <c r="G70" s="1059"/>
      <c r="H70" s="1059"/>
      <c r="I70" s="408">
        <f t="shared" si="69"/>
        <v>66120.000000000015</v>
      </c>
      <c r="J70" s="289"/>
      <c r="K70" s="414"/>
      <c r="L70" s="414"/>
      <c r="M70" s="414"/>
      <c r="N70" s="414"/>
      <c r="O70" s="570"/>
      <c r="P70" s="576"/>
      <c r="Q70" s="414"/>
      <c r="R70" s="414"/>
      <c r="S70" s="419"/>
      <c r="T70" s="576"/>
      <c r="U70" s="414"/>
      <c r="V70" s="414"/>
      <c r="W70" s="419"/>
      <c r="X70" s="572">
        <f t="shared" ref="X70:AF70" si="142">+K46</f>
        <v>0</v>
      </c>
      <c r="Y70" s="414">
        <f t="shared" si="142"/>
        <v>0</v>
      </c>
      <c r="Z70" s="414">
        <f t="shared" si="142"/>
        <v>0</v>
      </c>
      <c r="AA70" s="414">
        <f t="shared" si="142"/>
        <v>0</v>
      </c>
      <c r="AB70" s="414">
        <f t="shared" si="142"/>
        <v>0</v>
      </c>
      <c r="AC70" s="414">
        <f t="shared" si="142"/>
        <v>0</v>
      </c>
      <c r="AD70" s="414">
        <f t="shared" si="142"/>
        <v>0</v>
      </c>
      <c r="AE70" s="414">
        <f t="shared" si="142"/>
        <v>0</v>
      </c>
      <c r="AF70" s="414">
        <f t="shared" si="142"/>
        <v>0</v>
      </c>
      <c r="AG70" s="414">
        <f>+T46</f>
        <v>0</v>
      </c>
      <c r="AH70" s="414">
        <f t="shared" si="138"/>
        <v>0</v>
      </c>
      <c r="AI70" s="414">
        <f t="shared" si="138"/>
        <v>0</v>
      </c>
      <c r="AJ70" s="414">
        <f t="shared" si="138"/>
        <v>0</v>
      </c>
      <c r="AK70" s="414">
        <f t="shared" si="138"/>
        <v>0</v>
      </c>
      <c r="AL70" s="414">
        <f t="shared" si="138"/>
        <v>0</v>
      </c>
      <c r="AM70" s="414">
        <f t="shared" si="138"/>
        <v>33060.000000000007</v>
      </c>
      <c r="AN70" s="414">
        <f t="shared" si="138"/>
        <v>0</v>
      </c>
      <c r="AO70" s="414">
        <f t="shared" si="138"/>
        <v>0</v>
      </c>
      <c r="AP70" s="414">
        <f t="shared" si="138"/>
        <v>0</v>
      </c>
      <c r="AQ70" s="414">
        <f t="shared" si="138"/>
        <v>0</v>
      </c>
      <c r="AR70" s="414">
        <f t="shared" si="139"/>
        <v>0</v>
      </c>
      <c r="AS70" s="414">
        <f t="shared" si="139"/>
        <v>0</v>
      </c>
      <c r="AT70" s="414">
        <f t="shared" si="139"/>
        <v>0</v>
      </c>
      <c r="AU70" s="414">
        <f t="shared" si="139"/>
        <v>0</v>
      </c>
      <c r="AV70" s="414">
        <f t="shared" si="139"/>
        <v>0</v>
      </c>
      <c r="AW70" s="414">
        <f t="shared" si="139"/>
        <v>0</v>
      </c>
      <c r="AX70" s="414">
        <f t="shared" si="139"/>
        <v>0</v>
      </c>
      <c r="AY70" s="414">
        <f t="shared" si="139"/>
        <v>0</v>
      </c>
      <c r="AZ70" s="414">
        <f t="shared" si="139"/>
        <v>0</v>
      </c>
      <c r="BA70" s="414">
        <f t="shared" si="139"/>
        <v>0</v>
      </c>
      <c r="BB70" s="414">
        <f t="shared" si="140"/>
        <v>0</v>
      </c>
      <c r="BC70" s="414">
        <f t="shared" si="140"/>
        <v>0</v>
      </c>
      <c r="BD70" s="414">
        <f t="shared" si="140"/>
        <v>0</v>
      </c>
      <c r="BE70" s="414">
        <f t="shared" si="140"/>
        <v>0</v>
      </c>
      <c r="BF70" s="414">
        <f t="shared" si="140"/>
        <v>0</v>
      </c>
      <c r="BG70" s="414">
        <f t="shared" si="140"/>
        <v>0</v>
      </c>
      <c r="BH70" s="414">
        <f t="shared" si="140"/>
        <v>0</v>
      </c>
      <c r="BI70" s="414">
        <f t="shared" si="140"/>
        <v>0</v>
      </c>
      <c r="BJ70" s="414">
        <f t="shared" si="140"/>
        <v>0</v>
      </c>
      <c r="BK70" s="414">
        <f t="shared" si="140"/>
        <v>0</v>
      </c>
      <c r="BL70" s="414">
        <f t="shared" si="141"/>
        <v>0</v>
      </c>
      <c r="BM70" s="414">
        <f t="shared" si="141"/>
        <v>0</v>
      </c>
      <c r="BN70" s="414">
        <f t="shared" si="141"/>
        <v>0</v>
      </c>
      <c r="BO70" s="414">
        <f t="shared" si="141"/>
        <v>33060.000000000007</v>
      </c>
    </row>
    <row r="71" spans="1:67" s="89" customFormat="1" x14ac:dyDescent="0.2">
      <c r="B71" s="1058" t="s">
        <v>224</v>
      </c>
      <c r="C71" s="1059"/>
      <c r="D71" s="1059"/>
      <c r="E71" s="1059"/>
      <c r="F71" s="1059"/>
      <c r="G71" s="1059"/>
      <c r="H71" s="1059"/>
      <c r="I71" s="408">
        <f t="shared" si="69"/>
        <v>0</v>
      </c>
      <c r="J71" s="289"/>
      <c r="K71" s="414"/>
      <c r="L71" s="414"/>
      <c r="M71" s="414"/>
      <c r="N71" s="414"/>
      <c r="O71" s="570"/>
      <c r="P71" s="576"/>
      <c r="Q71" s="414"/>
      <c r="R71" s="414"/>
      <c r="S71" s="419"/>
      <c r="T71" s="576"/>
      <c r="U71" s="414"/>
      <c r="V71" s="414"/>
      <c r="W71" s="419"/>
      <c r="X71" s="572"/>
      <c r="Y71" s="414"/>
      <c r="Z71" s="414"/>
      <c r="AA71" s="414"/>
      <c r="AB71" s="414"/>
      <c r="AC71" s="414"/>
      <c r="AD71" s="414"/>
      <c r="AE71" s="414"/>
      <c r="AF71" s="414"/>
      <c r="AG71" s="414"/>
      <c r="AH71" s="414"/>
      <c r="AI71" s="414"/>
      <c r="AJ71" s="414"/>
      <c r="AK71" s="414"/>
      <c r="AL71" s="414"/>
      <c r="AM71" s="414"/>
      <c r="AN71" s="414"/>
      <c r="AO71" s="414"/>
      <c r="AP71" s="414"/>
      <c r="AQ71" s="414"/>
      <c r="AR71" s="414"/>
      <c r="AS71" s="414"/>
      <c r="AT71" s="414"/>
      <c r="AU71" s="414"/>
      <c r="AV71" s="414"/>
      <c r="AW71" s="414"/>
      <c r="AX71" s="414"/>
      <c r="AY71" s="414"/>
      <c r="AZ71" s="414"/>
      <c r="BA71" s="414"/>
      <c r="BB71" s="414"/>
      <c r="BC71" s="414"/>
      <c r="BD71" s="414"/>
      <c r="BE71" s="414"/>
      <c r="BF71" s="414"/>
      <c r="BG71" s="414"/>
      <c r="BH71" s="414"/>
      <c r="BI71" s="414"/>
      <c r="BJ71" s="414"/>
      <c r="BK71" s="414"/>
      <c r="BL71" s="414"/>
      <c r="BM71" s="414"/>
      <c r="BN71" s="414"/>
      <c r="BO71" s="419"/>
    </row>
    <row r="72" spans="1:67" s="89" customFormat="1" x14ac:dyDescent="0.2">
      <c r="B72" s="1058" t="s">
        <v>470</v>
      </c>
      <c r="C72" s="1059"/>
      <c r="D72" s="1059"/>
      <c r="E72" s="1059"/>
      <c r="F72" s="1059"/>
      <c r="G72" s="1059"/>
      <c r="H72" s="1059"/>
      <c r="I72" s="408">
        <f t="shared" si="69"/>
        <v>237223.49250000005</v>
      </c>
      <c r="J72" s="289"/>
      <c r="K72" s="414"/>
      <c r="L72" s="414"/>
      <c r="M72" s="414"/>
      <c r="N72" s="414"/>
      <c r="O72" s="570"/>
      <c r="P72" s="576"/>
      <c r="Q72" s="414"/>
      <c r="R72" s="414">
        <f t="shared" ref="R72:AN72" si="143">+Q48</f>
        <v>0</v>
      </c>
      <c r="S72" s="419">
        <f t="shared" si="143"/>
        <v>0</v>
      </c>
      <c r="T72" s="576">
        <f t="shared" si="143"/>
        <v>0</v>
      </c>
      <c r="U72" s="414">
        <f t="shared" si="143"/>
        <v>0</v>
      </c>
      <c r="V72" s="414">
        <f t="shared" si="143"/>
        <v>0</v>
      </c>
      <c r="W72" s="419">
        <f t="shared" si="143"/>
        <v>0</v>
      </c>
      <c r="X72" s="572">
        <f t="shared" si="143"/>
        <v>0</v>
      </c>
      <c r="Y72" s="414">
        <f t="shared" si="143"/>
        <v>0</v>
      </c>
      <c r="Z72" s="414">
        <f t="shared" si="143"/>
        <v>0</v>
      </c>
      <c r="AA72" s="414">
        <f t="shared" si="143"/>
        <v>0</v>
      </c>
      <c r="AB72" s="414">
        <f t="shared" si="143"/>
        <v>0</v>
      </c>
      <c r="AC72" s="414">
        <f t="shared" si="143"/>
        <v>0</v>
      </c>
      <c r="AD72" s="414">
        <f t="shared" si="143"/>
        <v>0</v>
      </c>
      <c r="AE72" s="414">
        <f t="shared" si="143"/>
        <v>0</v>
      </c>
      <c r="AF72" s="414">
        <f t="shared" si="143"/>
        <v>0</v>
      </c>
      <c r="AG72" s="414">
        <f t="shared" si="143"/>
        <v>0</v>
      </c>
      <c r="AH72" s="414">
        <f t="shared" si="143"/>
        <v>0</v>
      </c>
      <c r="AI72" s="414">
        <f t="shared" si="143"/>
        <v>0</v>
      </c>
      <c r="AJ72" s="414">
        <f t="shared" si="143"/>
        <v>0</v>
      </c>
      <c r="AK72" s="414">
        <f t="shared" si="143"/>
        <v>0</v>
      </c>
      <c r="AL72" s="414">
        <f t="shared" si="143"/>
        <v>0</v>
      </c>
      <c r="AM72" s="414">
        <f t="shared" si="143"/>
        <v>0</v>
      </c>
      <c r="AN72" s="414">
        <f t="shared" si="143"/>
        <v>0</v>
      </c>
      <c r="AO72" s="414">
        <f t="shared" ref="AO72:BO72" si="144">+AN48</f>
        <v>0</v>
      </c>
      <c r="AP72" s="414">
        <f t="shared" si="144"/>
        <v>0</v>
      </c>
      <c r="AQ72" s="414">
        <f t="shared" si="144"/>
        <v>0</v>
      </c>
      <c r="AR72" s="414">
        <f t="shared" si="144"/>
        <v>0</v>
      </c>
      <c r="AS72" s="414">
        <f t="shared" si="144"/>
        <v>0</v>
      </c>
      <c r="AT72" s="414">
        <f t="shared" si="144"/>
        <v>0</v>
      </c>
      <c r="AU72" s="414">
        <f t="shared" si="144"/>
        <v>0</v>
      </c>
      <c r="AV72" s="414">
        <f t="shared" si="144"/>
        <v>0</v>
      </c>
      <c r="AW72" s="414">
        <f t="shared" si="144"/>
        <v>0</v>
      </c>
      <c r="AX72" s="414">
        <f t="shared" si="144"/>
        <v>0</v>
      </c>
      <c r="AY72" s="414">
        <f t="shared" si="144"/>
        <v>0</v>
      </c>
      <c r="AZ72" s="414">
        <f t="shared" si="144"/>
        <v>0</v>
      </c>
      <c r="BA72" s="414">
        <f t="shared" si="144"/>
        <v>0</v>
      </c>
      <c r="BB72" s="414">
        <f t="shared" si="144"/>
        <v>61447.602500000008</v>
      </c>
      <c r="BC72" s="414">
        <f t="shared" si="144"/>
        <v>0</v>
      </c>
      <c r="BD72" s="414">
        <f t="shared" si="144"/>
        <v>0</v>
      </c>
      <c r="BE72" s="414">
        <f t="shared" si="144"/>
        <v>0</v>
      </c>
      <c r="BF72" s="414">
        <f t="shared" si="144"/>
        <v>37102.765000000007</v>
      </c>
      <c r="BG72" s="414">
        <f t="shared" si="144"/>
        <v>0</v>
      </c>
      <c r="BH72" s="414">
        <f t="shared" si="144"/>
        <v>0</v>
      </c>
      <c r="BI72" s="414">
        <f t="shared" si="144"/>
        <v>0</v>
      </c>
      <c r="BJ72" s="414">
        <f t="shared" si="144"/>
        <v>0</v>
      </c>
      <c r="BK72" s="414">
        <f t="shared" si="144"/>
        <v>61632.500000000007</v>
      </c>
      <c r="BL72" s="414">
        <f t="shared" si="144"/>
        <v>0</v>
      </c>
      <c r="BM72" s="414">
        <f t="shared" si="144"/>
        <v>0</v>
      </c>
      <c r="BN72" s="414">
        <f t="shared" si="144"/>
        <v>0</v>
      </c>
      <c r="BO72" s="414">
        <f t="shared" si="144"/>
        <v>77040.625000000015</v>
      </c>
    </row>
    <row r="73" spans="1:67" s="89" customFormat="1" ht="16" thickBot="1" x14ac:dyDescent="0.25">
      <c r="B73" s="1058" t="s">
        <v>316</v>
      </c>
      <c r="C73" s="1059"/>
      <c r="D73" s="1059"/>
      <c r="E73" s="1059"/>
      <c r="F73" s="1059"/>
      <c r="G73" s="1059"/>
      <c r="H73" s="1059"/>
      <c r="I73" s="408">
        <f t="shared" si="69"/>
        <v>184722.24000000002</v>
      </c>
      <c r="J73" s="289"/>
      <c r="K73" s="414"/>
      <c r="L73" s="414"/>
      <c r="M73" s="414"/>
      <c r="N73" s="414"/>
      <c r="O73" s="570"/>
      <c r="P73" s="576"/>
      <c r="Q73" s="414"/>
      <c r="R73" s="414"/>
      <c r="S73" s="419"/>
      <c r="T73" s="576"/>
      <c r="U73" s="414"/>
      <c r="V73" s="414"/>
      <c r="W73" s="419"/>
      <c r="X73" s="572">
        <f t="shared" ref="X73:BO73" si="145">+K49</f>
        <v>0</v>
      </c>
      <c r="Y73" s="414">
        <f t="shared" si="145"/>
        <v>0</v>
      </c>
      <c r="Z73" s="414">
        <f t="shared" si="145"/>
        <v>0</v>
      </c>
      <c r="AA73" s="414">
        <f t="shared" si="145"/>
        <v>0</v>
      </c>
      <c r="AB73" s="414">
        <f t="shared" si="145"/>
        <v>0</v>
      </c>
      <c r="AC73" s="414">
        <f t="shared" si="145"/>
        <v>0</v>
      </c>
      <c r="AD73" s="414">
        <f t="shared" si="145"/>
        <v>0</v>
      </c>
      <c r="AE73" s="414">
        <f t="shared" si="145"/>
        <v>0</v>
      </c>
      <c r="AF73" s="414">
        <f t="shared" si="145"/>
        <v>0</v>
      </c>
      <c r="AG73" s="414">
        <f t="shared" si="145"/>
        <v>0</v>
      </c>
      <c r="AH73" s="414">
        <f t="shared" si="145"/>
        <v>0</v>
      </c>
      <c r="AI73" s="414">
        <f t="shared" si="145"/>
        <v>0</v>
      </c>
      <c r="AJ73" s="414">
        <f t="shared" si="145"/>
        <v>0</v>
      </c>
      <c r="AK73" s="414">
        <f t="shared" si="145"/>
        <v>0</v>
      </c>
      <c r="AL73" s="414">
        <f t="shared" si="145"/>
        <v>0</v>
      </c>
      <c r="AM73" s="414">
        <f t="shared" si="145"/>
        <v>0</v>
      </c>
      <c r="AN73" s="414">
        <f t="shared" si="145"/>
        <v>0</v>
      </c>
      <c r="AO73" s="414">
        <f t="shared" si="145"/>
        <v>0</v>
      </c>
      <c r="AP73" s="414">
        <f t="shared" si="145"/>
        <v>0</v>
      </c>
      <c r="AQ73" s="414">
        <f t="shared" si="145"/>
        <v>0</v>
      </c>
      <c r="AR73" s="414">
        <f t="shared" si="145"/>
        <v>0</v>
      </c>
      <c r="AS73" s="414">
        <f t="shared" si="145"/>
        <v>0</v>
      </c>
      <c r="AT73" s="414">
        <f t="shared" si="145"/>
        <v>0</v>
      </c>
      <c r="AU73" s="414">
        <f t="shared" si="145"/>
        <v>0</v>
      </c>
      <c r="AV73" s="414">
        <f t="shared" si="145"/>
        <v>0</v>
      </c>
      <c r="AW73" s="414">
        <f t="shared" si="145"/>
        <v>0</v>
      </c>
      <c r="AX73" s="414">
        <f t="shared" si="145"/>
        <v>0</v>
      </c>
      <c r="AY73" s="414">
        <f t="shared" si="145"/>
        <v>0</v>
      </c>
      <c r="AZ73" s="414">
        <f t="shared" si="145"/>
        <v>0</v>
      </c>
      <c r="BA73" s="414">
        <f t="shared" si="145"/>
        <v>0</v>
      </c>
      <c r="BB73" s="414">
        <f t="shared" si="145"/>
        <v>32257.920000000006</v>
      </c>
      <c r="BC73" s="414">
        <f t="shared" si="145"/>
        <v>0</v>
      </c>
      <c r="BD73" s="414">
        <f t="shared" si="145"/>
        <v>0</v>
      </c>
      <c r="BE73" s="414">
        <f t="shared" si="145"/>
        <v>111685.44000000002</v>
      </c>
      <c r="BF73" s="414">
        <f t="shared" si="145"/>
        <v>0</v>
      </c>
      <c r="BG73" s="414">
        <f t="shared" si="145"/>
        <v>0</v>
      </c>
      <c r="BH73" s="414">
        <f t="shared" si="145"/>
        <v>0</v>
      </c>
      <c r="BI73" s="414">
        <f t="shared" si="145"/>
        <v>40778.880000000005</v>
      </c>
      <c r="BJ73" s="414">
        <f t="shared" si="145"/>
        <v>0</v>
      </c>
      <c r="BK73" s="414">
        <f t="shared" si="145"/>
        <v>0</v>
      </c>
      <c r="BL73" s="414">
        <f t="shared" si="145"/>
        <v>0</v>
      </c>
      <c r="BM73" s="414">
        <f t="shared" si="145"/>
        <v>0</v>
      </c>
      <c r="BN73" s="414">
        <f t="shared" si="145"/>
        <v>0</v>
      </c>
      <c r="BO73" s="419">
        <f t="shared" si="145"/>
        <v>0</v>
      </c>
    </row>
    <row r="74" spans="1:67" s="86" customFormat="1" ht="16" thickBot="1" x14ac:dyDescent="0.25">
      <c r="A74" s="87"/>
      <c r="B74" s="1060" t="s">
        <v>397</v>
      </c>
      <c r="C74" s="1061"/>
      <c r="D74" s="1061"/>
      <c r="E74" s="1061"/>
      <c r="F74" s="1061"/>
      <c r="G74" s="1061"/>
      <c r="H74" s="1061"/>
      <c r="I74" s="822">
        <f>SUM(I53:I73)</f>
        <v>7799323.1425000001</v>
      </c>
      <c r="J74" s="420"/>
      <c r="K74" s="822">
        <f t="shared" ref="K74:BO74" si="146">SUM(K53:K73)</f>
        <v>0</v>
      </c>
      <c r="L74" s="822">
        <f t="shared" si="146"/>
        <v>0</v>
      </c>
      <c r="M74" s="822">
        <f t="shared" si="146"/>
        <v>0</v>
      </c>
      <c r="N74" s="822">
        <f t="shared" si="146"/>
        <v>0</v>
      </c>
      <c r="O74" s="823">
        <f t="shared" si="146"/>
        <v>0</v>
      </c>
      <c r="P74" s="824">
        <f t="shared" si="146"/>
        <v>0</v>
      </c>
      <c r="Q74" s="822">
        <f t="shared" si="146"/>
        <v>62674.559999999998</v>
      </c>
      <c r="R74" s="822">
        <f t="shared" si="146"/>
        <v>81910.5</v>
      </c>
      <c r="S74" s="825">
        <f t="shared" si="146"/>
        <v>50087.7</v>
      </c>
      <c r="T74" s="824">
        <f t="shared" si="146"/>
        <v>1541.1599999999999</v>
      </c>
      <c r="U74" s="822">
        <f t="shared" si="146"/>
        <v>0</v>
      </c>
      <c r="V74" s="822">
        <f>SUM(V53:V73)</f>
        <v>326095.46999999997</v>
      </c>
      <c r="W74" s="825">
        <f t="shared" si="146"/>
        <v>153289.5</v>
      </c>
      <c r="X74" s="826">
        <f t="shared" si="146"/>
        <v>227606.49</v>
      </c>
      <c r="Y74" s="822">
        <f t="shared" si="146"/>
        <v>63786.899999999994</v>
      </c>
      <c r="Z74" s="822">
        <f t="shared" si="146"/>
        <v>0</v>
      </c>
      <c r="AA74" s="822">
        <f t="shared" si="146"/>
        <v>0</v>
      </c>
      <c r="AB74" s="822">
        <f t="shared" si="146"/>
        <v>322340.06</v>
      </c>
      <c r="AC74" s="822">
        <f t="shared" si="146"/>
        <v>117645.82</v>
      </c>
      <c r="AD74" s="822">
        <f t="shared" si="146"/>
        <v>126435.96</v>
      </c>
      <c r="AE74" s="822">
        <f t="shared" si="146"/>
        <v>0</v>
      </c>
      <c r="AF74" s="822">
        <f t="shared" si="146"/>
        <v>119014.32000000002</v>
      </c>
      <c r="AG74" s="822">
        <f t="shared" si="146"/>
        <v>171461.76000000001</v>
      </c>
      <c r="AH74" s="822">
        <f t="shared" si="146"/>
        <v>255246.88</v>
      </c>
      <c r="AI74" s="822">
        <f t="shared" si="146"/>
        <v>276039.52</v>
      </c>
      <c r="AJ74" s="822">
        <f t="shared" si="146"/>
        <v>29920</v>
      </c>
      <c r="AK74" s="822">
        <f t="shared" si="146"/>
        <v>0</v>
      </c>
      <c r="AL74" s="822">
        <f t="shared" si="146"/>
        <v>73106.8</v>
      </c>
      <c r="AM74" s="822">
        <f t="shared" si="146"/>
        <v>310226.66000000003</v>
      </c>
      <c r="AN74" s="822">
        <f t="shared" si="146"/>
        <v>43686</v>
      </c>
      <c r="AO74" s="822">
        <f t="shared" si="146"/>
        <v>61488</v>
      </c>
      <c r="AP74" s="822">
        <f t="shared" si="146"/>
        <v>157614</v>
      </c>
      <c r="AQ74" s="822">
        <f t="shared" si="146"/>
        <v>54025</v>
      </c>
      <c r="AR74" s="822">
        <f t="shared" si="146"/>
        <v>31075</v>
      </c>
      <c r="AS74" s="822">
        <f t="shared" si="146"/>
        <v>130524</v>
      </c>
      <c r="AT74" s="822">
        <f t="shared" si="146"/>
        <v>315525</v>
      </c>
      <c r="AU74" s="822">
        <f t="shared" si="146"/>
        <v>215017.44</v>
      </c>
      <c r="AV74" s="822">
        <f t="shared" si="146"/>
        <v>236239.5</v>
      </c>
      <c r="AW74" s="822">
        <f t="shared" si="146"/>
        <v>0</v>
      </c>
      <c r="AX74" s="822">
        <f t="shared" si="146"/>
        <v>57398</v>
      </c>
      <c r="AY74" s="822">
        <f t="shared" si="146"/>
        <v>258593.34000000003</v>
      </c>
      <c r="AZ74" s="822">
        <f t="shared" si="146"/>
        <v>203521.58000000002</v>
      </c>
      <c r="BA74" s="822">
        <f t="shared" si="146"/>
        <v>96572.239999999991</v>
      </c>
      <c r="BB74" s="822">
        <f t="shared" si="146"/>
        <v>254114.5925</v>
      </c>
      <c r="BC74" s="822">
        <f t="shared" si="146"/>
        <v>128341.6</v>
      </c>
      <c r="BD74" s="822">
        <f t="shared" si="146"/>
        <v>59604.95</v>
      </c>
      <c r="BE74" s="822">
        <f t="shared" si="146"/>
        <v>261520.44</v>
      </c>
      <c r="BF74" s="822">
        <f t="shared" si="146"/>
        <v>378980.73500000004</v>
      </c>
      <c r="BG74" s="822">
        <f t="shared" si="146"/>
        <v>133691.55000000002</v>
      </c>
      <c r="BH74" s="822">
        <f t="shared" si="146"/>
        <v>17123.999999999996</v>
      </c>
      <c r="BI74" s="822">
        <f t="shared" si="146"/>
        <v>281657.84999999998</v>
      </c>
      <c r="BJ74" s="822">
        <f t="shared" si="146"/>
        <v>550641.69000000006</v>
      </c>
      <c r="BK74" s="822">
        <f t="shared" si="146"/>
        <v>223605.69</v>
      </c>
      <c r="BL74" s="822">
        <f t="shared" si="146"/>
        <v>0</v>
      </c>
      <c r="BM74" s="822">
        <f t="shared" si="146"/>
        <v>78056.999999999985</v>
      </c>
      <c r="BN74" s="822">
        <f t="shared" si="146"/>
        <v>477555.09</v>
      </c>
      <c r="BO74" s="825">
        <f t="shared" si="146"/>
        <v>324718.79499999998</v>
      </c>
    </row>
    <row r="75" spans="1:67" s="45" customFormat="1" ht="16" thickBot="1" x14ac:dyDescent="0.25">
      <c r="A75" s="44"/>
      <c r="B75" s="37"/>
      <c r="C75" s="37"/>
      <c r="D75" s="37"/>
      <c r="E75" s="37"/>
      <c r="F75" s="37"/>
      <c r="G75" s="37"/>
      <c r="H75" s="37"/>
      <c r="I75" s="37"/>
      <c r="J75" s="411"/>
      <c r="K75" s="1091">
        <f>+K74+L74+M74+N74+O74</f>
        <v>0</v>
      </c>
      <c r="L75" s="1089"/>
      <c r="M75" s="1089"/>
      <c r="N75" s="1089"/>
      <c r="O75" s="1090"/>
      <c r="P75" s="1088">
        <f>+P74+Q74+R74+S74+P83</f>
        <v>389672.76</v>
      </c>
      <c r="Q75" s="1089"/>
      <c r="R75" s="1089"/>
      <c r="S75" s="1090"/>
      <c r="T75" s="1088">
        <f>+T74+U74+V74+W74</f>
        <v>480926.12999999995</v>
      </c>
      <c r="U75" s="1089"/>
      <c r="V75" s="1089"/>
      <c r="W75" s="1090"/>
      <c r="X75" s="1088">
        <f>+X74+Y74+Z74+AA74</f>
        <v>291393.39</v>
      </c>
      <c r="Y75" s="1089"/>
      <c r="Z75" s="1089"/>
      <c r="AA75" s="1090"/>
      <c r="AB75" s="1088">
        <f>+AB74+AC74+AD74+AE74+AF74</f>
        <v>685436.16</v>
      </c>
      <c r="AC75" s="1089"/>
      <c r="AD75" s="1089"/>
      <c r="AE75" s="1089"/>
      <c r="AF75" s="1090"/>
      <c r="AG75" s="1088">
        <f>+AG74+AH74+AI74+AJ74</f>
        <v>732668.16</v>
      </c>
      <c r="AH75" s="1089"/>
      <c r="AI75" s="1089"/>
      <c r="AJ75" s="1090"/>
      <c r="AK75" s="1025">
        <f>+AK74+AL74+AM74+AN74+AO74</f>
        <v>488507.46</v>
      </c>
      <c r="AL75" s="1023"/>
      <c r="AM75" s="1023"/>
      <c r="AN75" s="1023"/>
      <c r="AO75" s="1092"/>
      <c r="AP75" s="1025">
        <f>+AP74+AQ74+AR74+AS74</f>
        <v>373238</v>
      </c>
      <c r="AQ75" s="1093"/>
      <c r="AR75" s="1093"/>
      <c r="AS75" s="1092"/>
      <c r="AT75" s="1088">
        <f>+AT74+AU74+AV74+AW74</f>
        <v>766781.94</v>
      </c>
      <c r="AU75" s="1089"/>
      <c r="AV75" s="1089"/>
      <c r="AW75" s="1090"/>
      <c r="AX75" s="1025">
        <f>+AX74+AY74+AZ74+BA74+BB74</f>
        <v>870199.75250000006</v>
      </c>
      <c r="AY75" s="1023"/>
      <c r="AZ75" s="1023"/>
      <c r="BA75" s="1023"/>
      <c r="BB75" s="1092"/>
      <c r="BC75" s="1026">
        <f>+BC74+BD74+BE74+BF74</f>
        <v>828447.72500000009</v>
      </c>
      <c r="BD75" s="1093"/>
      <c r="BE75" s="1093"/>
      <c r="BF75" s="1092"/>
      <c r="BG75" s="1088">
        <f>+BG74+BH74+BI74+BJ74</f>
        <v>983115.09000000008</v>
      </c>
      <c r="BH75" s="1089"/>
      <c r="BI75" s="1089"/>
      <c r="BJ75" s="1090"/>
      <c r="BK75" s="1088">
        <f>+BK74+BL74+BM74+BN74+BO74</f>
        <v>1103936.575</v>
      </c>
      <c r="BL75" s="1089"/>
      <c r="BM75" s="1089"/>
      <c r="BN75" s="1089"/>
      <c r="BO75" s="1090"/>
    </row>
    <row r="76" spans="1:67" ht="16" thickBot="1" x14ac:dyDescent="0.25">
      <c r="D76" s="362" t="s">
        <v>518</v>
      </c>
      <c r="E76" s="227"/>
      <c r="F76" s="227"/>
      <c r="G76" s="227"/>
      <c r="H76" s="227"/>
      <c r="K76" s="1023"/>
      <c r="L76" s="1023"/>
      <c r="M76" s="1023"/>
      <c r="N76" s="1023"/>
      <c r="O76" s="1024"/>
      <c r="P76" s="1025">
        <f>+P75+T75+X75</f>
        <v>1161992.2799999998</v>
      </c>
      <c r="Q76" s="1023"/>
      <c r="R76" s="1023"/>
      <c r="S76" s="1023"/>
      <c r="T76" s="1023"/>
      <c r="U76" s="1023"/>
      <c r="V76" s="1023"/>
      <c r="W76" s="1023"/>
      <c r="X76" s="1023"/>
      <c r="Y76" s="1023"/>
      <c r="Z76" s="1023"/>
      <c r="AA76" s="1024"/>
      <c r="AB76" s="1025">
        <f>+AB75+AG75+AK75</f>
        <v>1906611.78</v>
      </c>
      <c r="AC76" s="1023"/>
      <c r="AD76" s="1023"/>
      <c r="AE76" s="1023"/>
      <c r="AF76" s="1023"/>
      <c r="AG76" s="1023"/>
      <c r="AH76" s="1023"/>
      <c r="AI76" s="1023"/>
      <c r="AJ76" s="1023"/>
      <c r="AK76" s="1023"/>
      <c r="AL76" s="1023"/>
      <c r="AM76" s="1023"/>
      <c r="AN76" s="1023"/>
      <c r="AO76" s="1093"/>
      <c r="AP76" s="1026">
        <f>+AP75+AT75+AX75</f>
        <v>2010219.6924999999</v>
      </c>
      <c r="AQ76" s="1093"/>
      <c r="AR76" s="1093"/>
      <c r="AS76" s="1093"/>
      <c r="AT76" s="1093"/>
      <c r="AU76" s="1093"/>
      <c r="AV76" s="1093"/>
      <c r="AW76" s="1093"/>
      <c r="AX76" s="1093"/>
      <c r="AY76" s="1093"/>
      <c r="AZ76" s="1093"/>
      <c r="BA76" s="1093"/>
      <c r="BB76" s="1093"/>
      <c r="BC76" s="1026">
        <f>+BC75+BG75+BK75</f>
        <v>2915499.39</v>
      </c>
      <c r="BD76" s="1093"/>
      <c r="BE76" s="1093"/>
      <c r="BF76" s="1093"/>
      <c r="BG76" s="1093"/>
      <c r="BH76" s="1093"/>
      <c r="BI76" s="1093"/>
      <c r="BJ76" s="1093"/>
      <c r="BK76" s="1093"/>
      <c r="BL76" s="1093"/>
      <c r="BM76" s="1093"/>
      <c r="BN76" s="1093"/>
      <c r="BO76" s="1092"/>
    </row>
    <row r="77" spans="1:67" ht="16" thickBot="1" x14ac:dyDescent="0.25">
      <c r="K77" s="1094"/>
      <c r="L77" s="1094"/>
      <c r="M77" s="1094"/>
      <c r="N77" s="1094"/>
      <c r="O77" s="1095"/>
      <c r="P77" s="1069" t="s">
        <v>439</v>
      </c>
      <c r="Q77" s="1070"/>
      <c r="R77" s="1070"/>
      <c r="S77" s="1070"/>
      <c r="T77" s="1070"/>
      <c r="U77" s="1070"/>
      <c r="V77" s="1070"/>
      <c r="W77" s="1070"/>
      <c r="X77" s="1070"/>
      <c r="Y77" s="1070"/>
      <c r="Z77" s="1070"/>
      <c r="AA77" s="1071"/>
      <c r="AB77" s="1072" t="s">
        <v>440</v>
      </c>
      <c r="AC77" s="1073"/>
      <c r="AD77" s="1073"/>
      <c r="AE77" s="1073"/>
      <c r="AF77" s="1073"/>
      <c r="AG77" s="1073"/>
      <c r="AH77" s="1073"/>
      <c r="AI77" s="1073"/>
      <c r="AJ77" s="1073"/>
      <c r="AK77" s="1073"/>
      <c r="AL77" s="1073"/>
      <c r="AM77" s="1073"/>
      <c r="AN77" s="1073"/>
      <c r="AO77" s="1074"/>
      <c r="AP77" s="1062" t="s">
        <v>441</v>
      </c>
      <c r="AQ77" s="1062"/>
      <c r="AR77" s="1062"/>
      <c r="AS77" s="1062"/>
      <c r="AT77" s="1062"/>
      <c r="AU77" s="1062"/>
      <c r="AV77" s="1062"/>
      <c r="AW77" s="1062"/>
      <c r="AX77" s="1062"/>
      <c r="AY77" s="1062"/>
      <c r="AZ77" s="1062"/>
      <c r="BA77" s="1062"/>
      <c r="BB77" s="1062"/>
      <c r="BC77" s="1075" t="s">
        <v>442</v>
      </c>
      <c r="BD77" s="1075"/>
      <c r="BE77" s="1075"/>
      <c r="BF77" s="1075"/>
      <c r="BG77" s="1075"/>
      <c r="BH77" s="1075"/>
      <c r="BI77" s="1075"/>
      <c r="BJ77" s="1075"/>
      <c r="BK77" s="1075"/>
      <c r="BL77" s="1075"/>
      <c r="BM77" s="1075"/>
      <c r="BN77" s="1075"/>
      <c r="BO77" s="1076"/>
    </row>
    <row r="78" spans="1:67" x14ac:dyDescent="0.2">
      <c r="I78" s="361">
        <f>SUM(K78:CG78)</f>
        <v>2632944</v>
      </c>
      <c r="K78" s="534">
        <f t="shared" ref="K78:N78" si="147">+L78-7</f>
        <v>45996</v>
      </c>
      <c r="L78" s="534">
        <f t="shared" si="147"/>
        <v>46003</v>
      </c>
      <c r="M78" s="534">
        <f t="shared" si="147"/>
        <v>46010</v>
      </c>
      <c r="N78" s="534">
        <f t="shared" si="147"/>
        <v>46017</v>
      </c>
      <c r="O78" s="534">
        <f>+P78-7</f>
        <v>46024</v>
      </c>
      <c r="P78" s="559">
        <f>+P52</f>
        <v>46031</v>
      </c>
      <c r="Q78" s="360">
        <f t="shared" ref="Q78:AI78" si="148">+P78+7</f>
        <v>46038</v>
      </c>
      <c r="R78" s="360">
        <f t="shared" si="148"/>
        <v>46045</v>
      </c>
      <c r="S78" s="360">
        <f t="shared" si="148"/>
        <v>46052</v>
      </c>
      <c r="T78" s="360">
        <f t="shared" si="148"/>
        <v>46059</v>
      </c>
      <c r="U78" s="360">
        <f t="shared" si="148"/>
        <v>46066</v>
      </c>
      <c r="V78" s="360">
        <f t="shared" si="148"/>
        <v>46073</v>
      </c>
      <c r="W78" s="360">
        <f t="shared" si="148"/>
        <v>46080</v>
      </c>
      <c r="X78" s="360">
        <f t="shared" si="148"/>
        <v>46087</v>
      </c>
      <c r="Y78" s="360">
        <f t="shared" si="148"/>
        <v>46094</v>
      </c>
      <c r="Z78" s="360">
        <f t="shared" si="148"/>
        <v>46101</v>
      </c>
      <c r="AA78" s="360">
        <f t="shared" si="148"/>
        <v>46108</v>
      </c>
      <c r="AB78" s="360">
        <f t="shared" si="148"/>
        <v>46115</v>
      </c>
      <c r="AC78" s="360">
        <f t="shared" si="148"/>
        <v>46122</v>
      </c>
      <c r="AD78" s="360">
        <f t="shared" si="148"/>
        <v>46129</v>
      </c>
      <c r="AE78" s="360">
        <f t="shared" si="148"/>
        <v>46136</v>
      </c>
      <c r="AF78" s="360">
        <f t="shared" si="148"/>
        <v>46143</v>
      </c>
      <c r="AG78" s="360">
        <f t="shared" si="148"/>
        <v>46150</v>
      </c>
      <c r="AH78" s="360">
        <f t="shared" si="148"/>
        <v>46157</v>
      </c>
      <c r="AI78" s="360">
        <f t="shared" si="148"/>
        <v>46164</v>
      </c>
      <c r="AJ78" s="360">
        <f t="shared" ref="AJ78:BO78" si="149">+AI78+7</f>
        <v>46171</v>
      </c>
      <c r="AK78" s="360">
        <f t="shared" si="149"/>
        <v>46178</v>
      </c>
      <c r="AL78" s="360">
        <f t="shared" si="149"/>
        <v>46185</v>
      </c>
      <c r="AM78" s="360">
        <f t="shared" si="149"/>
        <v>46192</v>
      </c>
      <c r="AN78" s="360">
        <f t="shared" si="149"/>
        <v>46199</v>
      </c>
      <c r="AO78" s="360">
        <f t="shared" si="149"/>
        <v>46206</v>
      </c>
      <c r="AP78" s="360">
        <f t="shared" si="149"/>
        <v>46213</v>
      </c>
      <c r="AQ78" s="360">
        <f t="shared" si="149"/>
        <v>46220</v>
      </c>
      <c r="AR78" s="360">
        <f t="shared" si="149"/>
        <v>46227</v>
      </c>
      <c r="AS78" s="360">
        <f t="shared" si="149"/>
        <v>46234</v>
      </c>
      <c r="AT78" s="360">
        <f t="shared" si="149"/>
        <v>46241</v>
      </c>
      <c r="AU78" s="360">
        <f t="shared" si="149"/>
        <v>46248</v>
      </c>
      <c r="AV78" s="360">
        <f t="shared" si="149"/>
        <v>46255</v>
      </c>
      <c r="AW78" s="360">
        <f t="shared" si="149"/>
        <v>46262</v>
      </c>
      <c r="AX78" s="360">
        <f t="shared" si="149"/>
        <v>46269</v>
      </c>
      <c r="AY78" s="360">
        <f t="shared" si="149"/>
        <v>46276</v>
      </c>
      <c r="AZ78" s="360">
        <f t="shared" si="149"/>
        <v>46283</v>
      </c>
      <c r="BA78" s="360">
        <f t="shared" si="149"/>
        <v>46290</v>
      </c>
      <c r="BB78" s="360">
        <f t="shared" si="149"/>
        <v>46297</v>
      </c>
      <c r="BC78" s="360">
        <f t="shared" si="149"/>
        <v>46304</v>
      </c>
      <c r="BD78" s="360">
        <f t="shared" si="149"/>
        <v>46311</v>
      </c>
      <c r="BE78" s="360">
        <f t="shared" si="149"/>
        <v>46318</v>
      </c>
      <c r="BF78" s="360">
        <f t="shared" si="149"/>
        <v>46325</v>
      </c>
      <c r="BG78" s="360">
        <f t="shared" si="149"/>
        <v>46332</v>
      </c>
      <c r="BH78" s="360">
        <f t="shared" si="149"/>
        <v>46339</v>
      </c>
      <c r="BI78" s="360">
        <f t="shared" si="149"/>
        <v>46346</v>
      </c>
      <c r="BJ78" s="360">
        <f t="shared" si="149"/>
        <v>46353</v>
      </c>
      <c r="BK78" s="360">
        <f t="shared" si="149"/>
        <v>46360</v>
      </c>
      <c r="BL78" s="360">
        <f t="shared" si="149"/>
        <v>46367</v>
      </c>
      <c r="BM78" s="360">
        <f t="shared" si="149"/>
        <v>46374</v>
      </c>
      <c r="BN78" s="360">
        <f t="shared" si="149"/>
        <v>46381</v>
      </c>
      <c r="BO78" s="360">
        <f t="shared" si="149"/>
        <v>46388</v>
      </c>
    </row>
    <row r="79" spans="1:67" s="89" customFormat="1" ht="16" thickBot="1" x14ac:dyDescent="0.25">
      <c r="F79" s="89" t="s">
        <v>519</v>
      </c>
      <c r="J79" s="251"/>
      <c r="K79" s="440">
        <f t="shared" ref="K79:BO79" si="150">+K53+K54+K55+K56+K57+K58+K59+K60+K65</f>
        <v>0</v>
      </c>
      <c r="L79" s="440">
        <f t="shared" si="150"/>
        <v>0</v>
      </c>
      <c r="M79" s="440">
        <f t="shared" si="150"/>
        <v>0</v>
      </c>
      <c r="N79" s="440">
        <f t="shared" si="150"/>
        <v>0</v>
      </c>
      <c r="O79" s="441">
        <f t="shared" si="150"/>
        <v>0</v>
      </c>
      <c r="P79" s="89">
        <f t="shared" si="150"/>
        <v>0</v>
      </c>
      <c r="Q79" s="89">
        <f t="shared" si="150"/>
        <v>62674.559999999998</v>
      </c>
      <c r="R79" s="89">
        <f t="shared" si="150"/>
        <v>81910.5</v>
      </c>
      <c r="S79" s="89">
        <f t="shared" si="150"/>
        <v>50087.7</v>
      </c>
      <c r="T79" s="89">
        <f>+T53+T54+T55+T56+T57+T58+T59+T60+T65</f>
        <v>1541.1599999999999</v>
      </c>
      <c r="U79" s="89">
        <f t="shared" si="150"/>
        <v>0</v>
      </c>
      <c r="V79" s="89">
        <f>+V53+V54+V55+V56+V57+V58+V59+V60+V65</f>
        <v>265216.46999999997</v>
      </c>
      <c r="W79" s="89">
        <f t="shared" si="150"/>
        <v>153289.5</v>
      </c>
      <c r="X79" s="89">
        <f t="shared" si="150"/>
        <v>158726.25</v>
      </c>
      <c r="Y79" s="89">
        <f t="shared" si="150"/>
        <v>63786.899999999994</v>
      </c>
      <c r="Z79" s="89">
        <f t="shared" si="150"/>
        <v>0</v>
      </c>
      <c r="AA79" s="89">
        <f t="shared" si="150"/>
        <v>0</v>
      </c>
      <c r="AB79" s="89">
        <f t="shared" si="150"/>
        <v>279898.7</v>
      </c>
      <c r="AC79" s="89">
        <f t="shared" si="150"/>
        <v>117645.82</v>
      </c>
      <c r="AD79" s="89">
        <f t="shared" si="150"/>
        <v>126435.96</v>
      </c>
      <c r="AE79" s="89">
        <f t="shared" si="150"/>
        <v>0</v>
      </c>
      <c r="AF79" s="89">
        <f t="shared" si="150"/>
        <v>119014.32000000002</v>
      </c>
      <c r="AG79" s="89">
        <f t="shared" si="150"/>
        <v>119279.76000000001</v>
      </c>
      <c r="AH79" s="89">
        <f t="shared" si="150"/>
        <v>204456.4</v>
      </c>
      <c r="AI79" s="89">
        <f t="shared" si="150"/>
        <v>276039.52</v>
      </c>
      <c r="AJ79" s="89">
        <f t="shared" si="150"/>
        <v>29920</v>
      </c>
      <c r="AK79" s="89">
        <f t="shared" si="150"/>
        <v>0</v>
      </c>
      <c r="AL79" s="89">
        <f t="shared" si="150"/>
        <v>62308.800000000003</v>
      </c>
      <c r="AM79" s="89">
        <f t="shared" si="150"/>
        <v>243824.46000000002</v>
      </c>
      <c r="AN79" s="89">
        <f t="shared" si="150"/>
        <v>43686</v>
      </c>
      <c r="AO79" s="89">
        <f t="shared" si="150"/>
        <v>61488</v>
      </c>
      <c r="AP79" s="89">
        <f t="shared" si="150"/>
        <v>157614</v>
      </c>
      <c r="AQ79" s="89">
        <f t="shared" si="150"/>
        <v>0</v>
      </c>
      <c r="AR79" s="89">
        <f t="shared" si="150"/>
        <v>0</v>
      </c>
      <c r="AS79" s="89">
        <f t="shared" si="150"/>
        <v>130524</v>
      </c>
      <c r="AT79" s="89">
        <f t="shared" si="150"/>
        <v>269508</v>
      </c>
      <c r="AU79" s="89">
        <f t="shared" si="150"/>
        <v>0</v>
      </c>
      <c r="AV79" s="89">
        <f t="shared" si="150"/>
        <v>136224</v>
      </c>
      <c r="AW79" s="89">
        <f t="shared" si="150"/>
        <v>0</v>
      </c>
      <c r="AX79" s="89">
        <f t="shared" si="150"/>
        <v>26261.999999999996</v>
      </c>
      <c r="AY79" s="89">
        <f t="shared" si="150"/>
        <v>125750.66</v>
      </c>
      <c r="AZ79" s="89">
        <f t="shared" si="150"/>
        <v>168733.58000000002</v>
      </c>
      <c r="BA79" s="89">
        <f t="shared" si="150"/>
        <v>62480</v>
      </c>
      <c r="BB79" s="89">
        <f t="shared" si="150"/>
        <v>160409.06999999998</v>
      </c>
      <c r="BC79" s="89">
        <f t="shared" si="150"/>
        <v>126291.6</v>
      </c>
      <c r="BD79" s="89">
        <f t="shared" si="150"/>
        <v>55504.95</v>
      </c>
      <c r="BE79" s="89">
        <f t="shared" si="150"/>
        <v>149834.99999999997</v>
      </c>
      <c r="BF79" s="89">
        <f t="shared" si="150"/>
        <v>220728.06000000003</v>
      </c>
      <c r="BG79" s="89">
        <f t="shared" si="150"/>
        <v>133691.55000000002</v>
      </c>
      <c r="BH79" s="89">
        <f t="shared" si="150"/>
        <v>17123.999999999996</v>
      </c>
      <c r="BI79" s="89">
        <f t="shared" si="150"/>
        <v>240878.96999999997</v>
      </c>
      <c r="BJ79" s="89">
        <f t="shared" si="150"/>
        <v>455414.19000000006</v>
      </c>
      <c r="BK79" s="89">
        <f t="shared" si="150"/>
        <v>161973.19</v>
      </c>
      <c r="BL79" s="89">
        <f t="shared" si="150"/>
        <v>0</v>
      </c>
      <c r="BM79" s="89">
        <f t="shared" si="150"/>
        <v>78056.999999999985</v>
      </c>
      <c r="BN79" s="89">
        <f t="shared" si="150"/>
        <v>425373.09</v>
      </c>
      <c r="BO79" s="89">
        <f t="shared" si="150"/>
        <v>201572.66999999998</v>
      </c>
    </row>
    <row r="80" spans="1:67" s="210" customFormat="1" ht="16" thickBot="1" x14ac:dyDescent="0.25">
      <c r="J80" s="478"/>
      <c r="K80" s="1102">
        <f>+K79+L79+M79+N79+O79</f>
        <v>0</v>
      </c>
      <c r="L80" s="1097"/>
      <c r="M80" s="1097"/>
      <c r="N80" s="1097"/>
      <c r="O80" s="1098"/>
      <c r="P80" s="1096">
        <f>+P79+Q79+R79+S79+P83</f>
        <v>389672.76</v>
      </c>
      <c r="Q80" s="1097"/>
      <c r="R80" s="1097"/>
      <c r="S80" s="1098"/>
      <c r="T80" s="1096">
        <f>+T79+U79+V79+W79</f>
        <v>420047.12999999995</v>
      </c>
      <c r="U80" s="1097"/>
      <c r="V80" s="1097"/>
      <c r="W80" s="1098"/>
      <c r="X80" s="1096">
        <f>+X79+Y79+Z79+AA79</f>
        <v>222513.15</v>
      </c>
      <c r="Y80" s="1097"/>
      <c r="Z80" s="1097"/>
      <c r="AA80" s="1098"/>
      <c r="AB80" s="1096">
        <f>+AB79+AC79+AD79+AE79+AF79</f>
        <v>642994.80000000005</v>
      </c>
      <c r="AC80" s="1097"/>
      <c r="AD80" s="1097"/>
      <c r="AE80" s="1097"/>
      <c r="AF80" s="1098"/>
      <c r="AG80" s="1096">
        <f>+AG79+AH79+AI79+AJ79</f>
        <v>629695.68000000005</v>
      </c>
      <c r="AH80" s="1097"/>
      <c r="AI80" s="1097"/>
      <c r="AJ80" s="1098"/>
      <c r="AK80" s="1096">
        <f>+AK79+AL79+AM79+AN79+AO79</f>
        <v>411307.26</v>
      </c>
      <c r="AL80" s="1097"/>
      <c r="AM80" s="1097"/>
      <c r="AN80" s="1097"/>
      <c r="AO80" s="1092"/>
      <c r="AP80" s="1096">
        <f>+AP79+AQ79+AR79+AS79</f>
        <v>288138</v>
      </c>
      <c r="AQ80" s="1093"/>
      <c r="AR80" s="1093"/>
      <c r="AS80" s="1092"/>
      <c r="AT80" s="1096">
        <f>+AT79+AU79+AV79+AW79</f>
        <v>405732</v>
      </c>
      <c r="AU80" s="1097"/>
      <c r="AV80" s="1097"/>
      <c r="AW80" s="1098"/>
      <c r="AX80" s="1096">
        <f>+AX79+AY79+AZ79+BA79+BB79</f>
        <v>543635.30999999994</v>
      </c>
      <c r="AY80" s="1097"/>
      <c r="AZ80" s="1097"/>
      <c r="BA80" s="1097"/>
      <c r="BB80" s="1092"/>
      <c r="BC80" s="1096">
        <f>+BC79+BD79+BE79+BF79</f>
        <v>552359.61</v>
      </c>
      <c r="BD80" s="1093"/>
      <c r="BE80" s="1093"/>
      <c r="BF80" s="1092"/>
      <c r="BG80" s="1096">
        <f>+BG79+BH79+BI79+BJ79</f>
        <v>847108.71000000008</v>
      </c>
      <c r="BH80" s="1097"/>
      <c r="BI80" s="1097"/>
      <c r="BJ80" s="1098"/>
      <c r="BK80" s="1096">
        <f>+BK79+BL79+BM79+BN79+BO79</f>
        <v>866975.95</v>
      </c>
      <c r="BL80" s="1097"/>
      <c r="BM80" s="1097"/>
      <c r="BN80" s="1097"/>
      <c r="BO80" s="1098"/>
    </row>
    <row r="81" spans="4:71" ht="16" thickBot="1" x14ac:dyDescent="0.25">
      <c r="K81" s="1040"/>
      <c r="L81" s="1040"/>
      <c r="M81" s="1040"/>
      <c r="N81" s="1040"/>
      <c r="O81" s="1041"/>
      <c r="P81" s="1069" t="s">
        <v>439</v>
      </c>
      <c r="Q81" s="1070"/>
      <c r="R81" s="1070"/>
      <c r="S81" s="1070"/>
      <c r="T81" s="1070"/>
      <c r="U81" s="1070"/>
      <c r="V81" s="1070"/>
      <c r="W81" s="1070"/>
      <c r="X81" s="1070"/>
      <c r="Y81" s="1070"/>
      <c r="Z81" s="1070"/>
      <c r="AA81" s="1071"/>
      <c r="AB81" s="1103" t="s">
        <v>440</v>
      </c>
      <c r="AC81" s="1104"/>
      <c r="AD81" s="1104"/>
      <c r="AE81" s="1104"/>
      <c r="AF81" s="1104"/>
      <c r="AG81" s="1104"/>
      <c r="AH81" s="1104"/>
      <c r="AI81" s="1104"/>
      <c r="AJ81" s="1104"/>
      <c r="AK81" s="1104"/>
      <c r="AL81" s="1104"/>
      <c r="AM81" s="1104"/>
      <c r="AN81" s="1104"/>
      <c r="AO81" s="1105"/>
      <c r="AP81" s="1099" t="s">
        <v>441</v>
      </c>
      <c r="AQ81" s="1099"/>
      <c r="AR81" s="1099"/>
      <c r="AS81" s="1099"/>
      <c r="AT81" s="1099"/>
      <c r="AU81" s="1099"/>
      <c r="AV81" s="1099"/>
      <c r="AW81" s="1099"/>
      <c r="AX81" s="1099"/>
      <c r="AY81" s="1099"/>
      <c r="AZ81" s="1099"/>
      <c r="BA81" s="1099"/>
      <c r="BB81" s="1099"/>
      <c r="BC81" s="1100" t="s">
        <v>442</v>
      </c>
      <c r="BD81" s="1100"/>
      <c r="BE81" s="1100"/>
      <c r="BF81" s="1100"/>
      <c r="BG81" s="1100"/>
      <c r="BH81" s="1100"/>
      <c r="BI81" s="1100"/>
      <c r="BJ81" s="1100"/>
      <c r="BK81" s="1100"/>
      <c r="BL81" s="1100"/>
      <c r="BM81" s="1100"/>
      <c r="BN81" s="1100"/>
      <c r="BO81" s="1101"/>
    </row>
    <row r="82" spans="4:71" ht="16" thickBot="1" x14ac:dyDescent="0.25">
      <c r="I82" t="s">
        <v>520</v>
      </c>
      <c r="P82" s="24"/>
      <c r="Q82" s="60"/>
      <c r="R82" s="24"/>
      <c r="S82" s="60"/>
      <c r="T82" s="24"/>
      <c r="U82" s="60"/>
      <c r="V82" s="24"/>
      <c r="W82" s="60"/>
      <c r="X82" s="24"/>
      <c r="Y82" s="60"/>
      <c r="Z82" s="24"/>
      <c r="AA82" s="60"/>
      <c r="AB82" s="24"/>
      <c r="AC82" s="60"/>
      <c r="AD82" s="24"/>
      <c r="AE82" s="25"/>
      <c r="AF82" s="60"/>
      <c r="AG82" s="24"/>
      <c r="AH82" s="60"/>
      <c r="AI82" s="24"/>
      <c r="AJ82" s="60"/>
      <c r="AK82" s="24"/>
      <c r="AL82" s="60"/>
      <c r="AM82" s="24"/>
      <c r="AN82" s="25"/>
      <c r="AO82" s="60"/>
      <c r="AP82" s="24"/>
      <c r="AQ82" s="60"/>
      <c r="AR82" s="24"/>
      <c r="AS82" s="60"/>
      <c r="AT82" s="24"/>
      <c r="AU82" s="60"/>
      <c r="AV82" s="24"/>
      <c r="AW82" s="60"/>
      <c r="AX82" s="24"/>
      <c r="AY82" s="25"/>
      <c r="AZ82" s="60"/>
      <c r="BA82" s="24"/>
      <c r="BB82" s="60"/>
      <c r="BC82" s="24"/>
      <c r="BD82" s="60"/>
      <c r="BE82" s="24"/>
      <c r="BF82" s="60"/>
      <c r="BG82" s="24"/>
      <c r="BH82" s="60"/>
      <c r="BI82" s="24"/>
      <c r="BJ82" s="60"/>
      <c r="BK82" s="24"/>
      <c r="BL82" s="25"/>
      <c r="BM82" s="60"/>
      <c r="BN82" s="24"/>
      <c r="BO82" s="60"/>
    </row>
    <row r="83" spans="4:71" s="89" customFormat="1" ht="16" thickBot="1" x14ac:dyDescent="0.25">
      <c r="J83" s="251">
        <v>375000</v>
      </c>
      <c r="K83" s="365"/>
      <c r="L83" s="366">
        <v>180000</v>
      </c>
      <c r="P83" s="363">
        <v>195000</v>
      </c>
      <c r="Q83" s="364"/>
      <c r="R83" s="363"/>
      <c r="S83" s="364"/>
      <c r="T83" s="363"/>
      <c r="U83" s="364"/>
      <c r="V83" s="363"/>
      <c r="W83" s="364"/>
      <c r="X83" s="363"/>
      <c r="Y83" s="364"/>
      <c r="Z83" s="363"/>
      <c r="AA83" s="364"/>
      <c r="AB83" s="363"/>
      <c r="AC83" s="364"/>
      <c r="AD83" s="363"/>
      <c r="AF83" s="364"/>
      <c r="AG83" s="363"/>
      <c r="AH83" s="364"/>
      <c r="AI83" s="363"/>
      <c r="AJ83" s="364"/>
      <c r="AK83" s="363"/>
      <c r="AL83" s="364"/>
      <c r="AM83" s="363"/>
      <c r="AO83" s="364"/>
      <c r="AP83" s="363"/>
      <c r="AQ83" s="364"/>
      <c r="AR83" s="363"/>
      <c r="AS83" s="364"/>
      <c r="AT83" s="363"/>
      <c r="AU83" s="364"/>
      <c r="AV83" s="363"/>
      <c r="AW83" s="364"/>
      <c r="AX83" s="363"/>
      <c r="AZ83" s="364"/>
      <c r="BA83" s="363"/>
      <c r="BB83" s="364"/>
      <c r="BC83" s="363"/>
      <c r="BD83" s="364"/>
      <c r="BE83" s="363"/>
      <c r="BF83" s="364"/>
      <c r="BG83" s="363"/>
      <c r="BH83" s="364"/>
      <c r="BI83" s="363"/>
      <c r="BJ83" s="364"/>
      <c r="BK83" s="363"/>
      <c r="BM83" s="364"/>
      <c r="BN83" s="363"/>
      <c r="BO83" s="364"/>
    </row>
    <row r="84" spans="4:71" x14ac:dyDescent="0.2">
      <c r="K84" s="534">
        <f t="shared" ref="K84:N84" si="151">+L84-7</f>
        <v>45996</v>
      </c>
      <c r="L84" s="534">
        <f t="shared" si="151"/>
        <v>46003</v>
      </c>
      <c r="M84" s="534">
        <f t="shared" si="151"/>
        <v>46010</v>
      </c>
      <c r="N84" s="534">
        <f t="shared" si="151"/>
        <v>46017</v>
      </c>
      <c r="O84" s="534">
        <f>+P84-7</f>
        <v>46024</v>
      </c>
      <c r="P84" s="559">
        <f>+P78</f>
        <v>46031</v>
      </c>
      <c r="Q84" s="439">
        <f t="shared" ref="Q84:AI84" si="152">+P84+7</f>
        <v>46038</v>
      </c>
      <c r="R84" s="584">
        <f t="shared" si="152"/>
        <v>46045</v>
      </c>
      <c r="S84" s="439">
        <f t="shared" si="152"/>
        <v>46052</v>
      </c>
      <c r="T84" s="584">
        <f t="shared" si="152"/>
        <v>46059</v>
      </c>
      <c r="U84" s="439">
        <f t="shared" si="152"/>
        <v>46066</v>
      </c>
      <c r="V84" s="584">
        <f t="shared" si="152"/>
        <v>46073</v>
      </c>
      <c r="W84" s="439">
        <f t="shared" si="152"/>
        <v>46080</v>
      </c>
      <c r="X84" s="584">
        <f t="shared" si="152"/>
        <v>46087</v>
      </c>
      <c r="Y84" s="439">
        <f t="shared" si="152"/>
        <v>46094</v>
      </c>
      <c r="Z84" s="584">
        <f t="shared" si="152"/>
        <v>46101</v>
      </c>
      <c r="AA84" s="439">
        <f t="shared" si="152"/>
        <v>46108</v>
      </c>
      <c r="AB84" s="584">
        <f t="shared" si="152"/>
        <v>46115</v>
      </c>
      <c r="AC84" s="439">
        <f t="shared" si="152"/>
        <v>46122</v>
      </c>
      <c r="AD84" s="584">
        <f t="shared" si="152"/>
        <v>46129</v>
      </c>
      <c r="AE84" s="360">
        <f t="shared" si="152"/>
        <v>46136</v>
      </c>
      <c r="AF84" s="368">
        <f t="shared" si="152"/>
        <v>46143</v>
      </c>
      <c r="AG84" s="367">
        <f t="shared" si="152"/>
        <v>46150</v>
      </c>
      <c r="AH84" s="368">
        <f t="shared" si="152"/>
        <v>46157</v>
      </c>
      <c r="AI84" s="367">
        <f t="shared" si="152"/>
        <v>46164</v>
      </c>
      <c r="AJ84" s="368">
        <f t="shared" ref="AJ84:BP84" si="153">+AI84+7</f>
        <v>46171</v>
      </c>
      <c r="AK84" s="367">
        <f t="shared" si="153"/>
        <v>46178</v>
      </c>
      <c r="AL84" s="368">
        <f t="shared" si="153"/>
        <v>46185</v>
      </c>
      <c r="AM84" s="367">
        <f t="shared" si="153"/>
        <v>46192</v>
      </c>
      <c r="AN84" s="645">
        <f t="shared" si="153"/>
        <v>46199</v>
      </c>
      <c r="AO84" s="439">
        <f t="shared" si="153"/>
        <v>46206</v>
      </c>
      <c r="AP84" s="584">
        <f t="shared" si="153"/>
        <v>46213</v>
      </c>
      <c r="AQ84" s="439">
        <f t="shared" si="153"/>
        <v>46220</v>
      </c>
      <c r="AR84" s="584">
        <f t="shared" si="153"/>
        <v>46227</v>
      </c>
      <c r="AS84" s="439">
        <f t="shared" si="153"/>
        <v>46234</v>
      </c>
      <c r="AT84" s="584">
        <f t="shared" si="153"/>
        <v>46241</v>
      </c>
      <c r="AU84" s="439">
        <f t="shared" si="153"/>
        <v>46248</v>
      </c>
      <c r="AV84" s="584">
        <f t="shared" si="153"/>
        <v>46255</v>
      </c>
      <c r="AW84" s="439">
        <f t="shared" si="153"/>
        <v>46262</v>
      </c>
      <c r="AX84" s="584">
        <f t="shared" si="153"/>
        <v>46269</v>
      </c>
      <c r="AY84" s="360">
        <f t="shared" si="153"/>
        <v>46276</v>
      </c>
      <c r="AZ84" s="368">
        <f t="shared" si="153"/>
        <v>46283</v>
      </c>
      <c r="BA84" s="367">
        <f t="shared" si="153"/>
        <v>46290</v>
      </c>
      <c r="BB84" s="368">
        <f t="shared" si="153"/>
        <v>46297</v>
      </c>
      <c r="BC84" s="367">
        <f t="shared" si="153"/>
        <v>46304</v>
      </c>
      <c r="BD84" s="368">
        <f t="shared" si="153"/>
        <v>46311</v>
      </c>
      <c r="BE84" s="367">
        <f t="shared" si="153"/>
        <v>46318</v>
      </c>
      <c r="BF84" s="368">
        <f t="shared" si="153"/>
        <v>46325</v>
      </c>
      <c r="BG84" s="367">
        <f t="shared" si="153"/>
        <v>46332</v>
      </c>
      <c r="BH84" s="368">
        <f t="shared" si="153"/>
        <v>46339</v>
      </c>
      <c r="BI84" s="367">
        <f t="shared" si="153"/>
        <v>46346</v>
      </c>
      <c r="BJ84" s="368">
        <f t="shared" si="153"/>
        <v>46353</v>
      </c>
      <c r="BK84" s="367">
        <f t="shared" si="153"/>
        <v>46360</v>
      </c>
      <c r="BL84" s="645">
        <f t="shared" si="153"/>
        <v>46367</v>
      </c>
      <c r="BM84" s="439">
        <f t="shared" si="153"/>
        <v>46374</v>
      </c>
      <c r="BN84" s="584">
        <f t="shared" si="153"/>
        <v>46381</v>
      </c>
      <c r="BO84" s="439">
        <f t="shared" si="153"/>
        <v>46388</v>
      </c>
      <c r="BP84" s="645">
        <f t="shared" si="153"/>
        <v>46395</v>
      </c>
    </row>
    <row r="85" spans="4:71" s="89" customFormat="1" ht="16" thickBot="1" x14ac:dyDescent="0.25">
      <c r="I85" s="89" t="s">
        <v>521</v>
      </c>
      <c r="J85" s="251"/>
      <c r="K85" s="363">
        <f t="shared" ref="K85:BO85" si="154">+K83+K79</f>
        <v>0</v>
      </c>
      <c r="L85" s="364">
        <f t="shared" si="154"/>
        <v>180000</v>
      </c>
      <c r="M85" s="363">
        <f t="shared" si="154"/>
        <v>0</v>
      </c>
      <c r="N85" s="89">
        <f t="shared" si="154"/>
        <v>0</v>
      </c>
      <c r="O85" s="477">
        <f t="shared" si="154"/>
        <v>0</v>
      </c>
      <c r="P85" s="363">
        <f t="shared" si="154"/>
        <v>195000</v>
      </c>
      <c r="Q85" s="364">
        <f t="shared" si="154"/>
        <v>62674.559999999998</v>
      </c>
      <c r="R85" s="363">
        <f t="shared" si="154"/>
        <v>81910.5</v>
      </c>
      <c r="S85" s="364">
        <f t="shared" si="154"/>
        <v>50087.7</v>
      </c>
      <c r="T85" s="363">
        <f t="shared" si="154"/>
        <v>1541.1599999999999</v>
      </c>
      <c r="U85" s="364">
        <f t="shared" si="154"/>
        <v>0</v>
      </c>
      <c r="V85" s="363">
        <f t="shared" si="154"/>
        <v>265216.46999999997</v>
      </c>
      <c r="W85" s="364">
        <f t="shared" si="154"/>
        <v>153289.5</v>
      </c>
      <c r="X85" s="363">
        <f t="shared" si="154"/>
        <v>158726.25</v>
      </c>
      <c r="Y85" s="364">
        <f t="shared" si="154"/>
        <v>63786.899999999994</v>
      </c>
      <c r="Z85" s="363">
        <f t="shared" si="154"/>
        <v>0</v>
      </c>
      <c r="AA85" s="364">
        <f t="shared" si="154"/>
        <v>0</v>
      </c>
      <c r="AB85" s="363">
        <f t="shared" si="154"/>
        <v>279898.7</v>
      </c>
      <c r="AC85" s="364">
        <f t="shared" si="154"/>
        <v>117645.82</v>
      </c>
      <c r="AD85" s="363">
        <f t="shared" si="154"/>
        <v>126435.96</v>
      </c>
      <c r="AE85" s="89">
        <f t="shared" si="154"/>
        <v>0</v>
      </c>
      <c r="AF85" s="364">
        <f t="shared" si="154"/>
        <v>119014.32000000002</v>
      </c>
      <c r="AG85" s="363">
        <f t="shared" si="154"/>
        <v>119279.76000000001</v>
      </c>
      <c r="AH85" s="364">
        <f t="shared" si="154"/>
        <v>204456.4</v>
      </c>
      <c r="AI85" s="363">
        <f t="shared" si="154"/>
        <v>276039.52</v>
      </c>
      <c r="AJ85" s="364">
        <f t="shared" si="154"/>
        <v>29920</v>
      </c>
      <c r="AK85" s="363">
        <f t="shared" si="154"/>
        <v>0</v>
      </c>
      <c r="AL85" s="364">
        <f t="shared" si="154"/>
        <v>62308.800000000003</v>
      </c>
      <c r="AM85" s="363">
        <f t="shared" si="154"/>
        <v>243824.46000000002</v>
      </c>
      <c r="AN85" s="89">
        <f t="shared" si="154"/>
        <v>43686</v>
      </c>
      <c r="AO85" s="364">
        <f t="shared" si="154"/>
        <v>61488</v>
      </c>
      <c r="AP85" s="363">
        <f t="shared" si="154"/>
        <v>157614</v>
      </c>
      <c r="AQ85" s="364">
        <f t="shared" si="154"/>
        <v>0</v>
      </c>
      <c r="AR85" s="363">
        <f t="shared" si="154"/>
        <v>0</v>
      </c>
      <c r="AS85" s="364">
        <f t="shared" si="154"/>
        <v>130524</v>
      </c>
      <c r="AT85" s="363">
        <f t="shared" si="154"/>
        <v>269508</v>
      </c>
      <c r="AU85" s="364">
        <f t="shared" si="154"/>
        <v>0</v>
      </c>
      <c r="AV85" s="363">
        <f t="shared" si="154"/>
        <v>136224</v>
      </c>
      <c r="AW85" s="364">
        <f t="shared" si="154"/>
        <v>0</v>
      </c>
      <c r="AX85" s="363">
        <f t="shared" si="154"/>
        <v>26261.999999999996</v>
      </c>
      <c r="AY85" s="89">
        <f t="shared" si="154"/>
        <v>125750.66</v>
      </c>
      <c r="AZ85" s="364">
        <f t="shared" si="154"/>
        <v>168733.58000000002</v>
      </c>
      <c r="BA85" s="363">
        <f t="shared" si="154"/>
        <v>62480</v>
      </c>
      <c r="BB85" s="364">
        <f t="shared" si="154"/>
        <v>160409.06999999998</v>
      </c>
      <c r="BC85" s="363">
        <f t="shared" si="154"/>
        <v>126291.6</v>
      </c>
      <c r="BD85" s="364">
        <f t="shared" si="154"/>
        <v>55504.95</v>
      </c>
      <c r="BE85" s="363">
        <f t="shared" si="154"/>
        <v>149834.99999999997</v>
      </c>
      <c r="BF85" s="364">
        <f t="shared" si="154"/>
        <v>220728.06000000003</v>
      </c>
      <c r="BG85" s="363">
        <f t="shared" si="154"/>
        <v>133691.55000000002</v>
      </c>
      <c r="BH85" s="364">
        <f t="shared" si="154"/>
        <v>17123.999999999996</v>
      </c>
      <c r="BI85" s="363">
        <f t="shared" si="154"/>
        <v>240878.96999999997</v>
      </c>
      <c r="BJ85" s="364">
        <f t="shared" si="154"/>
        <v>455414.19000000006</v>
      </c>
      <c r="BK85" s="363">
        <f t="shared" si="154"/>
        <v>161973.19</v>
      </c>
      <c r="BL85" s="89">
        <f t="shared" si="154"/>
        <v>0</v>
      </c>
      <c r="BM85" s="364">
        <f t="shared" si="154"/>
        <v>78056.999999999985</v>
      </c>
      <c r="BN85" s="363">
        <f t="shared" si="154"/>
        <v>425373.09</v>
      </c>
      <c r="BO85" s="364">
        <f t="shared" si="154"/>
        <v>201572.66999999998</v>
      </c>
    </row>
    <row r="86" spans="4:71" s="89" customFormat="1" ht="16" thickBot="1" x14ac:dyDescent="0.25">
      <c r="J86" s="251"/>
      <c r="K86" s="1025">
        <f>+K85+L85</f>
        <v>180000</v>
      </c>
      <c r="L86" s="1107"/>
      <c r="M86" s="1025">
        <f>+M85+N85</f>
        <v>0</v>
      </c>
      <c r="N86" s="1108"/>
      <c r="O86" s="511">
        <f>+O85+P85</f>
        <v>195000</v>
      </c>
      <c r="P86" s="1025">
        <f>+Q85+P85</f>
        <v>257674.56</v>
      </c>
      <c r="Q86" s="1109"/>
      <c r="R86" s="1025">
        <f>+S85+R85</f>
        <v>131998.20000000001</v>
      </c>
      <c r="S86" s="1109"/>
      <c r="T86" s="1025">
        <f>+U85+T85</f>
        <v>1541.1599999999999</v>
      </c>
      <c r="U86" s="1109"/>
      <c r="V86" s="1025">
        <f>+W85+V85</f>
        <v>418505.97</v>
      </c>
      <c r="W86" s="1109"/>
      <c r="X86" s="1025">
        <f>+Y85+X85</f>
        <v>222513.15</v>
      </c>
      <c r="Y86" s="1109"/>
      <c r="Z86" s="1025">
        <f>+AA85+Z85</f>
        <v>0</v>
      </c>
      <c r="AA86" s="1109"/>
      <c r="AB86" s="1025">
        <f>+AC85+AB85</f>
        <v>397544.52</v>
      </c>
      <c r="AC86" s="1109"/>
      <c r="AD86" s="1025">
        <f>+AE85+AD85+AF85</f>
        <v>245450.28000000003</v>
      </c>
      <c r="AE86" s="1026"/>
      <c r="AF86" s="1092"/>
      <c r="AG86" s="1025">
        <f>+AG85+AH85</f>
        <v>323736.16000000003</v>
      </c>
      <c r="AH86" s="1092"/>
      <c r="AI86" s="1025">
        <f>+AI85+AJ85</f>
        <v>305959.52</v>
      </c>
      <c r="AJ86" s="1092"/>
      <c r="AK86" s="1025">
        <f>+AK85+AL85</f>
        <v>62308.800000000003</v>
      </c>
      <c r="AL86" s="1092"/>
      <c r="AM86" s="1025">
        <f>+AO85+AN85+AM85</f>
        <v>348998.46</v>
      </c>
      <c r="AN86" s="1093"/>
      <c r="AO86" s="1092"/>
      <c r="AP86" s="1025">
        <f>+AQ85+AP85</f>
        <v>157614</v>
      </c>
      <c r="AQ86" s="1092"/>
      <c r="AR86" s="1025">
        <f>+AS85+AR85</f>
        <v>130524</v>
      </c>
      <c r="AS86" s="1092"/>
      <c r="AT86" s="1025">
        <f>+AT85+AU85</f>
        <v>269508</v>
      </c>
      <c r="AU86" s="1092"/>
      <c r="AV86" s="1025">
        <f>+AW85+AV85</f>
        <v>136224</v>
      </c>
      <c r="AW86" s="1092"/>
      <c r="AX86" s="1025">
        <f>+AY85+AX85+AZ85</f>
        <v>320746.23999999999</v>
      </c>
      <c r="AY86" s="1093"/>
      <c r="AZ86" s="1092"/>
      <c r="BA86" s="1025">
        <f>+BC85+BB85</f>
        <v>286700.67</v>
      </c>
      <c r="BB86" s="1092"/>
      <c r="BC86" s="1025">
        <f>+BC85+BD85</f>
        <v>181796.55</v>
      </c>
      <c r="BD86" s="1092"/>
      <c r="BE86" s="1025">
        <f>+BE85+BF85</f>
        <v>370563.06</v>
      </c>
      <c r="BF86" s="1092"/>
      <c r="BG86" s="1025">
        <f>+BG85+BH85</f>
        <v>150815.55000000002</v>
      </c>
      <c r="BH86" s="1092"/>
      <c r="BI86" s="1025">
        <f>+BI85+BJ85</f>
        <v>696293.16</v>
      </c>
      <c r="BJ86" s="1092"/>
      <c r="BK86" s="1025">
        <f>+BM85+BL85+BK85</f>
        <v>240030.19</v>
      </c>
      <c r="BL86" s="1093"/>
      <c r="BM86" s="1092"/>
      <c r="BN86" s="1025">
        <f>+BO85+BN85</f>
        <v>626945.76</v>
      </c>
      <c r="BO86" s="1092"/>
      <c r="BP86" s="512"/>
      <c r="BQ86" s="92">
        <f>+BQ85+BP85</f>
        <v>0</v>
      </c>
      <c r="BR86" s="512"/>
      <c r="BS86" s="92">
        <f>+BS85+BR85</f>
        <v>0</v>
      </c>
    </row>
    <row r="88" spans="4:71" x14ac:dyDescent="0.2">
      <c r="O88" s="252" t="s">
        <v>522</v>
      </c>
      <c r="P88" t="s">
        <v>523</v>
      </c>
    </row>
    <row r="89" spans="4:71" x14ac:dyDescent="0.2">
      <c r="D89" s="1049" t="s">
        <v>524</v>
      </c>
      <c r="E89" s="1050"/>
      <c r="F89" s="1050"/>
      <c r="G89" s="1051"/>
      <c r="O89" s="252" t="s">
        <v>525</v>
      </c>
    </row>
    <row r="90" spans="4:71" ht="16" thickBot="1" x14ac:dyDescent="0.25">
      <c r="D90" s="140"/>
      <c r="E90" s="140"/>
      <c r="F90" s="140"/>
      <c r="G90" s="140"/>
      <c r="P90" s="252" t="s">
        <v>486</v>
      </c>
      <c r="Q90" s="252"/>
      <c r="R90" s="252"/>
    </row>
    <row r="91" spans="4:71" ht="16" thickBot="1" x14ac:dyDescent="0.25">
      <c r="D91" s="179" t="s">
        <v>4</v>
      </c>
      <c r="E91" s="443">
        <v>21</v>
      </c>
      <c r="F91" s="179" t="s">
        <v>526</v>
      </c>
      <c r="G91" s="179"/>
      <c r="P91" s="252" t="s">
        <v>527</v>
      </c>
      <c r="Q91" s="495"/>
      <c r="R91" s="496"/>
      <c r="S91" s="497"/>
      <c r="T91" s="507"/>
      <c r="U91" s="45" t="s">
        <v>434</v>
      </c>
      <c r="V91" s="45" t="s">
        <v>528</v>
      </c>
      <c r="W91" s="45" t="s">
        <v>432</v>
      </c>
      <c r="X91" s="45" t="s">
        <v>433</v>
      </c>
      <c r="Y91" s="45" t="s">
        <v>397</v>
      </c>
      <c r="Z91" s="45" t="s">
        <v>529</v>
      </c>
      <c r="AA91" s="45" t="s">
        <v>530</v>
      </c>
      <c r="AB91" s="45" t="s">
        <v>531</v>
      </c>
      <c r="AC91" s="43" t="s">
        <v>532</v>
      </c>
    </row>
    <row r="92" spans="4:71" x14ac:dyDescent="0.2">
      <c r="D92" s="179" t="s">
        <v>8</v>
      </c>
      <c r="E92" s="443" t="s">
        <v>533</v>
      </c>
      <c r="F92" s="179"/>
      <c r="G92" s="179"/>
      <c r="P92" s="252">
        <v>280000</v>
      </c>
      <c r="Q92" s="486" t="s">
        <v>401</v>
      </c>
      <c r="R92" s="487" t="s">
        <v>534</v>
      </c>
      <c r="S92" s="488">
        <f>+P86</f>
        <v>257674.56</v>
      </c>
      <c r="T92" s="60"/>
      <c r="U92" s="489">
        <f>-Margins!F49/3</f>
        <v>-180000</v>
      </c>
      <c r="V92" s="489">
        <f>-Margins!G74</f>
        <v>-75562</v>
      </c>
      <c r="W92" s="489">
        <f>-Margins!F51/3</f>
        <v>-80000</v>
      </c>
      <c r="X92" s="489">
        <f>-Margins!F52/3</f>
        <v>-15000</v>
      </c>
      <c r="Y92" s="489">
        <f>+X92+W92+V92+U92</f>
        <v>-350562</v>
      </c>
      <c r="Z92" s="488"/>
      <c r="AA92" s="488"/>
      <c r="AB92" s="488"/>
      <c r="AC92" s="60"/>
    </row>
    <row r="93" spans="4:71" x14ac:dyDescent="0.2">
      <c r="D93" s="179"/>
      <c r="E93" s="443" t="s">
        <v>535</v>
      </c>
      <c r="F93" s="179">
        <v>7</v>
      </c>
      <c r="G93" s="179" t="s">
        <v>536</v>
      </c>
      <c r="P93" s="252"/>
      <c r="Q93" s="490"/>
      <c r="R93" s="252" t="s">
        <v>537</v>
      </c>
      <c r="S93" s="89">
        <f>+R86</f>
        <v>131998.20000000001</v>
      </c>
      <c r="T93" s="18"/>
      <c r="U93" s="483"/>
      <c r="V93" s="483"/>
      <c r="W93" s="483"/>
      <c r="X93" s="483"/>
      <c r="Y93" s="483"/>
      <c r="Z93" s="89"/>
      <c r="AA93" s="89"/>
      <c r="AB93" s="89"/>
      <c r="AC93" s="18"/>
    </row>
    <row r="94" spans="4:71" ht="16" thickBot="1" x14ac:dyDescent="0.25">
      <c r="D94" s="179" t="s">
        <v>538</v>
      </c>
      <c r="E94" s="443" t="s">
        <v>539</v>
      </c>
      <c r="F94" s="179"/>
      <c r="G94" s="179"/>
      <c r="P94" s="252"/>
      <c r="Q94" s="490"/>
      <c r="R94" s="252" t="s">
        <v>432</v>
      </c>
      <c r="S94" s="89">
        <f>+P80-P86-R86</f>
        <v>0</v>
      </c>
      <c r="T94" s="18"/>
      <c r="U94" s="483"/>
      <c r="V94" s="483"/>
      <c r="W94" s="483"/>
      <c r="X94" s="483"/>
      <c r="Y94" s="483"/>
      <c r="Z94" s="89"/>
      <c r="AA94" s="89"/>
      <c r="AB94" s="89"/>
      <c r="AC94" s="18"/>
    </row>
    <row r="95" spans="4:71" s="142" customFormat="1" ht="16" thickBot="1" x14ac:dyDescent="0.25">
      <c r="D95" s="479" t="s">
        <v>540</v>
      </c>
      <c r="E95" s="480" t="s">
        <v>541</v>
      </c>
      <c r="F95" s="479"/>
      <c r="G95" s="479"/>
      <c r="J95" s="481"/>
      <c r="K95" s="482"/>
      <c r="L95" s="482"/>
      <c r="P95" s="482"/>
      <c r="Q95" s="491"/>
      <c r="R95" s="498" t="s">
        <v>430</v>
      </c>
      <c r="S95" s="499">
        <f>SUM(S92:S94)</f>
        <v>389672.76</v>
      </c>
      <c r="T95" s="508"/>
      <c r="U95" s="500">
        <f>SUM(U92:U94)</f>
        <v>-180000</v>
      </c>
      <c r="V95" s="500">
        <f>SUM(V92:V94)</f>
        <v>-75562</v>
      </c>
      <c r="W95" s="500">
        <f>SUM(W92:W94)</f>
        <v>-80000</v>
      </c>
      <c r="X95" s="500">
        <f>SUM(X92:X94)</f>
        <v>-15000</v>
      </c>
      <c r="Y95" s="500">
        <f>SUM(Y92:Y94)</f>
        <v>-350562</v>
      </c>
      <c r="Z95" s="499"/>
      <c r="AA95" s="499">
        <f>+P92+S95+Y95+Z95</f>
        <v>319110.76</v>
      </c>
      <c r="AB95" s="499">
        <f>-(P19+Q19+R19+S19)*40</f>
        <v>-112160</v>
      </c>
      <c r="AC95" s="503">
        <f>+AA95+AB95</f>
        <v>206950.76</v>
      </c>
    </row>
    <row r="96" spans="4:71" x14ac:dyDescent="0.2">
      <c r="D96" s="179" t="s">
        <v>29</v>
      </c>
      <c r="E96" s="443" t="s">
        <v>542</v>
      </c>
      <c r="F96" s="179"/>
      <c r="G96" s="179"/>
      <c r="P96" s="252">
        <v>488000</v>
      </c>
      <c r="Q96" s="486" t="s">
        <v>402</v>
      </c>
      <c r="R96" s="487" t="s">
        <v>534</v>
      </c>
      <c r="S96" s="488">
        <f>+T86</f>
        <v>1541.1599999999999</v>
      </c>
      <c r="T96" s="60"/>
      <c r="U96" s="489">
        <f>+U92</f>
        <v>-180000</v>
      </c>
      <c r="V96" s="489">
        <f>-Margins!H74</f>
        <v>-75562</v>
      </c>
      <c r="W96" s="489">
        <f>+W92</f>
        <v>-80000</v>
      </c>
      <c r="X96" s="489">
        <f>+X92</f>
        <v>-15000</v>
      </c>
      <c r="Y96" s="489">
        <f>+X96+W96+V96+U96</f>
        <v>-350562</v>
      </c>
      <c r="Z96" s="488"/>
      <c r="AA96" s="488"/>
      <c r="AB96" s="488"/>
      <c r="AC96" s="60"/>
    </row>
    <row r="97" spans="4:30" x14ac:dyDescent="0.2">
      <c r="D97" s="179"/>
      <c r="E97" s="443" t="s">
        <v>535</v>
      </c>
      <c r="F97" s="179">
        <v>7</v>
      </c>
      <c r="G97" s="179" t="s">
        <v>536</v>
      </c>
      <c r="P97" s="533" t="s">
        <v>543</v>
      </c>
      <c r="Q97" s="490"/>
      <c r="R97" s="252" t="s">
        <v>537</v>
      </c>
      <c r="S97" s="89">
        <f>+V86</f>
        <v>418505.97</v>
      </c>
      <c r="T97" s="18"/>
      <c r="U97" s="483"/>
      <c r="V97" s="483"/>
      <c r="W97" s="483"/>
      <c r="X97" s="483"/>
      <c r="Y97" s="483"/>
      <c r="Z97" s="89"/>
      <c r="AA97" s="89"/>
      <c r="AB97" s="89"/>
      <c r="AC97" s="18"/>
    </row>
    <row r="98" spans="4:30" ht="16" thickBot="1" x14ac:dyDescent="0.25">
      <c r="D98" s="179" t="s">
        <v>316</v>
      </c>
      <c r="E98" s="443" t="s">
        <v>544</v>
      </c>
      <c r="F98" s="179"/>
      <c r="G98" s="179"/>
      <c r="P98" s="252"/>
      <c r="Q98" s="490"/>
      <c r="R98" s="252" t="s">
        <v>432</v>
      </c>
      <c r="S98" s="89">
        <f>+T75-T80</f>
        <v>60879</v>
      </c>
      <c r="T98" s="18"/>
      <c r="U98" s="483"/>
      <c r="V98" s="483"/>
      <c r="W98" s="483"/>
      <c r="X98" s="483"/>
      <c r="Y98" s="483"/>
      <c r="Z98" s="89"/>
      <c r="AA98" s="89"/>
      <c r="AB98" s="89"/>
      <c r="AC98" s="18"/>
    </row>
    <row r="99" spans="4:30" ht="16" thickBot="1" x14ac:dyDescent="0.25">
      <c r="D99" s="179"/>
      <c r="E99" s="443"/>
      <c r="F99" s="179"/>
      <c r="G99" s="179"/>
      <c r="P99" s="252"/>
      <c r="Q99" s="491"/>
      <c r="R99" s="498" t="s">
        <v>430</v>
      </c>
      <c r="S99" s="499">
        <f>SUM(S96:S98)</f>
        <v>480926.12999999995</v>
      </c>
      <c r="T99" s="508"/>
      <c r="U99" s="500">
        <f>SUM(U96:U98)</f>
        <v>-180000</v>
      </c>
      <c r="V99" s="500">
        <f>SUM(V96:V98)</f>
        <v>-75562</v>
      </c>
      <c r="W99" s="500">
        <f>SUM(W96:W98)</f>
        <v>-80000</v>
      </c>
      <c r="X99" s="500">
        <f>SUM(X96:X98)</f>
        <v>-15000</v>
      </c>
      <c r="Y99" s="500">
        <f>SUM(Y96:Y98)</f>
        <v>-350562</v>
      </c>
      <c r="Z99" s="502"/>
      <c r="AA99" s="499">
        <f>+P96+S99+Y99+Z99+AC95</f>
        <v>825314.8899999999</v>
      </c>
      <c r="AB99" s="499">
        <f>-(T19+U19+V19+W19)*40</f>
        <v>-32000</v>
      </c>
      <c r="AC99" s="503">
        <f>+AA99+AB99</f>
        <v>793314.8899999999</v>
      </c>
    </row>
    <row r="100" spans="4:30" x14ac:dyDescent="0.2">
      <c r="D100" s="179"/>
      <c r="E100" s="443" t="s">
        <v>545</v>
      </c>
      <c r="F100" s="179"/>
      <c r="G100" s="179"/>
      <c r="P100" s="252"/>
      <c r="Q100" s="486" t="s">
        <v>403</v>
      </c>
      <c r="R100" s="487" t="s">
        <v>534</v>
      </c>
      <c r="S100" s="488">
        <f>+X86</f>
        <v>222513.15</v>
      </c>
      <c r="T100" s="60"/>
      <c r="U100" s="489">
        <f>+U96</f>
        <v>-180000</v>
      </c>
      <c r="V100" s="489">
        <f>+V96</f>
        <v>-75562</v>
      </c>
      <c r="W100" s="489">
        <f>+W96</f>
        <v>-80000</v>
      </c>
      <c r="X100" s="489">
        <f>+X92</f>
        <v>-15000</v>
      </c>
      <c r="Y100" s="489">
        <f>+X100+W100+V100+U100</f>
        <v>-350562</v>
      </c>
      <c r="Z100" s="489">
        <f>-Margins!I83-Margins!I84-Margins!I85</f>
        <v>-120000</v>
      </c>
      <c r="AA100" s="488"/>
      <c r="AB100" s="504"/>
      <c r="AC100" s="60"/>
    </row>
    <row r="101" spans="4:30" x14ac:dyDescent="0.2">
      <c r="D101" s="179" t="s">
        <v>15</v>
      </c>
      <c r="E101" s="443">
        <v>7</v>
      </c>
      <c r="F101" s="179" t="s">
        <v>546</v>
      </c>
      <c r="G101" s="179"/>
      <c r="P101" s="252"/>
      <c r="Q101" s="490"/>
      <c r="R101" s="252" t="s">
        <v>537</v>
      </c>
      <c r="S101" s="89">
        <f>+Z86</f>
        <v>0</v>
      </c>
      <c r="T101" s="18"/>
      <c r="U101" s="483"/>
      <c r="V101" s="483"/>
      <c r="W101" s="483"/>
      <c r="X101" s="483"/>
      <c r="Y101" s="483"/>
      <c r="Z101" s="89"/>
      <c r="AA101" s="89"/>
      <c r="AB101" s="254"/>
      <c r="AC101" s="18"/>
    </row>
    <row r="102" spans="4:30" ht="16" thickBot="1" x14ac:dyDescent="0.25">
      <c r="P102" s="252"/>
      <c r="Q102" s="490"/>
      <c r="R102" s="252" t="s">
        <v>432</v>
      </c>
      <c r="S102" s="89">
        <f>+X75-X80</f>
        <v>68880.24000000002</v>
      </c>
      <c r="T102" s="18"/>
      <c r="U102" s="483"/>
      <c r="V102" s="483"/>
      <c r="W102" s="483"/>
      <c r="X102" s="483"/>
      <c r="Y102" s="483"/>
      <c r="Z102" s="89"/>
      <c r="AA102" s="89"/>
      <c r="AB102" s="254"/>
      <c r="AC102" s="18"/>
    </row>
    <row r="103" spans="4:30" ht="16" thickBot="1" x14ac:dyDescent="0.25">
      <c r="P103" s="252"/>
      <c r="Q103" s="491"/>
      <c r="R103" s="498" t="s">
        <v>430</v>
      </c>
      <c r="S103" s="499">
        <f>SUM(S100:S102)</f>
        <v>291393.39</v>
      </c>
      <c r="T103" s="508"/>
      <c r="U103" s="500">
        <f>SUM(U100:U102)</f>
        <v>-180000</v>
      </c>
      <c r="V103" s="500">
        <f>SUM(V100:V102)</f>
        <v>-75562</v>
      </c>
      <c r="W103" s="500">
        <f>SUM(W100:W102)</f>
        <v>-80000</v>
      </c>
      <c r="X103" s="500">
        <f>SUM(X100:X102)</f>
        <v>-15000</v>
      </c>
      <c r="Y103" s="500">
        <f>SUM(Y100:Y102)</f>
        <v>-350562</v>
      </c>
      <c r="Z103" s="583">
        <f>+Z100</f>
        <v>-120000</v>
      </c>
      <c r="AA103" s="499">
        <f>+P100+S103+Y103+Z103+AC99</f>
        <v>614146.27999999991</v>
      </c>
      <c r="AB103" s="499">
        <v>-35000</v>
      </c>
      <c r="AC103" s="503">
        <f>+AA103+AB103</f>
        <v>579146.27999999991</v>
      </c>
    </row>
    <row r="104" spans="4:30" x14ac:dyDescent="0.2">
      <c r="P104" s="252"/>
      <c r="Q104" s="486" t="s">
        <v>404</v>
      </c>
      <c r="R104" s="487" t="s">
        <v>534</v>
      </c>
      <c r="S104" s="488">
        <f>+AB86</f>
        <v>397544.52</v>
      </c>
      <c r="T104" s="60"/>
      <c r="U104" s="489">
        <f>-Margins!J73-Margins!J77</f>
        <v>-330000</v>
      </c>
      <c r="V104" s="489">
        <f>-Margins!G50/3</f>
        <v>-57989.333333333336</v>
      </c>
      <c r="W104" s="489">
        <f>-Margins!G51/3</f>
        <v>-80000</v>
      </c>
      <c r="X104" s="489">
        <f>-Margins!G52/3</f>
        <v>-15000</v>
      </c>
      <c r="Y104" s="489">
        <f>+X104+W104+V104+U104</f>
        <v>-482989.33333333337</v>
      </c>
      <c r="Z104" s="489">
        <f>+Z100</f>
        <v>-120000</v>
      </c>
      <c r="AA104" s="488"/>
      <c r="AB104" s="504"/>
      <c r="AC104" s="60"/>
    </row>
    <row r="105" spans="4:30" x14ac:dyDescent="0.2">
      <c r="P105" s="252"/>
      <c r="Q105" s="490"/>
      <c r="R105" s="252" t="s">
        <v>537</v>
      </c>
      <c r="S105" s="89">
        <f>+AD86</f>
        <v>245450.28000000003</v>
      </c>
      <c r="T105" s="18"/>
      <c r="U105" s="483"/>
      <c r="V105" s="483"/>
      <c r="W105" s="483"/>
      <c r="X105" s="483"/>
      <c r="Y105" s="483"/>
      <c r="Z105" s="89"/>
      <c r="AA105" s="89"/>
      <c r="AB105" s="254"/>
      <c r="AC105" s="18"/>
    </row>
    <row r="106" spans="4:30" ht="16" thickBot="1" x14ac:dyDescent="0.25">
      <c r="P106" s="252"/>
      <c r="Q106" s="490"/>
      <c r="R106" s="252" t="s">
        <v>432</v>
      </c>
      <c r="S106" s="89">
        <f>+AB75-AB80</f>
        <v>42441.359999999986</v>
      </c>
      <c r="T106" s="18"/>
      <c r="U106" s="483"/>
      <c r="V106" s="483"/>
      <c r="W106" s="483"/>
      <c r="X106" s="483"/>
      <c r="Y106" s="483"/>
      <c r="Z106" s="89"/>
      <c r="AA106" s="89"/>
      <c r="AB106" s="254"/>
      <c r="AC106" s="18"/>
    </row>
    <row r="107" spans="4:30" ht="16" thickBot="1" x14ac:dyDescent="0.25">
      <c r="P107" s="252"/>
      <c r="Q107" s="491"/>
      <c r="R107" s="498" t="s">
        <v>430</v>
      </c>
      <c r="S107" s="499">
        <f>SUM(S104:S106)</f>
        <v>685436.16</v>
      </c>
      <c r="T107" s="508"/>
      <c r="U107" s="500">
        <f>SUM(U104:U106)</f>
        <v>-330000</v>
      </c>
      <c r="V107" s="500">
        <f>SUM(V104:V106)</f>
        <v>-57989.333333333336</v>
      </c>
      <c r="W107" s="500">
        <f>SUM(W104:W106)</f>
        <v>-80000</v>
      </c>
      <c r="X107" s="500">
        <f>SUM(X104:X106)</f>
        <v>-15000</v>
      </c>
      <c r="Y107" s="500">
        <f>SUM(Y104:Y106)</f>
        <v>-482989.33333333337</v>
      </c>
      <c r="Z107" s="583">
        <f>+Z104</f>
        <v>-120000</v>
      </c>
      <c r="AA107" s="499">
        <f>+P104+S107+Y107+Z107+AC103</f>
        <v>661593.10666666657</v>
      </c>
      <c r="AB107" s="499">
        <v>50000</v>
      </c>
      <c r="AC107" s="503">
        <f>+AA107+AB107</f>
        <v>711593.10666666657</v>
      </c>
      <c r="AD107" t="s">
        <v>547</v>
      </c>
    </row>
    <row r="108" spans="4:30" x14ac:dyDescent="0.2">
      <c r="P108" s="252"/>
      <c r="Q108" s="486" t="s">
        <v>266</v>
      </c>
      <c r="R108" s="487" t="s">
        <v>534</v>
      </c>
      <c r="S108" s="488">
        <f>+AG86</f>
        <v>323736.16000000003</v>
      </c>
      <c r="T108" s="60"/>
      <c r="U108" s="489">
        <f>-Margins!K73-Margins!K77</f>
        <v>-230000</v>
      </c>
      <c r="V108" s="489">
        <f>+V104</f>
        <v>-57989.333333333336</v>
      </c>
      <c r="W108" s="489">
        <f>+W104</f>
        <v>-80000</v>
      </c>
      <c r="X108" s="489">
        <f>+X104</f>
        <v>-15000</v>
      </c>
      <c r="Y108" s="489">
        <f>+X108+W108+V108+U108</f>
        <v>-382989.33333333337</v>
      </c>
      <c r="Z108" s="489">
        <f>+Z104</f>
        <v>-120000</v>
      </c>
      <c r="AA108" s="488"/>
      <c r="AB108" s="504"/>
      <c r="AC108" s="60"/>
    </row>
    <row r="109" spans="4:30" x14ac:dyDescent="0.2">
      <c r="P109" s="252"/>
      <c r="Q109" s="490"/>
      <c r="R109" s="252" t="s">
        <v>537</v>
      </c>
      <c r="S109" s="89">
        <f>+AI85+AJ85</f>
        <v>305959.52</v>
      </c>
      <c r="T109" s="18"/>
      <c r="U109" s="483"/>
      <c r="V109" s="483"/>
      <c r="W109" s="483"/>
      <c r="X109" s="483"/>
      <c r="Y109" s="483"/>
      <c r="Z109" s="89"/>
      <c r="AA109" s="89"/>
      <c r="AB109" s="254"/>
      <c r="AC109" s="18"/>
    </row>
    <row r="110" spans="4:30" ht="16" thickBot="1" x14ac:dyDescent="0.25">
      <c r="P110" s="252"/>
      <c r="Q110" s="490"/>
      <c r="R110" s="252" t="s">
        <v>432</v>
      </c>
      <c r="S110" s="89">
        <f>+AG75-AG80</f>
        <v>102972.47999999998</v>
      </c>
      <c r="T110" s="18"/>
      <c r="U110" s="483"/>
      <c r="V110" s="483"/>
      <c r="W110" s="483"/>
      <c r="X110" s="483"/>
      <c r="Y110" s="483"/>
      <c r="Z110" s="89"/>
      <c r="AA110" s="89"/>
      <c r="AB110" s="254"/>
      <c r="AC110" s="18"/>
    </row>
    <row r="111" spans="4:30" ht="16" thickBot="1" x14ac:dyDescent="0.25">
      <c r="P111" s="252"/>
      <c r="Q111" s="491"/>
      <c r="R111" s="498" t="s">
        <v>430</v>
      </c>
      <c r="S111" s="499">
        <f>SUM(S108:S110)</f>
        <v>732668.16</v>
      </c>
      <c r="T111" s="508"/>
      <c r="U111" s="500">
        <f>SUM(U108:U110)</f>
        <v>-230000</v>
      </c>
      <c r="V111" s="500">
        <f>SUM(V108:V110)</f>
        <v>-57989.333333333336</v>
      </c>
      <c r="W111" s="500">
        <f>SUM(W108:W110)</f>
        <v>-80000</v>
      </c>
      <c r="X111" s="500">
        <f>SUM(X108:X110)</f>
        <v>-15000</v>
      </c>
      <c r="Y111" s="500">
        <f>SUM(Y108:Y110)</f>
        <v>-382989.33333333337</v>
      </c>
      <c r="Z111" s="583">
        <f>+Z108</f>
        <v>-120000</v>
      </c>
      <c r="AA111" s="499">
        <f>+P108+S111+Y111+Z111+AC107</f>
        <v>941271.93333333323</v>
      </c>
      <c r="AB111" s="499">
        <v>180000</v>
      </c>
      <c r="AC111" s="503">
        <f>+AA111+AB111</f>
        <v>1121271.9333333331</v>
      </c>
    </row>
    <row r="112" spans="4:30" x14ac:dyDescent="0.2">
      <c r="P112" s="252"/>
      <c r="Q112" s="486" t="s">
        <v>267</v>
      </c>
      <c r="R112" s="487" t="s">
        <v>534</v>
      </c>
      <c r="S112" s="488">
        <f>+AK86</f>
        <v>62308.800000000003</v>
      </c>
      <c r="T112" s="60"/>
      <c r="U112" s="489">
        <f>-Margins!L73</f>
        <v>-180000</v>
      </c>
      <c r="V112" s="489">
        <f>+V108</f>
        <v>-57989.333333333336</v>
      </c>
      <c r="W112" s="489">
        <f>+W108</f>
        <v>-80000</v>
      </c>
      <c r="X112" s="489">
        <f>+X108</f>
        <v>-15000</v>
      </c>
      <c r="Y112" s="489">
        <f>+X112+W112+V112+U112</f>
        <v>-332989.33333333337</v>
      </c>
      <c r="Z112" s="489">
        <f>+Z108</f>
        <v>-120000</v>
      </c>
      <c r="AA112" s="488"/>
      <c r="AB112" s="504"/>
      <c r="AC112" s="60"/>
    </row>
    <row r="113" spans="16:30" x14ac:dyDescent="0.2">
      <c r="P113" s="252"/>
      <c r="Q113" s="490"/>
      <c r="R113" s="252" t="s">
        <v>537</v>
      </c>
      <c r="S113" s="89">
        <f>+AM86</f>
        <v>348998.46</v>
      </c>
      <c r="T113" s="18"/>
      <c r="U113" s="483"/>
      <c r="V113" s="483"/>
      <c r="W113" s="483"/>
      <c r="X113" s="483"/>
      <c r="Y113" s="483"/>
      <c r="Z113" s="89"/>
      <c r="AA113" s="89"/>
      <c r="AB113" s="254"/>
      <c r="AC113" s="18"/>
    </row>
    <row r="114" spans="16:30" ht="16" thickBot="1" x14ac:dyDescent="0.25">
      <c r="P114" s="252"/>
      <c r="Q114" s="490"/>
      <c r="R114" s="252" t="s">
        <v>432</v>
      </c>
      <c r="S114" s="89">
        <f>+AK75-AK80</f>
        <v>77200.200000000012</v>
      </c>
      <c r="T114" s="18"/>
      <c r="U114" s="483"/>
      <c r="V114" s="483"/>
      <c r="W114" s="483"/>
      <c r="X114" s="483"/>
      <c r="Y114" s="483"/>
      <c r="Z114" s="89"/>
      <c r="AA114" s="89"/>
      <c r="AB114" s="254"/>
      <c r="AC114" s="18"/>
    </row>
    <row r="115" spans="16:30" ht="16" thickBot="1" x14ac:dyDescent="0.25">
      <c r="P115" s="252"/>
      <c r="Q115" s="491"/>
      <c r="R115" s="498" t="s">
        <v>430</v>
      </c>
      <c r="S115" s="499">
        <f>SUM(S112:S114)</f>
        <v>488507.46</v>
      </c>
      <c r="T115" s="508"/>
      <c r="U115" s="500">
        <f>SUM(U112:U114)</f>
        <v>-180000</v>
      </c>
      <c r="V115" s="500">
        <f>SUM(V112:V114)</f>
        <v>-57989.333333333336</v>
      </c>
      <c r="W115" s="500">
        <f>SUM(W112:W114)</f>
        <v>-80000</v>
      </c>
      <c r="X115" s="500">
        <f>SUM(X112:X114)</f>
        <v>-15000</v>
      </c>
      <c r="Y115" s="500">
        <f>SUM(Y112:Y114)</f>
        <v>-332989.33333333337</v>
      </c>
      <c r="Z115" s="583">
        <f>+Z112</f>
        <v>-120000</v>
      </c>
      <c r="AA115" s="499">
        <f>+P112+S115+Y115+Z115+AC111</f>
        <v>1156790.0599999998</v>
      </c>
      <c r="AB115" s="499">
        <f>-(AJ19+AM19+AV19+AW19)*40</f>
        <v>0</v>
      </c>
      <c r="AC115" s="503">
        <f>+AA115+AB115</f>
        <v>1156790.0599999998</v>
      </c>
      <c r="AD115" t="s">
        <v>548</v>
      </c>
    </row>
    <row r="116" spans="16:30" x14ac:dyDescent="0.2">
      <c r="P116" s="252"/>
      <c r="Q116" s="486" t="s">
        <v>268</v>
      </c>
      <c r="R116" s="487" t="s">
        <v>534</v>
      </c>
      <c r="S116" s="488">
        <f>+AP86</f>
        <v>157614</v>
      </c>
      <c r="T116" s="60"/>
      <c r="U116" s="489">
        <f>+U92</f>
        <v>-180000</v>
      </c>
      <c r="V116" s="489">
        <f>-Margins!H50/3</f>
        <v>-91083.666666666672</v>
      </c>
      <c r="W116" s="489">
        <f>-Margins!H51/3</f>
        <v>-104000</v>
      </c>
      <c r="X116" s="489">
        <f>-Margins!H52/3</f>
        <v>-19500</v>
      </c>
      <c r="Y116" s="489">
        <f>+X116+W116+V116+U116</f>
        <v>-394583.66666666669</v>
      </c>
      <c r="Z116" s="489">
        <f>+Z112</f>
        <v>-120000</v>
      </c>
      <c r="AA116" s="488"/>
      <c r="AB116" s="504"/>
      <c r="AC116" s="60"/>
    </row>
    <row r="117" spans="16:30" x14ac:dyDescent="0.2">
      <c r="P117" s="252"/>
      <c r="Q117" s="490"/>
      <c r="R117" s="252" t="s">
        <v>537</v>
      </c>
      <c r="S117" s="89">
        <f>+AR79+AS79</f>
        <v>130524</v>
      </c>
      <c r="T117" s="18"/>
      <c r="U117" s="483"/>
      <c r="V117" s="483"/>
      <c r="W117" s="483"/>
      <c r="X117" s="483"/>
      <c r="Y117" s="483"/>
      <c r="Z117" s="89"/>
      <c r="AA117" s="89"/>
      <c r="AB117" s="254"/>
      <c r="AC117" s="18"/>
    </row>
    <row r="118" spans="16:30" ht="16" thickBot="1" x14ac:dyDescent="0.25">
      <c r="P118" s="252"/>
      <c r="Q118" s="490"/>
      <c r="R118" s="252" t="s">
        <v>432</v>
      </c>
      <c r="S118" s="89">
        <f>+AB75-AB80</f>
        <v>42441.359999999986</v>
      </c>
      <c r="T118" s="18"/>
      <c r="U118" s="483"/>
      <c r="V118" s="483"/>
      <c r="W118" s="483"/>
      <c r="X118" s="483"/>
      <c r="Y118" s="483"/>
      <c r="Z118" s="89"/>
      <c r="AA118" s="89"/>
      <c r="AB118" s="254"/>
      <c r="AC118" s="18"/>
    </row>
    <row r="119" spans="16:30" ht="16" thickBot="1" x14ac:dyDescent="0.25">
      <c r="P119" s="252"/>
      <c r="Q119" s="491"/>
      <c r="R119" s="498" t="s">
        <v>430</v>
      </c>
      <c r="S119" s="499">
        <f>SUM(S116:S118)</f>
        <v>330579.36</v>
      </c>
      <c r="T119" s="508"/>
      <c r="U119" s="500">
        <f>SUM(U116:U118)</f>
        <v>-180000</v>
      </c>
      <c r="V119" s="500">
        <f>SUM(V116:V118)</f>
        <v>-91083.666666666672</v>
      </c>
      <c r="W119" s="500">
        <f>SUM(W116:W118)</f>
        <v>-104000</v>
      </c>
      <c r="X119" s="500">
        <f>SUM(X116:X118)</f>
        <v>-19500</v>
      </c>
      <c r="Y119" s="500">
        <f>SUM(Y116:Y118)</f>
        <v>-394583.66666666669</v>
      </c>
      <c r="Z119" s="583">
        <f>+Z116</f>
        <v>-120000</v>
      </c>
      <c r="AA119" s="499">
        <f>+P116+S119+Y119+Z119+AC115</f>
        <v>972785.75333333318</v>
      </c>
      <c r="AB119" s="499">
        <v>-100000</v>
      </c>
      <c r="AC119" s="503">
        <f>+AA119+AB119</f>
        <v>872785.75333333318</v>
      </c>
      <c r="AD119" t="s">
        <v>547</v>
      </c>
    </row>
    <row r="120" spans="16:30" x14ac:dyDescent="0.2">
      <c r="P120" s="252"/>
      <c r="Q120" s="486" t="s">
        <v>405</v>
      </c>
      <c r="R120" s="487" t="s">
        <v>534</v>
      </c>
      <c r="S120" s="488">
        <f>+AT86</f>
        <v>269508</v>
      </c>
      <c r="T120" s="60"/>
      <c r="U120" s="489">
        <f>+U116</f>
        <v>-180000</v>
      </c>
      <c r="V120" s="489">
        <f>+V116</f>
        <v>-91083.666666666672</v>
      </c>
      <c r="W120" s="489">
        <f>+W116</f>
        <v>-104000</v>
      </c>
      <c r="X120" s="489">
        <f>+X116</f>
        <v>-19500</v>
      </c>
      <c r="Y120" s="489">
        <f>+X120+W120+V120+U120</f>
        <v>-394583.66666666669</v>
      </c>
      <c r="Z120" s="489">
        <f>+Z116</f>
        <v>-120000</v>
      </c>
      <c r="AA120" s="488"/>
      <c r="AB120" s="504"/>
      <c r="AC120" s="60"/>
    </row>
    <row r="121" spans="16:30" x14ac:dyDescent="0.2">
      <c r="P121" s="252"/>
      <c r="Q121" s="490"/>
      <c r="R121" s="252" t="s">
        <v>537</v>
      </c>
      <c r="S121" s="89">
        <f>+AV79+AW79</f>
        <v>136224</v>
      </c>
      <c r="T121" s="18"/>
      <c r="U121" s="483"/>
      <c r="V121" s="483"/>
      <c r="W121" s="483"/>
      <c r="X121" s="483"/>
      <c r="Y121" s="483"/>
      <c r="Z121" s="89"/>
      <c r="AA121" s="89"/>
      <c r="AB121" s="254"/>
      <c r="AC121" s="18"/>
    </row>
    <row r="122" spans="16:30" ht="16" thickBot="1" x14ac:dyDescent="0.25">
      <c r="P122" s="252"/>
      <c r="Q122" s="490"/>
      <c r="R122" s="252" t="s">
        <v>432</v>
      </c>
      <c r="S122" s="89">
        <f>+AT75-AT80</f>
        <v>361049.93999999994</v>
      </c>
      <c r="T122" s="18"/>
      <c r="U122" s="483"/>
      <c r="V122" s="483"/>
      <c r="W122" s="483"/>
      <c r="X122" s="483"/>
      <c r="Y122" s="483"/>
      <c r="Z122" s="89"/>
      <c r="AA122" s="89"/>
      <c r="AB122" s="254"/>
      <c r="AC122" s="18"/>
    </row>
    <row r="123" spans="16:30" ht="16" thickBot="1" x14ac:dyDescent="0.25">
      <c r="P123" s="252"/>
      <c r="Q123" s="491"/>
      <c r="R123" s="498" t="s">
        <v>430</v>
      </c>
      <c r="S123" s="499">
        <f>SUM(S120:S122)</f>
        <v>766781.94</v>
      </c>
      <c r="T123" s="508"/>
      <c r="U123" s="500">
        <f>SUM(U120:U122)</f>
        <v>-180000</v>
      </c>
      <c r="V123" s="500">
        <f>SUM(V120:V122)</f>
        <v>-91083.666666666672</v>
      </c>
      <c r="W123" s="500">
        <f>SUM(W120:W122)</f>
        <v>-104000</v>
      </c>
      <c r="X123" s="500">
        <f>SUM(X120:X122)</f>
        <v>-19500</v>
      </c>
      <c r="Y123" s="500">
        <f>SUM(Y120:Y122)</f>
        <v>-394583.66666666669</v>
      </c>
      <c r="Z123" s="583">
        <f>+Z120</f>
        <v>-120000</v>
      </c>
      <c r="AA123" s="499">
        <f>+P120+S123+Y123+Z123+AC119</f>
        <v>1124984.0266666664</v>
      </c>
      <c r="AB123" s="499">
        <v>-50000</v>
      </c>
      <c r="AC123" s="503">
        <f>+AA123+AB123</f>
        <v>1074984.0266666664</v>
      </c>
    </row>
    <row r="124" spans="16:30" x14ac:dyDescent="0.2">
      <c r="P124" s="252"/>
      <c r="Q124" s="486" t="s">
        <v>446</v>
      </c>
      <c r="R124" s="487" t="s">
        <v>534</v>
      </c>
      <c r="S124" s="488">
        <f>+AX86</f>
        <v>320746.23999999999</v>
      </c>
      <c r="T124" s="60"/>
      <c r="U124" s="489">
        <f>+U120</f>
        <v>-180000</v>
      </c>
      <c r="V124" s="489">
        <f>+V120</f>
        <v>-91083.666666666672</v>
      </c>
      <c r="W124" s="489">
        <f>+W120</f>
        <v>-104000</v>
      </c>
      <c r="X124" s="489">
        <f>+X120</f>
        <v>-19500</v>
      </c>
      <c r="Y124" s="489">
        <f>+X124+W124+V124+U124</f>
        <v>-394583.66666666669</v>
      </c>
      <c r="Z124" s="489">
        <f>+Z120</f>
        <v>-120000</v>
      </c>
      <c r="AA124" s="488"/>
      <c r="AB124" s="504"/>
      <c r="AC124" s="60"/>
    </row>
    <row r="125" spans="16:30" x14ac:dyDescent="0.2">
      <c r="P125" s="252"/>
      <c r="Q125" s="490"/>
      <c r="R125" s="252" t="s">
        <v>537</v>
      </c>
      <c r="S125" s="89">
        <f>+BA86</f>
        <v>286700.67</v>
      </c>
      <c r="T125" s="18"/>
      <c r="U125" s="483"/>
      <c r="V125" s="483"/>
      <c r="W125" s="483"/>
      <c r="X125" s="483"/>
      <c r="Y125" s="483"/>
      <c r="Z125" s="89"/>
      <c r="AA125" s="89"/>
      <c r="AB125" s="254"/>
      <c r="AC125" s="18"/>
    </row>
    <row r="126" spans="16:30" ht="16" thickBot="1" x14ac:dyDescent="0.25">
      <c r="P126" s="252"/>
      <c r="Q126" s="490"/>
      <c r="R126" s="252" t="s">
        <v>432</v>
      </c>
      <c r="S126" s="89">
        <f>+AX75-AX80</f>
        <v>326564.44250000012</v>
      </c>
      <c r="T126" s="18"/>
      <c r="U126" s="483"/>
      <c r="V126" s="483"/>
      <c r="W126" s="483"/>
      <c r="X126" s="483"/>
      <c r="Y126" s="483"/>
      <c r="Z126" s="89"/>
      <c r="AA126" s="89"/>
      <c r="AB126" s="254"/>
      <c r="AC126" s="18"/>
    </row>
    <row r="127" spans="16:30" ht="16" thickBot="1" x14ac:dyDescent="0.25">
      <c r="P127" s="252"/>
      <c r="Q127" s="491"/>
      <c r="R127" s="498" t="s">
        <v>430</v>
      </c>
      <c r="S127" s="499">
        <f>SUM(S124:S126)</f>
        <v>934011.35250000004</v>
      </c>
      <c r="T127" s="508"/>
      <c r="U127" s="500">
        <f>SUM(U124:U126)</f>
        <v>-180000</v>
      </c>
      <c r="V127" s="500">
        <f>SUM(V124:V126)</f>
        <v>-91083.666666666672</v>
      </c>
      <c r="W127" s="500">
        <f>SUM(W124:W126)</f>
        <v>-104000</v>
      </c>
      <c r="X127" s="500">
        <f>SUM(X124:X126)</f>
        <v>-19500</v>
      </c>
      <c r="Y127" s="500">
        <f>SUM(Y124:Y126)</f>
        <v>-394583.66666666669</v>
      </c>
      <c r="Z127" s="583">
        <f>+Z124</f>
        <v>-120000</v>
      </c>
      <c r="AA127" s="499">
        <f>+P124+S127+Y127+Z127+AC123</f>
        <v>1494411.7124999997</v>
      </c>
      <c r="AB127" s="499">
        <v>75000</v>
      </c>
      <c r="AC127" s="503">
        <f>+AA127+AB127</f>
        <v>1569411.7124999997</v>
      </c>
      <c r="AD127" t="s">
        <v>549</v>
      </c>
    </row>
    <row r="128" spans="16:30" x14ac:dyDescent="0.2">
      <c r="P128" s="252"/>
      <c r="Q128" s="486" t="s">
        <v>407</v>
      </c>
      <c r="R128" s="487" t="s">
        <v>534</v>
      </c>
      <c r="S128" s="488">
        <f>+BC86</f>
        <v>181796.55</v>
      </c>
      <c r="T128" s="60"/>
      <c r="U128" s="489">
        <f>+U124</f>
        <v>-180000</v>
      </c>
      <c r="V128" s="489">
        <f>-Margins!I50/3</f>
        <v>-119689.16666666667</v>
      </c>
      <c r="W128" s="489">
        <f>-Margins!I51/3</f>
        <v>-104000</v>
      </c>
      <c r="X128" s="489">
        <f>-Margins!I52/3</f>
        <v>-19500</v>
      </c>
      <c r="Y128" s="489">
        <f>+X128+W128+V128+U128</f>
        <v>-423189.16666666669</v>
      </c>
      <c r="Z128" s="489">
        <f>+Z124</f>
        <v>-120000</v>
      </c>
      <c r="AA128" s="488"/>
      <c r="AB128" s="504"/>
      <c r="AC128" s="60"/>
    </row>
    <row r="129" spans="16:30" x14ac:dyDescent="0.2">
      <c r="P129" s="252"/>
      <c r="Q129" s="490"/>
      <c r="R129" s="252" t="s">
        <v>537</v>
      </c>
      <c r="S129" s="89">
        <f>+BE86</f>
        <v>370563.06</v>
      </c>
      <c r="T129" s="18"/>
      <c r="U129" s="483"/>
      <c r="V129" s="483"/>
      <c r="W129" s="483"/>
      <c r="X129" s="483"/>
      <c r="Y129" s="483"/>
      <c r="Z129" s="89"/>
      <c r="AA129" s="89"/>
      <c r="AB129" s="254"/>
      <c r="AC129" s="18"/>
    </row>
    <row r="130" spans="16:30" ht="16" thickBot="1" x14ac:dyDescent="0.25">
      <c r="P130" s="252"/>
      <c r="Q130" s="490"/>
      <c r="R130" s="252" t="s">
        <v>432</v>
      </c>
      <c r="S130" s="89">
        <f>+BC75-BC80</f>
        <v>276088.11500000011</v>
      </c>
      <c r="T130" s="18"/>
      <c r="U130" s="483"/>
      <c r="V130" s="483"/>
      <c r="W130" s="483"/>
      <c r="X130" s="483"/>
      <c r="Y130" s="483"/>
      <c r="Z130" s="89"/>
      <c r="AA130" s="89"/>
      <c r="AB130" s="254"/>
      <c r="AC130" s="18"/>
    </row>
    <row r="131" spans="16:30" ht="16" thickBot="1" x14ac:dyDescent="0.25">
      <c r="P131" s="252"/>
      <c r="Q131" s="491"/>
      <c r="R131" s="498" t="s">
        <v>430</v>
      </c>
      <c r="S131" s="499">
        <f>SUM(S128:S130)</f>
        <v>828447.72500000009</v>
      </c>
      <c r="T131" s="508"/>
      <c r="U131" s="500">
        <f>SUM(U128:U130)</f>
        <v>-180000</v>
      </c>
      <c r="V131" s="500">
        <f>SUM(V128:V130)</f>
        <v>-119689.16666666667</v>
      </c>
      <c r="W131" s="500">
        <f>SUM(W128:W130)</f>
        <v>-104000</v>
      </c>
      <c r="X131" s="500">
        <f>SUM(X128:X130)</f>
        <v>-19500</v>
      </c>
      <c r="Y131" s="500">
        <f>SUM(Y128:Y130)</f>
        <v>-423189.16666666669</v>
      </c>
      <c r="Z131" s="583">
        <f>+Z128</f>
        <v>-120000</v>
      </c>
      <c r="AA131" s="499">
        <f>+P128+S131+Y131+Z131+AC127</f>
        <v>1854670.270833333</v>
      </c>
      <c r="AB131" s="505">
        <v>50000</v>
      </c>
      <c r="AC131" s="503">
        <f>+AA131+AB131</f>
        <v>1904670.270833333</v>
      </c>
      <c r="AD131" t="s">
        <v>547</v>
      </c>
    </row>
    <row r="132" spans="16:30" x14ac:dyDescent="0.2">
      <c r="P132" s="252"/>
      <c r="Q132" s="486" t="s">
        <v>408</v>
      </c>
      <c r="R132" s="487" t="s">
        <v>534</v>
      </c>
      <c r="S132" s="488">
        <f>+BG86</f>
        <v>150815.55000000002</v>
      </c>
      <c r="T132" s="60"/>
      <c r="U132" s="489">
        <f>+U128</f>
        <v>-180000</v>
      </c>
      <c r="V132" s="489">
        <f>+V128</f>
        <v>-119689.16666666667</v>
      </c>
      <c r="W132" s="489">
        <f>+W128</f>
        <v>-104000</v>
      </c>
      <c r="X132" s="489">
        <f>+X128</f>
        <v>-19500</v>
      </c>
      <c r="Y132" s="489">
        <f>+X132+W132+V132+U132</f>
        <v>-423189.16666666669</v>
      </c>
      <c r="Z132" s="489">
        <f>+Z128</f>
        <v>-120000</v>
      </c>
      <c r="AA132" s="488"/>
      <c r="AB132" s="504"/>
      <c r="AC132" s="60"/>
    </row>
    <row r="133" spans="16:30" x14ac:dyDescent="0.2">
      <c r="P133" s="252"/>
      <c r="Q133" s="490"/>
      <c r="R133" s="252" t="s">
        <v>537</v>
      </c>
      <c r="S133" s="89">
        <f>+BI86</f>
        <v>696293.16</v>
      </c>
      <c r="T133" s="18"/>
      <c r="U133" s="483"/>
      <c r="V133" s="483"/>
      <c r="W133" s="483"/>
      <c r="X133" s="483"/>
      <c r="Y133" s="483"/>
      <c r="Z133" s="89"/>
      <c r="AA133" s="89"/>
      <c r="AB133" s="254"/>
      <c r="AC133" s="18"/>
    </row>
    <row r="134" spans="16:30" ht="16" thickBot="1" x14ac:dyDescent="0.25">
      <c r="P134" s="252"/>
      <c r="Q134" s="490"/>
      <c r="R134" s="252" t="s">
        <v>432</v>
      </c>
      <c r="S134" s="89">
        <f>+BG75-BG80</f>
        <v>136006.38</v>
      </c>
      <c r="T134" s="18"/>
      <c r="U134" s="483"/>
      <c r="V134" s="483"/>
      <c r="W134" s="483"/>
      <c r="X134" s="483"/>
      <c r="Y134" s="483"/>
      <c r="Z134" s="89"/>
      <c r="AA134" s="89"/>
      <c r="AB134" s="254"/>
      <c r="AC134" s="18"/>
    </row>
    <row r="135" spans="16:30" ht="16" thickBot="1" x14ac:dyDescent="0.25">
      <c r="P135" s="252"/>
      <c r="Q135" s="491"/>
      <c r="R135" s="492" t="s">
        <v>430</v>
      </c>
      <c r="S135" s="493">
        <f>SUM(S132:S134)</f>
        <v>983115.09000000008</v>
      </c>
      <c r="T135" s="509"/>
      <c r="U135" s="494">
        <f>SUM(U132:U134)</f>
        <v>-180000</v>
      </c>
      <c r="V135" s="494">
        <f>SUM(V132:V134)</f>
        <v>-119689.16666666667</v>
      </c>
      <c r="W135" s="494">
        <f>SUM(W132:W134)</f>
        <v>-104000</v>
      </c>
      <c r="X135" s="494">
        <f>SUM(X132:X134)</f>
        <v>-19500</v>
      </c>
      <c r="Y135" s="494">
        <f>SUM(Y132:Y134)</f>
        <v>-423189.16666666669</v>
      </c>
      <c r="Z135" s="583">
        <f>+Z132</f>
        <v>-120000</v>
      </c>
      <c r="AA135" s="499">
        <f>+P132+S135+Y135+Z135+AC131</f>
        <v>2344596.1941666664</v>
      </c>
      <c r="AB135" s="493">
        <v>-100000</v>
      </c>
      <c r="AC135" s="501">
        <f>+AA135+AB135</f>
        <v>2244596.1941666664</v>
      </c>
      <c r="AD135" t="s">
        <v>550</v>
      </c>
    </row>
    <row r="136" spans="16:30" x14ac:dyDescent="0.2">
      <c r="P136" s="252"/>
      <c r="Q136" s="486" t="s">
        <v>409</v>
      </c>
      <c r="R136" s="487" t="s">
        <v>534</v>
      </c>
      <c r="S136" s="488">
        <f>+BK86</f>
        <v>240030.19</v>
      </c>
      <c r="T136" s="60"/>
      <c r="U136" s="489">
        <f>+U132</f>
        <v>-180000</v>
      </c>
      <c r="V136" s="489">
        <f>+V132</f>
        <v>-119689.16666666667</v>
      </c>
      <c r="W136" s="489">
        <f>+W132</f>
        <v>-104000</v>
      </c>
      <c r="X136" s="489">
        <f>+X132</f>
        <v>-19500</v>
      </c>
      <c r="Y136" s="489">
        <f>+X136+W136+V136+U136</f>
        <v>-423189.16666666669</v>
      </c>
      <c r="Z136" s="489">
        <f>+Z132</f>
        <v>-120000</v>
      </c>
      <c r="AA136" s="488"/>
      <c r="AB136" s="504"/>
      <c r="AC136" s="60"/>
    </row>
    <row r="137" spans="16:30" x14ac:dyDescent="0.2">
      <c r="P137" s="252"/>
      <c r="Q137" s="490"/>
      <c r="R137" s="252" t="s">
        <v>537</v>
      </c>
      <c r="S137" s="89">
        <f>+BN86</f>
        <v>626945.76</v>
      </c>
      <c r="T137" s="18"/>
      <c r="U137" s="483"/>
      <c r="V137" s="483"/>
      <c r="W137" s="483"/>
      <c r="X137" s="483"/>
      <c r="Y137" s="483"/>
      <c r="Z137" s="89"/>
      <c r="AA137" s="89"/>
      <c r="AB137" s="254"/>
      <c r="AC137" s="18"/>
    </row>
    <row r="138" spans="16:30" ht="16" thickBot="1" x14ac:dyDescent="0.25">
      <c r="P138" s="252"/>
      <c r="Q138" s="490"/>
      <c r="R138" s="252" t="s">
        <v>432</v>
      </c>
      <c r="S138" s="89">
        <f>+BK75-BK80</f>
        <v>236960.625</v>
      </c>
      <c r="T138" s="18"/>
      <c r="U138" s="483"/>
      <c r="V138" s="483"/>
      <c r="W138" s="483"/>
      <c r="X138" s="483"/>
      <c r="Y138" s="483"/>
      <c r="Z138" s="89"/>
      <c r="AA138" s="89"/>
      <c r="AB138" s="254"/>
      <c r="AC138" s="18"/>
    </row>
    <row r="139" spans="16:30" ht="16" thickBot="1" x14ac:dyDescent="0.25">
      <c r="P139" s="252"/>
      <c r="Q139" s="491"/>
      <c r="R139" s="498" t="s">
        <v>430</v>
      </c>
      <c r="S139" s="499">
        <f>SUM(S136:S138)</f>
        <v>1103936.575</v>
      </c>
      <c r="T139" s="508"/>
      <c r="U139" s="500">
        <f>SUM(U136:U138)</f>
        <v>-180000</v>
      </c>
      <c r="V139" s="500">
        <f>SUM(V136:V138)</f>
        <v>-119689.16666666667</v>
      </c>
      <c r="W139" s="500">
        <f>SUM(W136:W138)</f>
        <v>-104000</v>
      </c>
      <c r="X139" s="500">
        <f>SUM(X136:X138)</f>
        <v>-19500</v>
      </c>
      <c r="Y139" s="500">
        <f>SUM(Y136:Y138)</f>
        <v>-423189.16666666669</v>
      </c>
      <c r="Z139" s="583">
        <f>+Z136</f>
        <v>-120000</v>
      </c>
      <c r="AA139" s="499">
        <f>+AC135+S139+Y139</f>
        <v>2925343.6024999996</v>
      </c>
      <c r="AB139" s="499">
        <v>50000</v>
      </c>
      <c r="AC139" s="503">
        <f>+AA139+AB139</f>
        <v>2975343.6024999996</v>
      </c>
      <c r="AD139" t="s">
        <v>549</v>
      </c>
    </row>
    <row r="140" spans="16:30" ht="16" thickBot="1" x14ac:dyDescent="0.25">
      <c r="P140" s="252"/>
      <c r="Q140" s="490"/>
      <c r="R140" s="252"/>
      <c r="T140" s="18"/>
      <c r="U140" s="483"/>
      <c r="V140" s="483"/>
      <c r="W140" s="483"/>
      <c r="X140" s="483"/>
      <c r="Y140" s="483"/>
      <c r="Z140" s="89"/>
      <c r="AA140" s="89"/>
      <c r="AB140" s="89"/>
    </row>
    <row r="141" spans="16:30" x14ac:dyDescent="0.2">
      <c r="P141" s="252"/>
      <c r="Q141" s="490"/>
      <c r="R141" s="252" t="str">
        <f>+R136</f>
        <v>TL 1</v>
      </c>
      <c r="S141" s="89">
        <f>+S136+S132+S128+S124+S120+S116+S112+S108+S104+S100+S96+S92</f>
        <v>2585828.8800000004</v>
      </c>
      <c r="T141" s="1106">
        <f>+(S141+S142)/S144</f>
        <v>0.7839823710584134</v>
      </c>
      <c r="U141" s="483">
        <f t="shared" ref="U141:Z141" si="155">+U136+U132+U128+U124+U120+U116+U112+U108+U104+U100+U96+U92</f>
        <v>-2360000</v>
      </c>
      <c r="V141" s="483">
        <f t="shared" si="155"/>
        <v>-1032972.5000000001</v>
      </c>
      <c r="W141" s="483">
        <f t="shared" si="155"/>
        <v>-1104000</v>
      </c>
      <c r="X141" s="483">
        <f t="shared" si="155"/>
        <v>-207000</v>
      </c>
      <c r="Y141" s="483">
        <f t="shared" si="155"/>
        <v>-4703972.5</v>
      </c>
      <c r="Z141" s="483">
        <f t="shared" si="155"/>
        <v>-1200000</v>
      </c>
      <c r="AA141" s="89"/>
      <c r="AB141" s="89"/>
    </row>
    <row r="142" spans="16:30" ht="16" thickBot="1" x14ac:dyDescent="0.25">
      <c r="P142" s="252"/>
      <c r="Q142" s="490"/>
      <c r="R142" s="252" t="str">
        <f>+R137</f>
        <v>TL2</v>
      </c>
      <c r="S142" s="89">
        <f>+S137+S133+S129+S125+S121+S117+S113+S109+S105+S101+S97+S93</f>
        <v>3698163.08</v>
      </c>
      <c r="T142" s="1032"/>
      <c r="U142" s="483"/>
      <c r="V142" s="483"/>
      <c r="W142" s="483"/>
      <c r="X142" s="483"/>
      <c r="Y142" s="483"/>
      <c r="Z142" s="483"/>
      <c r="AA142" s="89"/>
      <c r="AB142" s="89"/>
    </row>
    <row r="143" spans="16:30" ht="16" thickBot="1" x14ac:dyDescent="0.25">
      <c r="P143" s="252"/>
      <c r="Q143" s="490"/>
      <c r="R143" s="252" t="str">
        <f>+R138</f>
        <v>Direct</v>
      </c>
      <c r="S143" s="89">
        <f>+S138+S134+S130+S126+S122+S118+S114+S110+S106+S102+S98+S94</f>
        <v>1731484.1425000003</v>
      </c>
      <c r="T143" s="506">
        <f>+S143/S144</f>
        <v>0.21601762894158663</v>
      </c>
      <c r="U143" s="483"/>
      <c r="V143" s="483"/>
      <c r="W143" s="483"/>
      <c r="X143" s="483"/>
      <c r="Y143" s="483"/>
      <c r="Z143" s="483"/>
      <c r="AA143" s="89"/>
      <c r="AB143" s="89"/>
    </row>
    <row r="144" spans="16:30" ht="16" thickBot="1" x14ac:dyDescent="0.25">
      <c r="P144" s="252"/>
      <c r="Q144" s="491"/>
      <c r="R144" s="492" t="s">
        <v>430</v>
      </c>
      <c r="S144" s="493">
        <f>SUM(S141:S143)</f>
        <v>8015476.102500001</v>
      </c>
      <c r="T144" s="510"/>
      <c r="U144" s="485">
        <f t="shared" ref="U144:Z144" si="156">SUM(U141:U143)</f>
        <v>-2360000</v>
      </c>
      <c r="V144" s="485">
        <f t="shared" si="156"/>
        <v>-1032972.5000000001</v>
      </c>
      <c r="W144" s="485">
        <f t="shared" si="156"/>
        <v>-1104000</v>
      </c>
      <c r="X144" s="485">
        <f t="shared" si="156"/>
        <v>-207000</v>
      </c>
      <c r="Y144" s="485">
        <f t="shared" si="156"/>
        <v>-4703972.5</v>
      </c>
      <c r="Z144" s="485">
        <f t="shared" si="156"/>
        <v>-1200000</v>
      </c>
      <c r="AA144" s="484">
        <f>+AC139</f>
        <v>2975343.6024999996</v>
      </c>
      <c r="AB144" s="484">
        <f>SUM(AB95:AB143)</f>
        <v>-24160</v>
      </c>
    </row>
  </sheetData>
  <mergeCells count="158">
    <mergeCell ref="BN86:BO86"/>
    <mergeCell ref="AT86:AU86"/>
    <mergeCell ref="AV86:AW86"/>
    <mergeCell ref="AX86:AZ86"/>
    <mergeCell ref="BA86:BB86"/>
    <mergeCell ref="BC86:BD86"/>
    <mergeCell ref="BE86:BF86"/>
    <mergeCell ref="BG86:BH86"/>
    <mergeCell ref="BI86:BJ86"/>
    <mergeCell ref="BK86:BM86"/>
    <mergeCell ref="AG86:AH86"/>
    <mergeCell ref="AI86:AJ86"/>
    <mergeCell ref="AK86:AL86"/>
    <mergeCell ref="AM86:AO86"/>
    <mergeCell ref="AP86:AQ86"/>
    <mergeCell ref="AR86:AS86"/>
    <mergeCell ref="T141:T142"/>
    <mergeCell ref="K86:L86"/>
    <mergeCell ref="M86:N86"/>
    <mergeCell ref="P86:Q86"/>
    <mergeCell ref="R86:S86"/>
    <mergeCell ref="T86:U86"/>
    <mergeCell ref="V86:W86"/>
    <mergeCell ref="X86:Y86"/>
    <mergeCell ref="Z86:AA86"/>
    <mergeCell ref="AB86:AC86"/>
    <mergeCell ref="AD86:AF86"/>
    <mergeCell ref="BC75:BF75"/>
    <mergeCell ref="K77:O77"/>
    <mergeCell ref="AT80:AW80"/>
    <mergeCell ref="BG80:BJ80"/>
    <mergeCell ref="BK80:BO80"/>
    <mergeCell ref="K81:O81"/>
    <mergeCell ref="AP81:BB81"/>
    <mergeCell ref="BC81:BO81"/>
    <mergeCell ref="K80:O80"/>
    <mergeCell ref="P80:S80"/>
    <mergeCell ref="T80:W80"/>
    <mergeCell ref="X80:AA80"/>
    <mergeCell ref="AB80:AF80"/>
    <mergeCell ref="AG80:AJ80"/>
    <mergeCell ref="P81:AA81"/>
    <mergeCell ref="AB81:AO81"/>
    <mergeCell ref="AX80:BB80"/>
    <mergeCell ref="BC80:BF80"/>
    <mergeCell ref="AK80:AO80"/>
    <mergeCell ref="AP80:AS80"/>
    <mergeCell ref="B60:H60"/>
    <mergeCell ref="B61:H61"/>
    <mergeCell ref="B62:H62"/>
    <mergeCell ref="AP77:BB77"/>
    <mergeCell ref="BC77:BO77"/>
    <mergeCell ref="K76:O76"/>
    <mergeCell ref="P75:S75"/>
    <mergeCell ref="T75:W75"/>
    <mergeCell ref="X75:AA75"/>
    <mergeCell ref="AB75:AF75"/>
    <mergeCell ref="P76:AA76"/>
    <mergeCell ref="K75:O75"/>
    <mergeCell ref="AG75:AJ75"/>
    <mergeCell ref="AT75:AW75"/>
    <mergeCell ref="P77:AA77"/>
    <mergeCell ref="AB77:AO77"/>
    <mergeCell ref="AK75:AO75"/>
    <mergeCell ref="AP75:AS75"/>
    <mergeCell ref="AB76:AO76"/>
    <mergeCell ref="AP76:BB76"/>
    <mergeCell ref="BC76:BO76"/>
    <mergeCell ref="BG75:BJ75"/>
    <mergeCell ref="BK75:BO75"/>
    <mergeCell ref="AX75:BB75"/>
    <mergeCell ref="BC51:BO51"/>
    <mergeCell ref="B37:H37"/>
    <mergeCell ref="B25:H25"/>
    <mergeCell ref="B12:H12"/>
    <mergeCell ref="B13:H13"/>
    <mergeCell ref="B14:H14"/>
    <mergeCell ref="B15:H15"/>
    <mergeCell ref="B16:H16"/>
    <mergeCell ref="B17:H17"/>
    <mergeCell ref="K26:O26"/>
    <mergeCell ref="K51:O51"/>
    <mergeCell ref="AB51:AO51"/>
    <mergeCell ref="P51:AA51"/>
    <mergeCell ref="BC26:BO26"/>
    <mergeCell ref="B43:H43"/>
    <mergeCell ref="B44:H44"/>
    <mergeCell ref="B45:H45"/>
    <mergeCell ref="B46:H46"/>
    <mergeCell ref="B47:H47"/>
    <mergeCell ref="B29:H29"/>
    <mergeCell ref="B30:H30"/>
    <mergeCell ref="B31:H31"/>
    <mergeCell ref="B32:H32"/>
    <mergeCell ref="B33:H33"/>
    <mergeCell ref="BC1:BO1"/>
    <mergeCell ref="B23:H23"/>
    <mergeCell ref="B24:H24"/>
    <mergeCell ref="B19:H19"/>
    <mergeCell ref="B20:H20"/>
    <mergeCell ref="B21:H21"/>
    <mergeCell ref="B22:H22"/>
    <mergeCell ref="B18:H18"/>
    <mergeCell ref="B8:H8"/>
    <mergeCell ref="B9:H9"/>
    <mergeCell ref="B10:H10"/>
    <mergeCell ref="B11:H11"/>
    <mergeCell ref="B2:G2"/>
    <mergeCell ref="K1:O1"/>
    <mergeCell ref="B1:J1"/>
    <mergeCell ref="P1:AA1"/>
    <mergeCell ref="AB1:AO1"/>
    <mergeCell ref="H2:I2"/>
    <mergeCell ref="B3:I3"/>
    <mergeCell ref="B4:H4"/>
    <mergeCell ref="B5:H5"/>
    <mergeCell ref="B6:H6"/>
    <mergeCell ref="B7:H7"/>
    <mergeCell ref="AP26:BB26"/>
    <mergeCell ref="AP51:BB51"/>
    <mergeCell ref="AP1:BB1"/>
    <mergeCell ref="B49:H49"/>
    <mergeCell ref="B38:H38"/>
    <mergeCell ref="B39:H39"/>
    <mergeCell ref="B40:H40"/>
    <mergeCell ref="B41:H41"/>
    <mergeCell ref="B34:H34"/>
    <mergeCell ref="B35:H35"/>
    <mergeCell ref="B36:H36"/>
    <mergeCell ref="B42:H42"/>
    <mergeCell ref="B27:J27"/>
    <mergeCell ref="B28:J28"/>
    <mergeCell ref="P26:AA26"/>
    <mergeCell ref="AB26:AO26"/>
    <mergeCell ref="D89:G89"/>
    <mergeCell ref="B51:J51"/>
    <mergeCell ref="B52:I52"/>
    <mergeCell ref="B48:H48"/>
    <mergeCell ref="B50:H50"/>
    <mergeCell ref="B73:H73"/>
    <mergeCell ref="B74:H74"/>
    <mergeCell ref="B68:H68"/>
    <mergeCell ref="B69:H69"/>
    <mergeCell ref="B70:H70"/>
    <mergeCell ref="B71:H71"/>
    <mergeCell ref="B72:H72"/>
    <mergeCell ref="B53:H53"/>
    <mergeCell ref="B54:H54"/>
    <mergeCell ref="B55:H55"/>
    <mergeCell ref="B56:H56"/>
    <mergeCell ref="B57:H57"/>
    <mergeCell ref="B63:H63"/>
    <mergeCell ref="B64:H64"/>
    <mergeCell ref="B65:H65"/>
    <mergeCell ref="B66:H66"/>
    <mergeCell ref="B67:H67"/>
    <mergeCell ref="B58:H58"/>
    <mergeCell ref="B59:H5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858D-F657-D54A-81ED-FB5E196917B2}">
  <sheetPr codeName="Sheet1">
    <pageSetUpPr fitToPage="1"/>
  </sheetPr>
  <dimension ref="A1:FB231"/>
  <sheetViews>
    <sheetView workbookViewId="0"/>
  </sheetViews>
  <sheetFormatPr baseColWidth="10" defaultColWidth="8.83203125" defaultRowHeight="15" x14ac:dyDescent="0.2"/>
  <cols>
    <col min="1" max="1" width="16.1640625" style="79" customWidth="1"/>
    <col min="2" max="2" width="41.33203125" style="15" customWidth="1"/>
    <col min="3" max="3" width="11.5" style="15" customWidth="1"/>
    <col min="4" max="4" width="23.5" style="15" customWidth="1"/>
    <col min="5" max="5" width="14.6640625" style="15" customWidth="1"/>
    <col min="6" max="6" width="21" style="15" customWidth="1"/>
    <col min="7" max="7" width="14.33203125" style="15" customWidth="1"/>
    <col min="8" max="8" width="15" style="15" customWidth="1"/>
    <col min="9" max="9" width="9.83203125" style="15" bestFit="1" customWidth="1"/>
    <col min="10" max="25" width="7.5" style="12" hidden="1" customWidth="1"/>
    <col min="26" max="30" width="7.5" style="15" hidden="1" customWidth="1"/>
    <col min="31" max="31" width="13.5" style="15" hidden="1" customWidth="1"/>
    <col min="32" max="32" width="3.6640625" style="15" hidden="1" customWidth="1"/>
    <col min="33" max="33" width="5" style="15" hidden="1" customWidth="1"/>
    <col min="34" max="34" width="12" style="15" hidden="1" customWidth="1"/>
    <col min="35" max="41" width="9.1640625" style="15" hidden="1" customWidth="1"/>
    <col min="42" max="43" width="8.83203125" hidden="1" customWidth="1"/>
    <col min="44" max="44" width="1.33203125" hidden="1" customWidth="1"/>
    <col min="45" max="45" width="6.5" hidden="1" customWidth="1"/>
    <col min="46" max="46" width="6.33203125" hidden="1" customWidth="1"/>
    <col min="47" max="47" width="7.5" hidden="1" customWidth="1"/>
    <col min="48" max="48" width="7.1640625" hidden="1" customWidth="1"/>
    <col min="49" max="49" width="5.6640625" hidden="1" customWidth="1"/>
    <col min="50" max="50" width="5.33203125" hidden="1" customWidth="1"/>
    <col min="51" max="51" width="8" hidden="1" customWidth="1"/>
    <col min="52" max="52" width="12.83203125" hidden="1" customWidth="1"/>
    <col min="53" max="53" width="14" hidden="1" customWidth="1"/>
    <col min="54" max="54" width="10.33203125" hidden="1" customWidth="1"/>
    <col min="55" max="55" width="8" hidden="1" customWidth="1"/>
    <col min="56" max="56" width="10" hidden="1" customWidth="1"/>
    <col min="57" max="57" width="6.6640625" hidden="1" customWidth="1"/>
    <col min="58" max="58" width="10.6640625" hidden="1" customWidth="1"/>
    <col min="59" max="59" width="6.6640625" hidden="1" customWidth="1"/>
    <col min="60" max="60" width="8.6640625" hidden="1" customWidth="1"/>
    <col min="61" max="61" width="11.33203125" hidden="1" customWidth="1"/>
    <col min="62" max="62" width="8.33203125" hidden="1" customWidth="1"/>
    <col min="63" max="63" width="10.5" hidden="1" customWidth="1"/>
    <col min="64" max="64" width="8.6640625" hidden="1" customWidth="1"/>
    <col min="65" max="70" width="8.83203125" hidden="1" customWidth="1"/>
    <col min="71" max="71" width="8.33203125" hidden="1" customWidth="1"/>
    <col min="72" max="74" width="8.83203125" hidden="1" customWidth="1"/>
    <col min="75" max="75" width="9.5" hidden="1" customWidth="1"/>
    <col min="76" max="76" width="8.83203125" hidden="1" customWidth="1"/>
    <col min="77" max="78" width="6.33203125" hidden="1" customWidth="1"/>
    <col min="79" max="79" width="10" hidden="1" customWidth="1"/>
    <col min="80" max="80" width="14.6640625" hidden="1" customWidth="1"/>
    <col min="81" max="82" width="10" hidden="1" customWidth="1"/>
    <col min="83" max="83" width="9.6640625" hidden="1" customWidth="1"/>
    <col min="84" max="90" width="10" hidden="1" customWidth="1"/>
    <col min="91" max="92" width="10.33203125" hidden="1" customWidth="1"/>
    <col min="93" max="93" width="9.1640625" customWidth="1"/>
    <col min="94" max="96" width="10.33203125" customWidth="1"/>
    <col min="97" max="97" width="9" customWidth="1"/>
    <col min="98" max="99" width="10" bestFit="1" customWidth="1"/>
    <col min="100" max="100" width="10.5" customWidth="1"/>
    <col min="101" max="102" width="9.1640625" customWidth="1"/>
    <col min="103" max="103" width="10.5" style="137" customWidth="1"/>
    <col min="104" max="104" width="10.33203125" customWidth="1"/>
    <col min="105" max="105" width="10.6640625" customWidth="1"/>
    <col min="106" max="106" width="7.5" customWidth="1"/>
    <col min="107" max="108" width="9.5" customWidth="1"/>
    <col min="109" max="109" width="10" bestFit="1" customWidth="1"/>
    <col min="110" max="110" width="9.5" customWidth="1"/>
    <col min="111" max="111" width="6" bestFit="1" customWidth="1"/>
    <col min="112" max="113" width="8.33203125" customWidth="1"/>
    <col min="114" max="114" width="8.33203125" style="136" customWidth="1"/>
    <col min="115" max="116" width="6.5" bestFit="1" customWidth="1"/>
    <col min="117" max="119" width="8.6640625" customWidth="1"/>
    <col min="120" max="123" width="9" customWidth="1"/>
    <col min="124" max="128" width="5.5" bestFit="1" customWidth="1"/>
    <col min="129" max="136" width="6.33203125" bestFit="1" customWidth="1"/>
    <col min="137" max="141" width="6.1640625" bestFit="1" customWidth="1"/>
    <col min="142" max="149" width="6.5" bestFit="1" customWidth="1"/>
    <col min="150" max="154" width="6" bestFit="1" customWidth="1"/>
    <col min="155" max="158" width="6.33203125" bestFit="1" customWidth="1"/>
  </cols>
  <sheetData>
    <row r="1" spans="1:158" ht="16" thickBot="1" x14ac:dyDescent="0.25">
      <c r="A1" s="332" t="s">
        <v>0</v>
      </c>
      <c r="B1" s="333" t="s">
        <v>1</v>
      </c>
      <c r="C1" s="333"/>
      <c r="D1" s="333"/>
      <c r="E1" s="333"/>
      <c r="F1" s="1114" t="s">
        <v>2</v>
      </c>
      <c r="G1" s="1115"/>
      <c r="H1" s="1116" t="s">
        <v>3</v>
      </c>
      <c r="I1" s="1117"/>
      <c r="J1" s="2">
        <v>45408</v>
      </c>
      <c r="K1" s="3">
        <f>+J1+7</f>
        <v>45415</v>
      </c>
      <c r="L1" s="4">
        <f t="shared" ref="L1:BW1" si="0">+K1+7</f>
        <v>45422</v>
      </c>
      <c r="M1" s="4">
        <f t="shared" si="0"/>
        <v>45429</v>
      </c>
      <c r="N1" s="4">
        <f t="shared" si="0"/>
        <v>45436</v>
      </c>
      <c r="O1" s="2">
        <f t="shared" si="0"/>
        <v>45443</v>
      </c>
      <c r="P1" s="3">
        <f t="shared" si="0"/>
        <v>45450</v>
      </c>
      <c r="Q1" s="4">
        <f t="shared" si="0"/>
        <v>45457</v>
      </c>
      <c r="R1" s="4">
        <f>+Q1+7</f>
        <v>45464</v>
      </c>
      <c r="S1" s="4">
        <f t="shared" si="0"/>
        <v>45471</v>
      </c>
      <c r="T1" s="3">
        <f t="shared" si="0"/>
        <v>45478</v>
      </c>
      <c r="U1" s="3">
        <f t="shared" si="0"/>
        <v>45485</v>
      </c>
      <c r="V1" s="5">
        <f t="shared" si="0"/>
        <v>45492</v>
      </c>
      <c r="W1" s="6">
        <f t="shared" si="0"/>
        <v>45499</v>
      </c>
      <c r="X1" s="6">
        <f t="shared" si="0"/>
        <v>45506</v>
      </c>
      <c r="Y1" s="6">
        <f t="shared" si="0"/>
        <v>45513</v>
      </c>
      <c r="Z1" s="6">
        <f t="shared" si="0"/>
        <v>45520</v>
      </c>
      <c r="AA1" s="6">
        <f t="shared" si="0"/>
        <v>45527</v>
      </c>
      <c r="AB1" s="6">
        <f t="shared" si="0"/>
        <v>45534</v>
      </c>
      <c r="AC1" s="6">
        <f t="shared" si="0"/>
        <v>45541</v>
      </c>
      <c r="AD1" s="6">
        <f>+AC1+7</f>
        <v>45548</v>
      </c>
      <c r="AE1" s="6">
        <f t="shared" si="0"/>
        <v>45555</v>
      </c>
      <c r="AF1" s="6">
        <f t="shared" si="0"/>
        <v>45562</v>
      </c>
      <c r="AG1" s="6">
        <f t="shared" si="0"/>
        <v>45569</v>
      </c>
      <c r="AH1" s="6">
        <f t="shared" si="0"/>
        <v>45576</v>
      </c>
      <c r="AI1" s="6">
        <f t="shared" si="0"/>
        <v>45583</v>
      </c>
      <c r="AJ1" s="6">
        <f t="shared" si="0"/>
        <v>45590</v>
      </c>
      <c r="AK1" s="6">
        <f t="shared" si="0"/>
        <v>45597</v>
      </c>
      <c r="AL1" s="6">
        <f t="shared" si="0"/>
        <v>45604</v>
      </c>
      <c r="AM1" s="6">
        <f t="shared" si="0"/>
        <v>45611</v>
      </c>
      <c r="AN1" s="6">
        <f t="shared" si="0"/>
        <v>45618</v>
      </c>
      <c r="AO1" s="6">
        <f t="shared" si="0"/>
        <v>45625</v>
      </c>
      <c r="AP1" s="6">
        <f t="shared" si="0"/>
        <v>45632</v>
      </c>
      <c r="AQ1" s="6">
        <f t="shared" si="0"/>
        <v>45639</v>
      </c>
      <c r="AR1" s="6">
        <f t="shared" si="0"/>
        <v>45646</v>
      </c>
      <c r="AS1" s="6">
        <f t="shared" si="0"/>
        <v>45653</v>
      </c>
      <c r="AT1" s="6">
        <f t="shared" si="0"/>
        <v>45660</v>
      </c>
      <c r="AU1" s="6">
        <f t="shared" si="0"/>
        <v>45667</v>
      </c>
      <c r="AV1" s="6">
        <f t="shared" si="0"/>
        <v>45674</v>
      </c>
      <c r="AW1" s="6">
        <f t="shared" si="0"/>
        <v>45681</v>
      </c>
      <c r="AX1" s="7">
        <f t="shared" si="0"/>
        <v>45688</v>
      </c>
      <c r="AY1" s="7">
        <f t="shared" si="0"/>
        <v>45695</v>
      </c>
      <c r="AZ1" s="6">
        <f t="shared" si="0"/>
        <v>45702</v>
      </c>
      <c r="BA1" s="6">
        <f t="shared" si="0"/>
        <v>45709</v>
      </c>
      <c r="BB1" s="6">
        <f t="shared" si="0"/>
        <v>45716</v>
      </c>
      <c r="BC1" s="6">
        <f t="shared" si="0"/>
        <v>45723</v>
      </c>
      <c r="BD1" s="6">
        <f t="shared" si="0"/>
        <v>45730</v>
      </c>
      <c r="BE1" s="6">
        <f t="shared" si="0"/>
        <v>45737</v>
      </c>
      <c r="BF1" s="6">
        <f t="shared" si="0"/>
        <v>45744</v>
      </c>
      <c r="BG1" s="6">
        <f t="shared" si="0"/>
        <v>45751</v>
      </c>
      <c r="BH1" s="6">
        <f t="shared" si="0"/>
        <v>45758</v>
      </c>
      <c r="BI1" s="6">
        <f t="shared" si="0"/>
        <v>45765</v>
      </c>
      <c r="BJ1" s="6">
        <f t="shared" si="0"/>
        <v>45772</v>
      </c>
      <c r="BK1" s="6">
        <f t="shared" si="0"/>
        <v>45779</v>
      </c>
      <c r="BL1" s="6">
        <f t="shared" si="0"/>
        <v>45786</v>
      </c>
      <c r="BM1" s="6">
        <f t="shared" si="0"/>
        <v>45793</v>
      </c>
      <c r="BN1" s="8">
        <f t="shared" si="0"/>
        <v>45800</v>
      </c>
      <c r="BO1" s="6">
        <f t="shared" si="0"/>
        <v>45807</v>
      </c>
      <c r="BP1" s="8">
        <f t="shared" si="0"/>
        <v>45814</v>
      </c>
      <c r="BQ1" s="6">
        <f t="shared" si="0"/>
        <v>45821</v>
      </c>
      <c r="BR1" s="6">
        <f t="shared" si="0"/>
        <v>45828</v>
      </c>
      <c r="BS1" s="6">
        <f t="shared" si="0"/>
        <v>45835</v>
      </c>
      <c r="BT1" s="6">
        <f t="shared" si="0"/>
        <v>45842</v>
      </c>
      <c r="BU1" s="6">
        <f t="shared" si="0"/>
        <v>45849</v>
      </c>
      <c r="BV1" s="6">
        <f t="shared" si="0"/>
        <v>45856</v>
      </c>
      <c r="BW1" s="6">
        <f t="shared" si="0"/>
        <v>45863</v>
      </c>
      <c r="BX1" s="6">
        <f t="shared" ref="BX1:EI1" si="1">+BW1+7</f>
        <v>45870</v>
      </c>
      <c r="BY1" s="3">
        <f t="shared" si="1"/>
        <v>45877</v>
      </c>
      <c r="BZ1" s="4">
        <f t="shared" si="1"/>
        <v>45884</v>
      </c>
      <c r="CA1" s="4">
        <f t="shared" si="1"/>
        <v>45891</v>
      </c>
      <c r="CB1" s="4">
        <f t="shared" si="1"/>
        <v>45898</v>
      </c>
      <c r="CC1" s="3">
        <f t="shared" si="1"/>
        <v>45905</v>
      </c>
      <c r="CD1" s="4">
        <f t="shared" si="1"/>
        <v>45912</v>
      </c>
      <c r="CE1" s="4">
        <f t="shared" si="1"/>
        <v>45919</v>
      </c>
      <c r="CF1" s="2">
        <f t="shared" si="1"/>
        <v>45926</v>
      </c>
      <c r="CG1" s="2">
        <f t="shared" si="1"/>
        <v>45933</v>
      </c>
      <c r="CH1" s="2">
        <f t="shared" si="1"/>
        <v>45940</v>
      </c>
      <c r="CI1" s="2">
        <f t="shared" si="1"/>
        <v>45947</v>
      </c>
      <c r="CJ1" s="2">
        <f t="shared" si="1"/>
        <v>45954</v>
      </c>
      <c r="CK1" s="2">
        <f t="shared" si="1"/>
        <v>45961</v>
      </c>
      <c r="CL1" s="9">
        <f t="shared" si="1"/>
        <v>45968</v>
      </c>
      <c r="CM1" s="2">
        <f t="shared" si="1"/>
        <v>45975</v>
      </c>
      <c r="CN1" s="4">
        <f t="shared" si="1"/>
        <v>45982</v>
      </c>
      <c r="CO1" s="322">
        <f t="shared" si="1"/>
        <v>45989</v>
      </c>
      <c r="CP1" s="422">
        <f t="shared" si="1"/>
        <v>45996</v>
      </c>
      <c r="CQ1" s="4">
        <f t="shared" si="1"/>
        <v>46003</v>
      </c>
      <c r="CR1" s="4">
        <f t="shared" si="1"/>
        <v>46010</v>
      </c>
      <c r="CS1" s="139">
        <f t="shared" si="1"/>
        <v>46017</v>
      </c>
      <c r="CT1" s="177">
        <f t="shared" si="1"/>
        <v>46024</v>
      </c>
      <c r="CU1" s="4">
        <f t="shared" si="1"/>
        <v>46031</v>
      </c>
      <c r="CV1" s="4">
        <f t="shared" si="1"/>
        <v>46038</v>
      </c>
      <c r="CW1" s="4">
        <f t="shared" si="1"/>
        <v>46045</v>
      </c>
      <c r="CX1" s="2">
        <f t="shared" si="1"/>
        <v>46052</v>
      </c>
      <c r="CY1" s="9">
        <f t="shared" si="1"/>
        <v>46059</v>
      </c>
      <c r="CZ1" s="2">
        <f t="shared" si="1"/>
        <v>46066</v>
      </c>
      <c r="DA1" s="2">
        <f t="shared" si="1"/>
        <v>46073</v>
      </c>
      <c r="DB1" s="2">
        <f t="shared" si="1"/>
        <v>46080</v>
      </c>
      <c r="DC1" s="9">
        <f t="shared" si="1"/>
        <v>46087</v>
      </c>
      <c r="DD1" s="2">
        <f t="shared" si="1"/>
        <v>46094</v>
      </c>
      <c r="DE1" s="2">
        <f t="shared" si="1"/>
        <v>46101</v>
      </c>
      <c r="DF1" s="2">
        <f t="shared" si="1"/>
        <v>46108</v>
      </c>
      <c r="DG1" s="9">
        <f t="shared" si="1"/>
        <v>46115</v>
      </c>
      <c r="DH1" s="2">
        <f t="shared" si="1"/>
        <v>46122</v>
      </c>
      <c r="DI1" s="2">
        <f t="shared" si="1"/>
        <v>46129</v>
      </c>
      <c r="DJ1" s="2">
        <f t="shared" si="1"/>
        <v>46136</v>
      </c>
      <c r="DK1" s="9">
        <f t="shared" si="1"/>
        <v>46143</v>
      </c>
      <c r="DL1" s="2">
        <f t="shared" si="1"/>
        <v>46150</v>
      </c>
      <c r="DM1" s="2">
        <f t="shared" si="1"/>
        <v>46157</v>
      </c>
      <c r="DN1" s="2">
        <f t="shared" si="1"/>
        <v>46164</v>
      </c>
      <c r="DO1" s="2">
        <f t="shared" si="1"/>
        <v>46171</v>
      </c>
      <c r="DP1" s="9">
        <f t="shared" si="1"/>
        <v>46178</v>
      </c>
      <c r="DQ1" s="2">
        <f t="shared" si="1"/>
        <v>46185</v>
      </c>
      <c r="DR1" s="2">
        <f t="shared" si="1"/>
        <v>46192</v>
      </c>
      <c r="DS1" s="2">
        <f t="shared" si="1"/>
        <v>46199</v>
      </c>
      <c r="DT1" s="9">
        <f t="shared" si="1"/>
        <v>46206</v>
      </c>
      <c r="DU1" s="2">
        <f t="shared" si="1"/>
        <v>46213</v>
      </c>
      <c r="DV1" s="2">
        <f t="shared" si="1"/>
        <v>46220</v>
      </c>
      <c r="DW1" s="2">
        <f t="shared" si="1"/>
        <v>46227</v>
      </c>
      <c r="DX1" s="2">
        <f t="shared" si="1"/>
        <v>46234</v>
      </c>
      <c r="DY1" s="9">
        <f t="shared" si="1"/>
        <v>46241</v>
      </c>
      <c r="DZ1" s="2">
        <f t="shared" si="1"/>
        <v>46248</v>
      </c>
      <c r="EA1" s="2">
        <f t="shared" si="1"/>
        <v>46255</v>
      </c>
      <c r="EB1" s="2">
        <f t="shared" si="1"/>
        <v>46262</v>
      </c>
      <c r="EC1" s="9">
        <f t="shared" si="1"/>
        <v>46269</v>
      </c>
      <c r="ED1" s="2">
        <f t="shared" si="1"/>
        <v>46276</v>
      </c>
      <c r="EE1" s="2">
        <f t="shared" si="1"/>
        <v>46283</v>
      </c>
      <c r="EF1" s="2">
        <f t="shared" si="1"/>
        <v>46290</v>
      </c>
      <c r="EG1" s="9">
        <f t="shared" si="1"/>
        <v>46297</v>
      </c>
      <c r="EH1" s="2">
        <f t="shared" si="1"/>
        <v>46304</v>
      </c>
      <c r="EI1" s="2">
        <f t="shared" si="1"/>
        <v>46311</v>
      </c>
      <c r="EJ1" s="2">
        <f t="shared" ref="EJ1:FB1" si="2">+EI1+7</f>
        <v>46318</v>
      </c>
      <c r="EK1" s="2">
        <f t="shared" si="2"/>
        <v>46325</v>
      </c>
      <c r="EL1" s="9">
        <f t="shared" si="2"/>
        <v>46332</v>
      </c>
      <c r="EM1" s="2">
        <f t="shared" si="2"/>
        <v>46339</v>
      </c>
      <c r="EN1" s="2">
        <f t="shared" si="2"/>
        <v>46346</v>
      </c>
      <c r="EO1" s="139">
        <f t="shared" si="2"/>
        <v>46353</v>
      </c>
      <c r="EP1" s="9">
        <f t="shared" si="2"/>
        <v>46360</v>
      </c>
      <c r="EQ1" s="2">
        <f t="shared" si="2"/>
        <v>46367</v>
      </c>
      <c r="ER1" s="2">
        <f t="shared" si="2"/>
        <v>46374</v>
      </c>
      <c r="ES1" s="139">
        <f t="shared" si="2"/>
        <v>46381</v>
      </c>
      <c r="ET1" s="245">
        <f t="shared" si="2"/>
        <v>46388</v>
      </c>
      <c r="EU1" s="2">
        <f t="shared" si="2"/>
        <v>46395</v>
      </c>
      <c r="EV1" s="2">
        <f t="shared" si="2"/>
        <v>46402</v>
      </c>
      <c r="EW1" s="2">
        <f t="shared" si="2"/>
        <v>46409</v>
      </c>
      <c r="EX1" s="2">
        <f t="shared" si="2"/>
        <v>46416</v>
      </c>
      <c r="EY1" s="9">
        <f t="shared" si="2"/>
        <v>46423</v>
      </c>
      <c r="EZ1" s="2">
        <f t="shared" si="2"/>
        <v>46430</v>
      </c>
      <c r="FA1" s="2">
        <f t="shared" si="2"/>
        <v>46437</v>
      </c>
      <c r="FB1" s="2">
        <f t="shared" si="2"/>
        <v>46444</v>
      </c>
    </row>
    <row r="2" spans="1:158" ht="52" hidden="1" customHeight="1" x14ac:dyDescent="0.2">
      <c r="A2" s="727">
        <v>818</v>
      </c>
      <c r="B2" s="23" t="s">
        <v>4</v>
      </c>
      <c r="C2" s="23"/>
      <c r="D2" s="23"/>
      <c r="E2" s="23"/>
      <c r="F2" s="1118" t="s">
        <v>5</v>
      </c>
      <c r="G2" s="1118"/>
      <c r="H2" s="1111">
        <v>45929</v>
      </c>
      <c r="I2" s="1112"/>
      <c r="J2" s="13"/>
      <c r="K2" s="14"/>
      <c r="O2" s="13"/>
      <c r="P2" s="14"/>
      <c r="T2" s="14"/>
      <c r="U2" s="22"/>
      <c r="V2" s="21"/>
      <c r="W2" s="20"/>
      <c r="Z2" s="16"/>
      <c r="AA2" s="16"/>
      <c r="AC2" s="12"/>
      <c r="AG2" s="728"/>
      <c r="AK2" s="12"/>
      <c r="AL2" s="728"/>
      <c r="AM2" s="728"/>
      <c r="AO2" s="728"/>
      <c r="AR2" s="728"/>
      <c r="AT2" s="728"/>
      <c r="AX2" s="728"/>
      <c r="BA2" s="728"/>
      <c r="BK2" s="728"/>
      <c r="BL2" s="728"/>
      <c r="BM2" s="16"/>
      <c r="BN2" s="728"/>
      <c r="BQ2" s="728"/>
      <c r="BR2" s="16"/>
      <c r="BV2" s="728"/>
      <c r="BY2" s="17"/>
      <c r="CA2" s="30"/>
      <c r="CB2" s="30"/>
      <c r="CC2" s="17"/>
      <c r="CD2" s="26">
        <v>45910</v>
      </c>
      <c r="CF2" s="18"/>
      <c r="CL2" s="17"/>
      <c r="CO2" s="18"/>
      <c r="CP2" s="17"/>
      <c r="CS2" s="18"/>
      <c r="CT2" s="16"/>
      <c r="CU2" s="16"/>
      <c r="CV2" s="16"/>
      <c r="CW2" s="16"/>
      <c r="CX2" s="107"/>
      <c r="DB2" s="18"/>
      <c r="DC2" s="17"/>
      <c r="DF2" s="18"/>
      <c r="DG2" s="17"/>
      <c r="DJ2" s="729"/>
      <c r="DK2" s="17"/>
      <c r="DO2" s="18"/>
      <c r="DP2" s="17"/>
      <c r="DS2" s="18"/>
      <c r="DT2" s="17"/>
      <c r="DX2" s="18"/>
      <c r="DY2" s="17"/>
      <c r="EB2" s="18"/>
      <c r="EC2" s="17"/>
      <c r="EF2" s="18"/>
      <c r="EG2" s="17"/>
      <c r="EK2" s="18"/>
      <c r="EL2" s="17"/>
      <c r="EO2" s="18"/>
      <c r="EP2" s="17"/>
      <c r="ES2" s="18"/>
      <c r="ET2" s="17"/>
      <c r="EX2" s="18"/>
      <c r="EY2" s="17"/>
      <c r="FB2" s="18"/>
    </row>
    <row r="3" spans="1:158" ht="50" hidden="1" customHeight="1" x14ac:dyDescent="0.2">
      <c r="A3" s="334">
        <v>819</v>
      </c>
      <c r="B3" s="27" t="s">
        <v>4</v>
      </c>
      <c r="C3" s="27"/>
      <c r="D3" s="27"/>
      <c r="E3" s="27"/>
      <c r="F3" s="1118" t="s">
        <v>6</v>
      </c>
      <c r="G3" s="1118"/>
      <c r="H3" s="1119">
        <v>45954</v>
      </c>
      <c r="I3" s="1120"/>
      <c r="J3" s="13"/>
      <c r="K3" s="14"/>
      <c r="O3" s="13"/>
      <c r="P3" s="14"/>
      <c r="T3" s="14"/>
      <c r="U3" s="22"/>
      <c r="V3" s="21"/>
      <c r="W3" s="20"/>
      <c r="Z3" s="16"/>
      <c r="AA3" s="16"/>
      <c r="AC3" s="12"/>
      <c r="AG3" s="728"/>
      <c r="AK3" s="12"/>
      <c r="AL3" s="728"/>
      <c r="AM3" s="728"/>
      <c r="AO3" s="728"/>
      <c r="AR3" s="728"/>
      <c r="AT3" s="728"/>
      <c r="AX3" s="728"/>
      <c r="BA3" s="728"/>
      <c r="BK3" s="728"/>
      <c r="BL3" s="728"/>
      <c r="BM3" s="728"/>
      <c r="BN3" s="728"/>
      <c r="BO3" s="728"/>
      <c r="BQ3" s="28"/>
      <c r="BR3" s="28"/>
      <c r="BS3" s="728"/>
      <c r="BY3" s="17"/>
      <c r="BZ3" s="30"/>
      <c r="CB3" s="30"/>
      <c r="CC3" s="32"/>
      <c r="CD3" s="30"/>
      <c r="CF3" s="167">
        <v>45922</v>
      </c>
      <c r="CG3" s="24"/>
      <c r="CH3" s="25"/>
      <c r="CI3" s="25"/>
      <c r="CJ3" s="25"/>
      <c r="CK3" s="25"/>
      <c r="CL3" s="24"/>
      <c r="CM3" s="25"/>
      <c r="CN3" s="25"/>
      <c r="CO3" s="60"/>
      <c r="CP3" s="17"/>
      <c r="CS3" s="18"/>
      <c r="CX3" s="18"/>
      <c r="DB3" s="18"/>
      <c r="DC3" s="17"/>
      <c r="DF3" s="18"/>
      <c r="DG3" s="17"/>
      <c r="DJ3" s="729"/>
      <c r="DK3" s="17"/>
      <c r="DO3" s="18"/>
      <c r="DP3" s="17"/>
      <c r="DS3" s="18"/>
      <c r="DT3" s="17"/>
      <c r="DX3" s="18"/>
      <c r="DY3" s="17"/>
      <c r="EB3" s="18"/>
      <c r="EC3" s="17"/>
      <c r="EF3" s="18"/>
      <c r="EG3" s="17"/>
      <c r="EK3" s="18"/>
      <c r="EL3" s="17"/>
      <c r="EO3" s="18"/>
      <c r="EP3" s="17"/>
      <c r="ES3" s="18"/>
      <c r="ET3" s="17"/>
      <c r="EX3" s="18"/>
      <c r="EY3" s="17"/>
      <c r="FB3" s="18"/>
    </row>
    <row r="4" spans="1:158" ht="47" hidden="1" customHeight="1" x14ac:dyDescent="0.2">
      <c r="A4" s="335" t="s">
        <v>7</v>
      </c>
      <c r="B4" s="23" t="s">
        <v>8</v>
      </c>
      <c r="C4" s="23"/>
      <c r="D4" s="23"/>
      <c r="E4" s="23"/>
      <c r="F4" s="1110" t="s">
        <v>9</v>
      </c>
      <c r="G4" s="1110"/>
      <c r="H4" s="1111">
        <v>45940</v>
      </c>
      <c r="I4" s="1112"/>
      <c r="J4" s="13"/>
      <c r="K4" s="14"/>
      <c r="O4" s="13"/>
      <c r="P4" s="14"/>
      <c r="T4" s="14"/>
      <c r="U4" s="22"/>
      <c r="V4" s="21"/>
      <c r="W4" s="20"/>
      <c r="Z4" s="16"/>
      <c r="AA4" s="16"/>
      <c r="AC4" s="12"/>
      <c r="AG4" s="728"/>
      <c r="AK4" s="12"/>
      <c r="AL4" s="728"/>
      <c r="AM4" s="728"/>
      <c r="AO4" s="728"/>
      <c r="AR4" s="728"/>
      <c r="AT4" s="728"/>
      <c r="AX4" s="728"/>
      <c r="BA4" s="728"/>
      <c r="BK4" s="728"/>
      <c r="BL4" s="728"/>
      <c r="BM4" s="728"/>
      <c r="BN4" s="728"/>
      <c r="BO4" s="728"/>
      <c r="BQ4" s="28"/>
      <c r="BR4" s="728"/>
      <c r="BS4" s="728"/>
      <c r="BX4" s="29"/>
      <c r="BY4" s="32"/>
      <c r="CA4" s="26">
        <v>45888</v>
      </c>
      <c r="CC4" s="17"/>
      <c r="CF4" s="18"/>
      <c r="CG4" s="17"/>
      <c r="CL4" s="17"/>
      <c r="CO4" s="18"/>
      <c r="CP4" s="17"/>
      <c r="CS4" s="18"/>
      <c r="CT4" s="16"/>
      <c r="CU4" s="16"/>
      <c r="CV4" s="16"/>
      <c r="CW4" s="16"/>
      <c r="CX4" s="107"/>
      <c r="DB4" s="18"/>
      <c r="DC4" s="17"/>
      <c r="DF4" s="18"/>
      <c r="DG4" s="17"/>
      <c r="DJ4" s="729"/>
      <c r="DK4" s="17"/>
      <c r="DO4" s="18"/>
      <c r="DP4" s="17"/>
      <c r="DS4" s="18"/>
      <c r="DT4" s="17"/>
      <c r="DX4" s="18"/>
      <c r="DY4" s="17"/>
      <c r="EB4" s="18"/>
      <c r="EC4" s="17"/>
      <c r="EF4" s="18"/>
      <c r="EG4" s="17"/>
      <c r="EK4" s="18"/>
      <c r="EL4" s="17"/>
      <c r="EO4" s="18"/>
      <c r="EP4" s="17"/>
      <c r="ES4" s="18"/>
      <c r="ET4" s="17"/>
      <c r="EX4" s="18"/>
      <c r="EY4" s="17"/>
      <c r="FB4" s="18"/>
    </row>
    <row r="5" spans="1:158" ht="62" hidden="1" customHeight="1" x14ac:dyDescent="0.2">
      <c r="A5" s="335" t="s">
        <v>7</v>
      </c>
      <c r="B5" s="23" t="s">
        <v>8</v>
      </c>
      <c r="C5" s="23"/>
      <c r="D5" s="23"/>
      <c r="E5" s="23"/>
      <c r="F5" s="1110" t="s">
        <v>10</v>
      </c>
      <c r="G5" s="1110"/>
      <c r="H5" s="1111" t="s">
        <v>11</v>
      </c>
      <c r="I5" s="1112"/>
      <c r="J5" s="13"/>
      <c r="K5" s="14"/>
      <c r="O5" s="13"/>
      <c r="P5" s="14"/>
      <c r="T5" s="14"/>
      <c r="U5" s="22"/>
      <c r="V5" s="21"/>
      <c r="W5" s="20"/>
      <c r="Z5" s="16"/>
      <c r="AA5" s="16"/>
      <c r="AC5" s="12"/>
      <c r="AG5" s="728"/>
      <c r="AK5" s="12"/>
      <c r="AL5" s="728"/>
      <c r="AM5" s="728"/>
      <c r="AO5" s="728"/>
      <c r="AR5" s="728"/>
      <c r="AT5" s="728"/>
      <c r="AX5" s="728"/>
      <c r="BA5" s="728"/>
      <c r="BK5" s="728"/>
      <c r="BL5" s="728"/>
      <c r="BM5" s="728"/>
      <c r="BO5" s="728"/>
      <c r="BQ5" s="28"/>
      <c r="BR5" s="28"/>
      <c r="BS5" s="728"/>
      <c r="BT5" s="728"/>
      <c r="BX5" s="30"/>
      <c r="BY5" s="17"/>
      <c r="BZ5" s="30"/>
      <c r="CB5" s="30"/>
      <c r="CC5" s="31">
        <v>45903</v>
      </c>
      <c r="CF5" s="18"/>
      <c r="CG5" s="17"/>
      <c r="CL5" s="17"/>
      <c r="CO5" s="18"/>
      <c r="CP5" s="17"/>
      <c r="CS5" s="18"/>
      <c r="CT5" s="16"/>
      <c r="CU5" s="16"/>
      <c r="CV5" s="16"/>
      <c r="CW5" s="16"/>
      <c r="CX5" s="107"/>
      <c r="DB5" s="18"/>
      <c r="DC5" s="17"/>
      <c r="DF5" s="18"/>
      <c r="DG5" s="17"/>
      <c r="DJ5" s="729"/>
      <c r="DK5" s="17"/>
      <c r="DO5" s="18"/>
      <c r="DP5" s="17"/>
      <c r="DS5" s="18"/>
      <c r="DT5" s="17"/>
      <c r="DX5" s="18"/>
      <c r="DY5" s="17"/>
      <c r="EB5" s="18"/>
      <c r="EC5" s="17"/>
      <c r="EF5" s="18"/>
      <c r="EG5" s="17"/>
      <c r="EK5" s="18"/>
      <c r="EL5" s="17"/>
      <c r="EO5" s="18"/>
      <c r="EP5" s="17"/>
      <c r="ES5" s="18"/>
      <c r="ET5" s="17"/>
      <c r="EX5" s="18"/>
      <c r="EY5" s="17"/>
      <c r="FB5" s="18"/>
    </row>
    <row r="6" spans="1:158" ht="55" hidden="1" customHeight="1" x14ac:dyDescent="0.2">
      <c r="A6" s="730">
        <v>105</v>
      </c>
      <c r="B6" s="11" t="s">
        <v>12</v>
      </c>
      <c r="C6" s="11"/>
      <c r="D6" s="11"/>
      <c r="E6" s="11"/>
      <c r="F6" s="1110" t="s">
        <v>13</v>
      </c>
      <c r="G6" s="1110"/>
      <c r="H6" s="1111">
        <v>45946</v>
      </c>
      <c r="I6" s="1113"/>
      <c r="V6" s="14"/>
      <c r="BB6" s="728"/>
      <c r="BE6" s="728"/>
      <c r="BG6" s="728"/>
      <c r="BJ6" s="728"/>
      <c r="BM6" s="728"/>
      <c r="BO6" s="728"/>
      <c r="BR6" s="728"/>
      <c r="BY6" s="17"/>
      <c r="CB6" s="34">
        <v>45895</v>
      </c>
      <c r="CC6" s="17"/>
      <c r="CD6" s="30"/>
      <c r="CE6" s="30"/>
      <c r="CF6" s="18"/>
      <c r="CG6" s="17"/>
      <c r="CH6" s="26">
        <v>45940</v>
      </c>
      <c r="CL6" s="17"/>
      <c r="CO6" s="18"/>
      <c r="CP6" s="17"/>
      <c r="CS6" s="18"/>
      <c r="CX6" s="18"/>
      <c r="DB6" s="18"/>
      <c r="DC6" s="17"/>
      <c r="DF6" s="18"/>
      <c r="DG6" s="17"/>
      <c r="DJ6" s="729"/>
      <c r="DK6" s="17"/>
      <c r="DO6" s="18"/>
      <c r="DP6" s="17"/>
      <c r="DS6" s="18"/>
      <c r="DT6" s="17"/>
      <c r="DX6" s="18"/>
      <c r="DY6" s="17"/>
      <c r="EB6" s="18"/>
      <c r="EC6" s="17"/>
      <c r="EF6" s="18"/>
      <c r="EG6" s="17"/>
      <c r="EK6" s="18"/>
      <c r="EL6" s="17"/>
      <c r="EO6" s="18"/>
      <c r="EP6" s="17"/>
      <c r="ES6" s="18"/>
      <c r="ET6" s="17"/>
      <c r="EX6" s="18"/>
      <c r="EY6" s="17"/>
      <c r="FB6" s="18"/>
    </row>
    <row r="7" spans="1:158" ht="44" hidden="1" customHeight="1" x14ac:dyDescent="0.2">
      <c r="A7" s="336" t="s">
        <v>14</v>
      </c>
      <c r="B7" s="169" t="s">
        <v>15</v>
      </c>
      <c r="C7" s="169"/>
      <c r="D7" s="169"/>
      <c r="E7" s="169"/>
      <c r="F7" s="1125" t="s">
        <v>16</v>
      </c>
      <c r="G7" s="1125"/>
      <c r="H7" s="1126">
        <v>45961</v>
      </c>
      <c r="I7" s="1127"/>
      <c r="J7" s="13"/>
      <c r="K7" s="14"/>
      <c r="O7" s="13"/>
      <c r="P7" s="14"/>
      <c r="T7" s="14"/>
      <c r="U7" s="22"/>
      <c r="V7" s="21"/>
      <c r="W7" s="20"/>
      <c r="Z7" s="16"/>
      <c r="AA7" s="16"/>
      <c r="AC7" s="12"/>
      <c r="AG7" s="728"/>
      <c r="AK7" s="12"/>
      <c r="AL7" s="728"/>
      <c r="AM7" s="728"/>
      <c r="AO7" s="728"/>
      <c r="AR7" s="728"/>
      <c r="AT7" s="728"/>
      <c r="AX7" s="728"/>
      <c r="BA7" s="728"/>
      <c r="BK7" s="728"/>
      <c r="BL7" s="728"/>
      <c r="BM7" s="728"/>
      <c r="BN7" s="728"/>
      <c r="BO7" s="728"/>
      <c r="BQ7" s="728"/>
      <c r="BR7" s="28"/>
      <c r="BS7" s="28"/>
      <c r="BV7" s="28"/>
      <c r="BY7" s="17"/>
      <c r="CC7" s="32"/>
      <c r="CD7" s="35">
        <v>45912</v>
      </c>
      <c r="CF7" s="167">
        <v>45926</v>
      </c>
      <c r="CG7" s="32"/>
      <c r="CH7" s="30"/>
      <c r="CL7" s="17"/>
      <c r="CO7" s="18"/>
      <c r="CP7" s="17"/>
      <c r="CS7" s="18"/>
      <c r="CX7" s="18"/>
      <c r="DB7" s="18"/>
      <c r="DC7" s="17"/>
      <c r="DF7" s="18"/>
      <c r="DG7" s="17"/>
      <c r="DJ7" s="729"/>
      <c r="DK7" s="17"/>
      <c r="DO7" s="18"/>
      <c r="DP7" s="17"/>
      <c r="DS7" s="18"/>
      <c r="DT7" s="17"/>
      <c r="DX7" s="18"/>
      <c r="DY7" s="17"/>
      <c r="EB7" s="18"/>
      <c r="EC7" s="17"/>
      <c r="EF7" s="18"/>
      <c r="EG7" s="17"/>
      <c r="EK7" s="18"/>
      <c r="EL7" s="17"/>
      <c r="EO7" s="18"/>
      <c r="EP7" s="17"/>
      <c r="ES7" s="18"/>
      <c r="ET7" s="17"/>
      <c r="EX7" s="18"/>
      <c r="EY7" s="17"/>
      <c r="FB7" s="18"/>
    </row>
    <row r="8" spans="1:158" ht="65" hidden="1" customHeight="1" x14ac:dyDescent="0.2">
      <c r="A8" s="731" t="s">
        <v>17</v>
      </c>
      <c r="B8" s="169" t="s">
        <v>8</v>
      </c>
      <c r="C8" s="169"/>
      <c r="D8" s="169"/>
      <c r="E8" s="169"/>
      <c r="F8" s="1125" t="s">
        <v>18</v>
      </c>
      <c r="G8" s="1125"/>
      <c r="H8" s="1126" t="s">
        <v>19</v>
      </c>
      <c r="I8" s="1128"/>
      <c r="J8" s="13"/>
      <c r="K8" s="14"/>
      <c r="O8" s="13"/>
      <c r="P8" s="14"/>
      <c r="T8" s="14"/>
      <c r="U8" s="22"/>
      <c r="V8" s="21"/>
      <c r="W8" s="20"/>
      <c r="Z8" s="16"/>
      <c r="AA8" s="16"/>
      <c r="AC8" s="12"/>
      <c r="AG8" s="728"/>
      <c r="AK8" s="12"/>
      <c r="AL8" s="728"/>
      <c r="AM8" s="728"/>
      <c r="AO8" s="728"/>
      <c r="AR8" s="728"/>
      <c r="AT8" s="728"/>
      <c r="AX8" s="728"/>
      <c r="BA8" s="728"/>
      <c r="BK8" s="728"/>
      <c r="BL8" s="728"/>
      <c r="BM8" s="728"/>
      <c r="BN8" s="728"/>
      <c r="BQ8" s="728"/>
      <c r="BR8" s="28"/>
      <c r="BV8" s="728"/>
      <c r="BY8" s="17"/>
      <c r="CA8" s="30"/>
      <c r="CB8" s="30"/>
      <c r="CC8" s="26">
        <v>45903</v>
      </c>
      <c r="CF8" s="18"/>
      <c r="CG8" s="17"/>
      <c r="CL8" s="17"/>
      <c r="CO8" s="18"/>
      <c r="CP8" s="17"/>
      <c r="CS8" s="18"/>
      <c r="CT8" s="16"/>
      <c r="CU8" s="16"/>
      <c r="CV8" s="16"/>
      <c r="CW8" s="16"/>
      <c r="CX8" s="107"/>
      <c r="DB8" s="18"/>
      <c r="DC8" s="17"/>
      <c r="DF8" s="18"/>
      <c r="DG8" s="17"/>
      <c r="DJ8" s="729"/>
      <c r="DK8" s="17"/>
      <c r="DO8" s="18"/>
      <c r="DP8" s="17"/>
      <c r="DS8" s="18"/>
      <c r="DT8" s="17"/>
      <c r="DX8" s="18"/>
      <c r="DY8" s="17"/>
      <c r="EB8" s="18"/>
      <c r="EC8" s="17"/>
      <c r="EF8" s="18"/>
      <c r="EG8" s="17"/>
      <c r="EK8" s="18"/>
      <c r="EL8" s="17"/>
      <c r="EO8" s="18"/>
      <c r="EP8" s="17"/>
      <c r="ES8" s="18"/>
      <c r="ET8" s="17"/>
      <c r="EX8" s="18"/>
      <c r="EY8" s="17"/>
      <c r="FB8" s="18"/>
    </row>
    <row r="9" spans="1:158" ht="45" hidden="1" customHeight="1" x14ac:dyDescent="0.2">
      <c r="A9" s="336" t="s">
        <v>20</v>
      </c>
      <c r="B9" s="169" t="s">
        <v>15</v>
      </c>
      <c r="C9" s="169"/>
      <c r="D9" s="169"/>
      <c r="E9" s="169"/>
      <c r="F9" s="1125" t="s">
        <v>21</v>
      </c>
      <c r="G9" s="1125"/>
      <c r="H9" s="1126">
        <v>45975</v>
      </c>
      <c r="I9" s="1127"/>
      <c r="V9" s="14"/>
      <c r="BB9" s="728"/>
      <c r="BE9" s="728"/>
      <c r="BG9" s="728"/>
      <c r="BJ9" s="728"/>
      <c r="BM9" s="728"/>
      <c r="BO9" s="728"/>
      <c r="BR9" s="728"/>
      <c r="BY9" s="17"/>
      <c r="CC9" s="17"/>
      <c r="CD9" s="30"/>
      <c r="CE9" s="30"/>
      <c r="CF9" s="165"/>
      <c r="CG9" s="166">
        <v>45930</v>
      </c>
      <c r="CH9" s="30"/>
      <c r="CI9" s="26">
        <v>45944</v>
      </c>
      <c r="CL9" s="32"/>
      <c r="CO9" s="18"/>
      <c r="CP9" s="17"/>
      <c r="CS9" s="18"/>
      <c r="CX9" s="18"/>
      <c r="DB9" s="18"/>
      <c r="DC9" s="17"/>
      <c r="DF9" s="18"/>
      <c r="DG9" s="17"/>
      <c r="DJ9" s="729"/>
      <c r="DK9" s="17"/>
      <c r="DO9" s="18"/>
      <c r="DP9" s="17"/>
      <c r="DS9" s="18"/>
      <c r="DT9" s="17"/>
      <c r="DX9" s="18"/>
      <c r="DY9" s="17"/>
      <c r="EB9" s="18"/>
      <c r="EC9" s="17"/>
      <c r="EF9" s="18"/>
      <c r="EG9" s="17"/>
      <c r="EK9" s="18"/>
      <c r="EL9" s="17"/>
      <c r="EO9" s="18"/>
      <c r="EP9" s="17"/>
      <c r="ES9" s="18"/>
      <c r="ET9" s="17"/>
      <c r="EX9" s="18"/>
      <c r="EY9" s="17"/>
      <c r="FB9" s="18"/>
    </row>
    <row r="10" spans="1:158" ht="69" hidden="1" customHeight="1" x14ac:dyDescent="0.2">
      <c r="A10" s="335" t="s">
        <v>22</v>
      </c>
      <c r="B10" s="23" t="s">
        <v>23</v>
      </c>
      <c r="C10" s="23"/>
      <c r="D10" s="23"/>
      <c r="E10" s="23"/>
      <c r="F10" s="1110" t="s">
        <v>24</v>
      </c>
      <c r="G10" s="1110"/>
      <c r="H10" s="1111" t="s">
        <v>25</v>
      </c>
      <c r="I10" s="1112"/>
      <c r="J10" s="13"/>
      <c r="K10" s="14"/>
      <c r="O10" s="13"/>
      <c r="P10" s="14"/>
      <c r="T10" s="14"/>
      <c r="U10" s="22"/>
      <c r="V10" s="21"/>
      <c r="W10" s="20"/>
      <c r="Z10" s="16"/>
      <c r="AA10" s="16"/>
      <c r="AC10" s="12"/>
      <c r="AG10" s="728"/>
      <c r="AK10" s="12"/>
      <c r="AL10" s="728"/>
      <c r="AM10" s="728"/>
      <c r="AO10" s="728"/>
      <c r="AR10" s="728"/>
      <c r="AT10" s="728"/>
      <c r="AX10" s="728"/>
      <c r="BA10" s="728"/>
      <c r="BK10" s="728"/>
      <c r="BL10" s="728"/>
      <c r="BM10" s="728"/>
      <c r="BN10" s="728"/>
      <c r="BO10" s="728"/>
      <c r="BQ10" s="728"/>
      <c r="BR10" s="728"/>
      <c r="BS10" s="28"/>
      <c r="BW10" s="728"/>
      <c r="BY10" s="17"/>
      <c r="CC10" s="32"/>
      <c r="CD10" s="30"/>
      <c r="CF10" s="167">
        <v>45922</v>
      </c>
      <c r="CG10" s="17"/>
      <c r="CL10" s="17"/>
      <c r="CO10" s="18"/>
      <c r="CP10" s="17"/>
      <c r="CS10" s="18"/>
      <c r="CX10" s="18"/>
      <c r="DB10" s="18"/>
      <c r="DC10" s="17"/>
      <c r="DF10" s="18"/>
      <c r="DG10" s="17"/>
      <c r="DJ10" s="729"/>
      <c r="DK10" s="17"/>
      <c r="DO10" s="18"/>
      <c r="DP10" s="17"/>
      <c r="DS10" s="18"/>
      <c r="DT10" s="17"/>
      <c r="DX10" s="18"/>
      <c r="DY10" s="17"/>
      <c r="EB10" s="18"/>
      <c r="EC10" s="17"/>
      <c r="EF10" s="18"/>
      <c r="EG10" s="17"/>
      <c r="EK10" s="18"/>
      <c r="EL10" s="17"/>
      <c r="EO10" s="18"/>
      <c r="EP10" s="17"/>
      <c r="ES10" s="18"/>
      <c r="ET10" s="17"/>
      <c r="EX10" s="18"/>
      <c r="EY10" s="17"/>
      <c r="FB10" s="18"/>
    </row>
    <row r="11" spans="1:158" ht="50" hidden="1" customHeight="1" x14ac:dyDescent="0.2">
      <c r="A11" s="334">
        <v>4500230408</v>
      </c>
      <c r="B11" s="23" t="s">
        <v>26</v>
      </c>
      <c r="C11" s="23"/>
      <c r="D11" s="23"/>
      <c r="E11" s="23"/>
      <c r="F11" s="1110" t="s">
        <v>27</v>
      </c>
      <c r="G11" s="1110"/>
      <c r="H11" s="1111">
        <v>46008</v>
      </c>
      <c r="I11" s="1112"/>
      <c r="J11" s="13"/>
      <c r="K11" s="14"/>
      <c r="O11" s="13"/>
      <c r="P11" s="14"/>
      <c r="T11" s="14"/>
      <c r="U11" s="22"/>
      <c r="V11" s="21"/>
      <c r="W11" s="20"/>
      <c r="Z11" s="16"/>
      <c r="AA11" s="16"/>
      <c r="AC11" s="12"/>
      <c r="AG11" s="728"/>
      <c r="AK11" s="12"/>
      <c r="AL11" s="728"/>
      <c r="AM11" s="728"/>
      <c r="AO11" s="728"/>
      <c r="AR11" s="728"/>
      <c r="AT11" s="728"/>
      <c r="AX11" s="728"/>
      <c r="BA11" s="728"/>
      <c r="BK11" s="728"/>
      <c r="BL11" s="728"/>
      <c r="BM11" s="728"/>
      <c r="BN11" s="728"/>
      <c r="BO11" s="728"/>
      <c r="BQ11" s="28"/>
      <c r="BR11" s="28"/>
      <c r="BS11" s="728"/>
      <c r="BY11" s="17"/>
      <c r="BZ11" s="30"/>
      <c r="CB11" s="34">
        <v>45895</v>
      </c>
      <c r="CC11" s="32"/>
      <c r="CF11" s="33"/>
      <c r="CG11" s="32"/>
      <c r="CH11" s="26">
        <v>45940</v>
      </c>
      <c r="CL11" s="17"/>
      <c r="CO11" s="18"/>
      <c r="CP11" s="17"/>
      <c r="CS11" s="18"/>
      <c r="CX11" s="18"/>
      <c r="DB11" s="18"/>
      <c r="DC11" s="17"/>
      <c r="DF11" s="18"/>
      <c r="DG11" s="17"/>
      <c r="DJ11" s="729"/>
      <c r="DK11" s="17"/>
      <c r="DO11" s="18"/>
      <c r="DP11" s="17"/>
      <c r="DS11" s="18"/>
      <c r="DT11" s="17"/>
      <c r="DX11" s="18"/>
      <c r="DY11" s="17"/>
      <c r="EB11" s="18"/>
      <c r="EC11" s="17"/>
      <c r="EF11" s="18"/>
      <c r="EG11" s="17"/>
      <c r="EK11" s="18"/>
      <c r="EL11" s="17"/>
      <c r="EO11" s="18"/>
      <c r="EP11" s="17"/>
      <c r="ES11" s="18"/>
      <c r="ET11" s="17"/>
      <c r="EX11" s="18"/>
      <c r="EY11" s="17"/>
      <c r="FB11" s="18"/>
    </row>
    <row r="12" spans="1:158" ht="32" customHeight="1" x14ac:dyDescent="0.2">
      <c r="A12" s="334">
        <v>950</v>
      </c>
      <c r="B12" s="1121" t="s">
        <v>4</v>
      </c>
      <c r="C12" s="1122"/>
      <c r="D12" s="1122"/>
      <c r="E12" s="1123"/>
      <c r="F12" s="1124" t="s">
        <v>28</v>
      </c>
      <c r="G12" s="1124"/>
      <c r="H12" s="1111">
        <v>46024</v>
      </c>
      <c r="I12" s="1113"/>
      <c r="V12" s="14"/>
      <c r="BB12" s="728"/>
      <c r="BE12" s="728"/>
      <c r="BG12" s="728"/>
      <c r="BJ12" s="728"/>
      <c r="BM12" s="728"/>
      <c r="BO12" s="728"/>
      <c r="BR12" s="728"/>
      <c r="BY12" s="17"/>
      <c r="CC12" s="17"/>
      <c r="CD12" s="30"/>
      <c r="CE12" s="30"/>
      <c r="CF12" s="33"/>
      <c r="CG12" s="24"/>
      <c r="CH12" s="319"/>
      <c r="CI12" s="328">
        <v>45945</v>
      </c>
      <c r="CJ12" s="319"/>
      <c r="CK12" s="60"/>
      <c r="CL12" s="32"/>
      <c r="CO12" s="33"/>
      <c r="CP12" s="17"/>
      <c r="CQ12" s="1129">
        <v>45999</v>
      </c>
      <c r="CT12" s="24"/>
      <c r="CU12" s="25"/>
      <c r="CV12" s="25"/>
      <c r="CW12" s="25"/>
      <c r="CX12" s="60"/>
      <c r="DB12" s="18"/>
      <c r="DC12" s="24"/>
      <c r="DD12" s="25"/>
      <c r="DE12" s="25"/>
      <c r="DF12" s="60"/>
      <c r="DG12" s="17"/>
      <c r="DJ12" s="729"/>
      <c r="DK12" s="17"/>
      <c r="DO12" s="18"/>
      <c r="DP12" s="17"/>
      <c r="DS12" s="18"/>
      <c r="DT12" s="17"/>
      <c r="DX12" s="18"/>
      <c r="DY12" s="17"/>
      <c r="EB12" s="18"/>
      <c r="EC12" s="17"/>
      <c r="EF12" s="18"/>
      <c r="EG12" s="17"/>
      <c r="EK12" s="18"/>
      <c r="EL12" s="17"/>
      <c r="EO12" s="18"/>
      <c r="EP12" s="17"/>
      <c r="ES12" s="18"/>
      <c r="ET12" s="17"/>
      <c r="EX12" s="18"/>
      <c r="EY12" s="17"/>
      <c r="FB12" s="18"/>
    </row>
    <row r="13" spans="1:158" ht="32" hidden="1" customHeight="1" x14ac:dyDescent="0.2">
      <c r="A13" s="336"/>
      <c r="B13" s="1130" t="s">
        <v>29</v>
      </c>
      <c r="C13" s="1131"/>
      <c r="D13" s="1131"/>
      <c r="E13" s="1132"/>
      <c r="F13" s="1133" t="s">
        <v>30</v>
      </c>
      <c r="G13" s="1133"/>
      <c r="H13" s="1126">
        <v>46043</v>
      </c>
      <c r="I13" s="1127"/>
      <c r="V13" s="14"/>
      <c r="BB13" s="728"/>
      <c r="BE13" s="728"/>
      <c r="BG13" s="728"/>
      <c r="BJ13" s="728"/>
      <c r="BM13" s="728"/>
      <c r="BO13" s="728"/>
      <c r="BR13" s="728"/>
      <c r="BY13" s="17"/>
      <c r="CC13" s="17"/>
      <c r="CD13" s="30"/>
      <c r="CE13" s="30"/>
      <c r="CF13" s="33"/>
      <c r="CG13" s="17"/>
      <c r="CH13" s="30"/>
      <c r="CI13" s="30"/>
      <c r="CJ13" s="35">
        <v>45952</v>
      </c>
      <c r="CK13" s="170">
        <v>45960</v>
      </c>
      <c r="CL13" s="17"/>
      <c r="CO13" s="33"/>
      <c r="CP13" s="17"/>
      <c r="CQ13" s="1129"/>
      <c r="CT13" s="17"/>
      <c r="CX13" s="18"/>
      <c r="DB13" s="18"/>
      <c r="DC13" s="17"/>
      <c r="DF13" s="18"/>
      <c r="DG13" s="17"/>
      <c r="DJ13" s="729"/>
      <c r="DK13" s="17"/>
      <c r="DO13" s="18"/>
      <c r="DP13" s="17"/>
      <c r="DS13" s="18"/>
      <c r="DT13" s="17"/>
      <c r="DX13" s="18"/>
      <c r="DY13" s="17"/>
      <c r="EB13" s="18"/>
      <c r="EC13" s="17"/>
      <c r="EF13" s="18"/>
      <c r="EG13" s="17"/>
      <c r="EK13" s="18"/>
      <c r="EL13" s="17"/>
      <c r="EO13" s="18"/>
      <c r="EP13" s="17"/>
      <c r="ES13" s="18"/>
      <c r="ET13" s="17"/>
      <c r="EX13" s="18"/>
      <c r="EY13" s="17"/>
      <c r="FB13" s="18"/>
    </row>
    <row r="14" spans="1:158" ht="32" customHeight="1" x14ac:dyDescent="0.2">
      <c r="A14" s="1134">
        <v>949</v>
      </c>
      <c r="B14" s="1136" t="s">
        <v>4</v>
      </c>
      <c r="C14" s="1137"/>
      <c r="D14" s="1137"/>
      <c r="E14" s="1138"/>
      <c r="F14" s="1124" t="s">
        <v>31</v>
      </c>
      <c r="G14" s="1124"/>
      <c r="H14" s="1111">
        <v>46024</v>
      </c>
      <c r="I14" s="1113"/>
      <c r="V14" s="14"/>
      <c r="BB14" s="728"/>
      <c r="BE14" s="728"/>
      <c r="BG14" s="728"/>
      <c r="BJ14" s="728"/>
      <c r="BM14" s="728"/>
      <c r="BO14" s="728"/>
      <c r="BR14" s="728"/>
      <c r="BY14" s="17"/>
      <c r="CC14" s="17"/>
      <c r="CD14" s="30"/>
      <c r="CE14" s="30"/>
      <c r="CF14" s="33"/>
      <c r="CG14" s="17"/>
      <c r="CH14" s="30"/>
      <c r="CI14" s="35">
        <v>45945</v>
      </c>
      <c r="CJ14" s="30"/>
      <c r="CK14" s="18"/>
      <c r="CL14" s="32"/>
      <c r="CO14" s="33"/>
      <c r="CP14" s="32"/>
      <c r="CQ14" s="1129"/>
      <c r="CT14" s="17"/>
      <c r="CX14" s="18"/>
      <c r="DB14" s="18"/>
      <c r="DC14" s="17"/>
      <c r="DF14" s="18"/>
      <c r="DG14" s="17"/>
      <c r="DJ14" s="729"/>
      <c r="DK14" s="17"/>
      <c r="DO14" s="18"/>
      <c r="DP14" s="17"/>
      <c r="DS14" s="18"/>
      <c r="DT14" s="17"/>
      <c r="DX14" s="18"/>
      <c r="DY14" s="17"/>
      <c r="EB14" s="18"/>
      <c r="EC14" s="17"/>
      <c r="EF14" s="18"/>
      <c r="EG14" s="17"/>
      <c r="EK14" s="18"/>
      <c r="EL14" s="17"/>
      <c r="EO14" s="18"/>
      <c r="EP14" s="17"/>
      <c r="ES14" s="18"/>
      <c r="ET14" s="17"/>
      <c r="EX14" s="18"/>
      <c r="EY14" s="17"/>
      <c r="FB14" s="18"/>
    </row>
    <row r="15" spans="1:158" ht="45" hidden="1" customHeight="1" thickBot="1" x14ac:dyDescent="0.25">
      <c r="A15" s="1135"/>
      <c r="B15" s="1139"/>
      <c r="C15" s="1140"/>
      <c r="D15" s="1140"/>
      <c r="E15" s="1141"/>
      <c r="F15" s="1124" t="s">
        <v>32</v>
      </c>
      <c r="G15" s="1124"/>
      <c r="H15" s="1142"/>
      <c r="I15" s="1143"/>
      <c r="V15" s="14"/>
      <c r="BB15" s="728"/>
      <c r="BE15" s="728"/>
      <c r="BG15" s="728"/>
      <c r="BJ15" s="728"/>
      <c r="BM15" s="728"/>
      <c r="BO15" s="728"/>
      <c r="BR15" s="728"/>
      <c r="BY15" s="17"/>
      <c r="CC15" s="17"/>
      <c r="CD15" s="30"/>
      <c r="CE15" s="30"/>
      <c r="CF15" s="33"/>
      <c r="CG15" s="17"/>
      <c r="CH15" s="30"/>
      <c r="CJ15" s="35">
        <v>45953</v>
      </c>
      <c r="CK15" s="18"/>
      <c r="CL15" s="32"/>
      <c r="CO15" s="33"/>
      <c r="CP15" s="31" t="s">
        <v>33</v>
      </c>
      <c r="CT15" s="17"/>
      <c r="CX15" s="18"/>
      <c r="DB15" s="18"/>
      <c r="DC15" s="17"/>
      <c r="DF15" s="18"/>
      <c r="DG15" s="17"/>
      <c r="DJ15" s="729"/>
      <c r="DK15" s="17"/>
      <c r="DO15" s="18"/>
      <c r="DP15" s="17"/>
      <c r="DS15" s="18"/>
      <c r="DT15" s="17"/>
      <c r="DX15" s="18"/>
      <c r="DY15" s="17"/>
      <c r="EB15" s="18"/>
      <c r="EC15" s="17"/>
      <c r="EF15" s="18"/>
      <c r="EG15" s="17"/>
      <c r="EK15" s="18"/>
      <c r="EL15" s="17"/>
      <c r="EO15" s="18"/>
      <c r="EP15" s="17"/>
      <c r="ES15" s="18"/>
      <c r="ET15" s="17"/>
      <c r="EX15" s="18"/>
      <c r="EY15" s="17"/>
      <c r="FB15" s="18"/>
    </row>
    <row r="16" spans="1:158" ht="46.5" customHeight="1" x14ac:dyDescent="0.2">
      <c r="A16" s="337"/>
      <c r="B16" s="1121" t="s">
        <v>34</v>
      </c>
      <c r="C16" s="1122"/>
      <c r="D16" s="1122"/>
      <c r="E16" s="1123"/>
      <c r="F16" s="1144" t="s">
        <v>35</v>
      </c>
      <c r="G16" s="1145"/>
      <c r="H16" s="1142" t="s">
        <v>36</v>
      </c>
      <c r="I16" s="1143"/>
      <c r="V16" s="14"/>
      <c r="BB16" s="728"/>
      <c r="BE16" s="728"/>
      <c r="BG16" s="728"/>
      <c r="BJ16" s="728"/>
      <c r="BM16" s="728"/>
      <c r="BO16" s="728"/>
      <c r="BR16" s="728"/>
      <c r="BY16" s="17"/>
      <c r="CC16" s="17"/>
      <c r="CD16" s="30"/>
      <c r="CE16" s="30"/>
      <c r="CF16" s="33"/>
      <c r="CG16" s="17"/>
      <c r="CH16" s="30"/>
      <c r="CI16" s="320"/>
      <c r="CJ16" s="30"/>
      <c r="CK16" s="35">
        <v>45961</v>
      </c>
      <c r="CL16" s="32"/>
      <c r="CO16" s="33"/>
      <c r="CP16" s="26">
        <v>45995</v>
      </c>
      <c r="CQ16" s="30"/>
      <c r="CT16" s="17"/>
      <c r="CX16" s="18"/>
      <c r="DB16" s="18"/>
      <c r="DC16" s="17"/>
      <c r="DF16" s="18"/>
      <c r="DG16" s="17"/>
      <c r="DJ16" s="729"/>
      <c r="DK16" s="17"/>
      <c r="DO16" s="18"/>
      <c r="DP16" s="17"/>
      <c r="DS16" s="18"/>
      <c r="DT16" s="17"/>
      <c r="DX16" s="18"/>
      <c r="DY16" s="17"/>
      <c r="EB16" s="18"/>
      <c r="EC16" s="17"/>
      <c r="EF16" s="18"/>
      <c r="EG16" s="17"/>
      <c r="EK16" s="18"/>
      <c r="EL16" s="17"/>
      <c r="EO16" s="18"/>
      <c r="EP16" s="17"/>
      <c r="ES16" s="18"/>
      <c r="ET16" s="17"/>
      <c r="EX16" s="18"/>
      <c r="EY16" s="17"/>
      <c r="FB16" s="18"/>
    </row>
    <row r="17" spans="1:158" ht="32" customHeight="1" x14ac:dyDescent="0.2">
      <c r="A17" s="1134" t="s">
        <v>37</v>
      </c>
      <c r="B17" s="1136" t="s">
        <v>38</v>
      </c>
      <c r="C17" s="1137"/>
      <c r="D17" s="1137"/>
      <c r="E17" s="1138"/>
      <c r="F17" s="1150" t="s">
        <v>39</v>
      </c>
      <c r="G17" s="1150"/>
      <c r="H17" s="1151">
        <v>45989</v>
      </c>
      <c r="I17" s="1152"/>
      <c r="V17" s="14"/>
      <c r="BB17" s="728"/>
      <c r="BE17" s="728"/>
      <c r="BG17" s="728"/>
      <c r="BJ17" s="728"/>
      <c r="BM17" s="728"/>
      <c r="BO17" s="728"/>
      <c r="BR17" s="728"/>
      <c r="BY17" s="17"/>
      <c r="CC17" s="17"/>
      <c r="CD17" s="30"/>
      <c r="CE17" s="30"/>
      <c r="CF17" s="33"/>
      <c r="CG17" s="17"/>
      <c r="CH17" s="30"/>
      <c r="CI17" s="320"/>
      <c r="CJ17" s="30"/>
      <c r="CK17" s="18"/>
      <c r="CL17" s="32">
        <v>45968</v>
      </c>
      <c r="CN17" s="434">
        <v>45976</v>
      </c>
      <c r="CO17" s="33">
        <v>45987</v>
      </c>
      <c r="CP17" s="26">
        <v>45994</v>
      </c>
      <c r="CQ17" s="30"/>
      <c r="CT17" s="17"/>
      <c r="CX17" s="18"/>
      <c r="DB17" s="18"/>
      <c r="DC17" s="17"/>
      <c r="DF17" s="18"/>
      <c r="DG17" s="17"/>
      <c r="DJ17" s="729"/>
      <c r="DK17" s="17"/>
      <c r="DO17" s="18"/>
      <c r="DP17" s="17"/>
      <c r="DS17" s="18"/>
      <c r="DT17" s="17"/>
      <c r="DX17" s="18"/>
      <c r="DY17" s="17"/>
      <c r="EB17" s="18"/>
      <c r="EC17" s="17"/>
      <c r="EF17" s="18"/>
      <c r="EG17" s="17"/>
      <c r="EK17" s="18"/>
      <c r="EL17" s="17"/>
      <c r="EO17" s="18"/>
      <c r="EP17" s="17"/>
      <c r="ES17" s="18"/>
      <c r="ET17" s="17"/>
      <c r="EX17" s="18"/>
      <c r="EY17" s="17"/>
      <c r="FB17" s="18"/>
    </row>
    <row r="18" spans="1:158" ht="32" customHeight="1" x14ac:dyDescent="0.2">
      <c r="A18" s="1146"/>
      <c r="B18" s="1147"/>
      <c r="C18" s="1148"/>
      <c r="D18" s="1148"/>
      <c r="E18" s="1149"/>
      <c r="F18" s="1110" t="s">
        <v>40</v>
      </c>
      <c r="G18" s="1110"/>
      <c r="H18" s="1153"/>
      <c r="I18" s="1154"/>
      <c r="V18" s="14"/>
      <c r="BB18" s="728"/>
      <c r="BE18" s="728"/>
      <c r="BG18" s="728"/>
      <c r="BJ18" s="728"/>
      <c r="BM18" s="728"/>
      <c r="BO18" s="728"/>
      <c r="BR18" s="728"/>
      <c r="BY18" s="17"/>
      <c r="CC18" s="17"/>
      <c r="CD18" s="30"/>
      <c r="CE18" s="30"/>
      <c r="CF18" s="33"/>
      <c r="CG18" s="17"/>
      <c r="CH18" s="30"/>
      <c r="CI18" s="320"/>
      <c r="CJ18" s="30"/>
      <c r="CK18" s="18"/>
      <c r="CL18" s="32"/>
      <c r="CM18" s="35">
        <v>45971</v>
      </c>
      <c r="CO18" s="33"/>
      <c r="CP18" s="17"/>
      <c r="CQ18" s="30"/>
      <c r="CR18" s="26">
        <v>46005</v>
      </c>
      <c r="CT18" s="17"/>
      <c r="CX18" s="18"/>
      <c r="DB18" s="18"/>
      <c r="DC18" s="17"/>
      <c r="DF18" s="18"/>
      <c r="DG18" s="17"/>
      <c r="DJ18" s="729"/>
      <c r="DK18" s="17"/>
      <c r="DO18" s="18"/>
      <c r="DP18" s="17"/>
      <c r="DS18" s="18"/>
      <c r="DT18" s="17"/>
      <c r="DX18" s="18"/>
      <c r="DY18" s="17"/>
      <c r="EB18" s="18"/>
      <c r="EC18" s="17"/>
      <c r="EF18" s="18"/>
      <c r="EG18" s="17"/>
      <c r="EK18" s="18"/>
      <c r="EL18" s="17"/>
      <c r="EO18" s="18"/>
      <c r="EP18" s="17"/>
      <c r="ES18" s="18"/>
      <c r="ET18" s="17"/>
      <c r="EX18" s="18"/>
      <c r="EY18" s="17"/>
      <c r="FB18" s="18"/>
    </row>
    <row r="19" spans="1:158" ht="32" customHeight="1" x14ac:dyDescent="0.2">
      <c r="A19" s="1135"/>
      <c r="B19" s="1139"/>
      <c r="C19" s="1140"/>
      <c r="D19" s="1140"/>
      <c r="E19" s="1141"/>
      <c r="F19" s="1110" t="s">
        <v>41</v>
      </c>
      <c r="G19" s="1110"/>
      <c r="H19" s="1155"/>
      <c r="I19" s="1156"/>
      <c r="V19" s="14"/>
      <c r="BB19" s="728"/>
      <c r="BE19" s="728"/>
      <c r="BG19" s="728"/>
      <c r="BJ19" s="728"/>
      <c r="BM19" s="728"/>
      <c r="BO19" s="728"/>
      <c r="BR19" s="728"/>
      <c r="BY19" s="17"/>
      <c r="CC19" s="17"/>
      <c r="CD19" s="30"/>
      <c r="CE19" s="30"/>
      <c r="CF19" s="33"/>
      <c r="CG19" s="17"/>
      <c r="CH19" s="30"/>
      <c r="CI19" s="320"/>
      <c r="CJ19" s="30"/>
      <c r="CK19" s="18"/>
      <c r="CL19" s="32"/>
      <c r="CM19" s="35">
        <v>45975</v>
      </c>
      <c r="CO19" s="33"/>
      <c r="CP19" s="17"/>
      <c r="CR19" s="26">
        <v>46008</v>
      </c>
      <c r="CT19" s="17"/>
      <c r="CX19" s="18"/>
      <c r="DB19" s="18"/>
      <c r="DC19" s="17"/>
      <c r="DF19" s="18"/>
      <c r="DG19" s="17"/>
      <c r="DJ19" s="729"/>
      <c r="DK19" s="17"/>
      <c r="DO19" s="18"/>
      <c r="DP19" s="17"/>
      <c r="DS19" s="18"/>
      <c r="DT19" s="17"/>
      <c r="DX19" s="18"/>
      <c r="DY19" s="17"/>
      <c r="EB19" s="18"/>
      <c r="EC19" s="17"/>
      <c r="EF19" s="18"/>
      <c r="EG19" s="17"/>
      <c r="EK19" s="18"/>
      <c r="EL19" s="17"/>
      <c r="EO19" s="18"/>
      <c r="EP19" s="17"/>
      <c r="ES19" s="18"/>
      <c r="ET19" s="17"/>
      <c r="EX19" s="18"/>
      <c r="EY19" s="17"/>
      <c r="FB19" s="18"/>
    </row>
    <row r="20" spans="1:158" ht="32" customHeight="1" x14ac:dyDescent="0.2">
      <c r="A20" s="338">
        <v>979</v>
      </c>
      <c r="B20" s="1144" t="s">
        <v>4</v>
      </c>
      <c r="C20" s="1157"/>
      <c r="D20" s="1157"/>
      <c r="E20" s="1145"/>
      <c r="F20" s="1144" t="s">
        <v>42</v>
      </c>
      <c r="G20" s="1145"/>
      <c r="H20" s="1142">
        <v>46040</v>
      </c>
      <c r="I20" s="1143"/>
      <c r="V20" s="14"/>
      <c r="BB20" s="728"/>
      <c r="BE20" s="728"/>
      <c r="BG20" s="728"/>
      <c r="BJ20" s="728"/>
      <c r="BM20" s="728"/>
      <c r="BO20" s="728"/>
      <c r="BR20" s="728"/>
      <c r="BY20" s="17"/>
      <c r="CC20" s="17"/>
      <c r="CD20" s="30"/>
      <c r="CE20" s="30"/>
      <c r="CF20" s="33"/>
      <c r="CG20" s="17"/>
      <c r="CH20" s="30"/>
      <c r="CI20" s="320"/>
      <c r="CK20" s="33"/>
      <c r="CL20" s="32"/>
      <c r="CM20" s="35">
        <v>45971</v>
      </c>
      <c r="CN20" s="30"/>
      <c r="CO20" s="33"/>
      <c r="CP20" s="17"/>
      <c r="CQ20" s="30"/>
      <c r="CR20" s="26">
        <v>46005</v>
      </c>
      <c r="CT20" s="32"/>
      <c r="CX20" s="18"/>
      <c r="DB20" s="18"/>
      <c r="DC20" s="17"/>
      <c r="DF20" s="18"/>
      <c r="DG20" s="17"/>
      <c r="DJ20" s="729"/>
      <c r="DK20" s="17"/>
      <c r="DO20" s="18"/>
      <c r="DP20" s="17"/>
      <c r="DS20" s="18"/>
      <c r="DT20" s="17"/>
      <c r="DX20" s="18"/>
      <c r="DY20" s="17"/>
      <c r="EB20" s="18"/>
      <c r="EC20" s="17"/>
      <c r="EF20" s="18"/>
      <c r="EG20" s="17"/>
      <c r="EK20" s="18"/>
      <c r="EL20" s="17"/>
      <c r="EO20" s="18"/>
      <c r="EP20" s="17"/>
      <c r="ES20" s="18"/>
      <c r="ET20" s="17"/>
      <c r="EX20" s="18"/>
      <c r="EY20" s="17"/>
      <c r="FB20" s="18"/>
    </row>
    <row r="21" spans="1:158" ht="32" customHeight="1" x14ac:dyDescent="0.2">
      <c r="A21" s="1134">
        <v>979</v>
      </c>
      <c r="B21" s="1158" t="s">
        <v>43</v>
      </c>
      <c r="C21" s="1159"/>
      <c r="D21" s="1159"/>
      <c r="E21" s="1160"/>
      <c r="F21" s="1144" t="s">
        <v>44</v>
      </c>
      <c r="G21" s="1145"/>
      <c r="H21" s="1151">
        <v>46040</v>
      </c>
      <c r="I21" s="1152"/>
      <c r="V21" s="14"/>
      <c r="BB21" s="728"/>
      <c r="BE21" s="728"/>
      <c r="BG21" s="728"/>
      <c r="BJ21" s="728"/>
      <c r="BM21" s="728"/>
      <c r="BO21" s="728"/>
      <c r="BR21" s="728"/>
      <c r="BY21" s="17"/>
      <c r="CC21" s="17"/>
      <c r="CD21" s="30"/>
      <c r="CE21" s="30"/>
      <c r="CF21" s="33"/>
      <c r="CG21" s="17"/>
      <c r="CH21" s="30"/>
      <c r="CI21" s="320"/>
      <c r="CK21" s="35">
        <v>45961</v>
      </c>
      <c r="CL21" s="32"/>
      <c r="CO21" s="33"/>
      <c r="CP21" s="17"/>
      <c r="CQ21" s="26">
        <v>46001</v>
      </c>
      <c r="CT21" s="17"/>
      <c r="CX21" s="18"/>
      <c r="DB21" s="18"/>
      <c r="DC21" s="17"/>
      <c r="DF21" s="18"/>
      <c r="DG21" s="17"/>
      <c r="DJ21" s="729"/>
      <c r="DK21" s="17"/>
      <c r="DO21" s="18"/>
      <c r="DP21" s="17"/>
      <c r="DS21" s="18"/>
      <c r="DT21" s="17"/>
      <c r="DX21" s="18"/>
      <c r="DY21" s="17"/>
      <c r="EB21" s="18"/>
      <c r="EC21" s="17"/>
      <c r="EF21" s="18"/>
      <c r="EG21" s="17"/>
      <c r="EK21" s="18"/>
      <c r="EL21" s="17"/>
      <c r="EO21" s="18"/>
      <c r="EP21" s="17"/>
      <c r="ES21" s="18"/>
      <c r="ET21" s="17"/>
      <c r="EX21" s="18"/>
      <c r="EY21" s="17"/>
      <c r="FB21" s="18"/>
    </row>
    <row r="22" spans="1:158" ht="32" customHeight="1" x14ac:dyDescent="0.2">
      <c r="A22" s="1146"/>
      <c r="B22" s="1161"/>
      <c r="C22" s="1162"/>
      <c r="D22" s="1162"/>
      <c r="E22" s="1163"/>
      <c r="F22" s="1144" t="s">
        <v>45</v>
      </c>
      <c r="G22" s="1145"/>
      <c r="H22" s="1153"/>
      <c r="I22" s="1154"/>
      <c r="V22" s="14"/>
      <c r="BB22" s="728"/>
      <c r="BE22" s="728"/>
      <c r="BG22" s="728"/>
      <c r="BJ22" s="728"/>
      <c r="BM22" s="728"/>
      <c r="BO22" s="728"/>
      <c r="BR22" s="728"/>
      <c r="BY22" s="17"/>
      <c r="CC22" s="17"/>
      <c r="CD22" s="30"/>
      <c r="CE22" s="30"/>
      <c r="CF22" s="33"/>
      <c r="CG22" s="17"/>
      <c r="CH22" s="30"/>
      <c r="CI22" s="320"/>
      <c r="CK22" s="33"/>
      <c r="CL22" s="32"/>
      <c r="CM22" s="30"/>
      <c r="CO22" s="321">
        <v>45987</v>
      </c>
      <c r="CP22" s="17"/>
      <c r="CQ22" s="30"/>
      <c r="CS22" s="30"/>
      <c r="CT22" s="17"/>
      <c r="CU22" s="26">
        <v>46027</v>
      </c>
      <c r="CX22" s="18"/>
      <c r="DB22" s="18"/>
      <c r="DC22" s="17"/>
      <c r="DF22" s="18"/>
      <c r="DG22" s="17"/>
      <c r="DJ22" s="729"/>
      <c r="DK22" s="17"/>
      <c r="DO22" s="18"/>
      <c r="DP22" s="17"/>
      <c r="DS22" s="18"/>
      <c r="DT22" s="17"/>
      <c r="DX22" s="18"/>
      <c r="DY22" s="17"/>
      <c r="EB22" s="18"/>
      <c r="EC22" s="17"/>
      <c r="EF22" s="18"/>
      <c r="EG22" s="17"/>
      <c r="EK22" s="18"/>
      <c r="EL22" s="17"/>
      <c r="EO22" s="18"/>
      <c r="EP22" s="17"/>
      <c r="ES22" s="18"/>
      <c r="ET22" s="17"/>
      <c r="EX22" s="18"/>
      <c r="EY22" s="17"/>
      <c r="FB22" s="18"/>
    </row>
    <row r="23" spans="1:158" ht="32" customHeight="1" x14ac:dyDescent="0.2">
      <c r="A23" s="1146"/>
      <c r="B23" s="1161"/>
      <c r="C23" s="1162"/>
      <c r="D23" s="1162"/>
      <c r="E23" s="1163"/>
      <c r="F23" s="1144" t="s">
        <v>46</v>
      </c>
      <c r="G23" s="1145"/>
      <c r="H23" s="1153"/>
      <c r="I23" s="1154"/>
      <c r="V23" s="14"/>
      <c r="BB23" s="728"/>
      <c r="BE23" s="728"/>
      <c r="BG23" s="728"/>
      <c r="BJ23" s="728"/>
      <c r="BM23" s="728"/>
      <c r="BO23" s="728"/>
      <c r="BR23" s="728"/>
      <c r="BY23" s="17"/>
      <c r="CC23" s="17"/>
      <c r="CD23" s="30"/>
      <c r="CE23" s="30"/>
      <c r="CF23" s="33"/>
      <c r="CG23" s="17"/>
      <c r="CH23" s="30"/>
      <c r="CI23" s="320"/>
      <c r="CK23" s="33"/>
      <c r="CL23" s="32"/>
      <c r="CN23" s="30">
        <v>45978</v>
      </c>
      <c r="CO23" s="33"/>
      <c r="CP23" s="34">
        <v>45996</v>
      </c>
      <c r="CQ23" s="30"/>
      <c r="CT23" s="32">
        <v>46020</v>
      </c>
      <c r="CV23" s="26">
        <v>46034</v>
      </c>
      <c r="CX23" s="18"/>
      <c r="DB23" s="18"/>
      <c r="DC23" s="17"/>
      <c r="DF23" s="18"/>
      <c r="DG23" s="17"/>
      <c r="DJ23" s="729"/>
      <c r="DK23" s="17"/>
      <c r="DO23" s="18"/>
      <c r="DP23" s="17"/>
      <c r="DS23" s="18"/>
      <c r="DT23" s="17"/>
      <c r="DX23" s="18"/>
      <c r="DY23" s="17"/>
      <c r="EB23" s="18"/>
      <c r="EC23" s="17"/>
      <c r="EF23" s="18"/>
      <c r="EG23" s="17"/>
      <c r="EK23" s="18"/>
      <c r="EL23" s="17"/>
      <c r="EO23" s="18"/>
      <c r="EP23" s="17"/>
      <c r="ES23" s="18"/>
      <c r="ET23" s="17"/>
      <c r="EX23" s="18"/>
      <c r="EY23" s="17"/>
      <c r="FB23" s="18"/>
    </row>
    <row r="24" spans="1:158" ht="32" customHeight="1" x14ac:dyDescent="0.2">
      <c r="A24" s="1146"/>
      <c r="B24" s="1161"/>
      <c r="C24" s="1162"/>
      <c r="D24" s="1162"/>
      <c r="E24" s="1163"/>
      <c r="F24" s="1144" t="s">
        <v>47</v>
      </c>
      <c r="G24" s="1145"/>
      <c r="H24" s="1153"/>
      <c r="I24" s="1154"/>
      <c r="V24" s="14"/>
      <c r="BB24" s="728"/>
      <c r="BE24" s="728"/>
      <c r="BG24" s="728"/>
      <c r="BJ24" s="728"/>
      <c r="BM24" s="728"/>
      <c r="BO24" s="728"/>
      <c r="BR24" s="728"/>
      <c r="BY24" s="17"/>
      <c r="CC24" s="17"/>
      <c r="CD24" s="30"/>
      <c r="CE24" s="30"/>
      <c r="CF24" s="33"/>
      <c r="CG24" s="17"/>
      <c r="CH24" s="30"/>
      <c r="CI24" s="320"/>
      <c r="CK24" s="33"/>
      <c r="CL24" s="32"/>
      <c r="CN24" s="30"/>
      <c r="CO24" s="33"/>
      <c r="CP24" s="17"/>
      <c r="CQ24" s="34">
        <v>46003</v>
      </c>
      <c r="CT24" s="32"/>
      <c r="CW24" s="26">
        <v>46042</v>
      </c>
      <c r="CX24" s="18"/>
      <c r="DB24" s="18"/>
      <c r="DC24" s="17"/>
      <c r="DF24" s="18"/>
      <c r="DG24" s="17"/>
      <c r="DJ24" s="729"/>
      <c r="DK24" s="17"/>
      <c r="DO24" s="18"/>
      <c r="DP24" s="17"/>
      <c r="DS24" s="18"/>
      <c r="DT24" s="17"/>
      <c r="DX24" s="18"/>
      <c r="DY24" s="17"/>
      <c r="EB24" s="18"/>
      <c r="EC24" s="17"/>
      <c r="EF24" s="18"/>
      <c r="EG24" s="17"/>
      <c r="EK24" s="18"/>
      <c r="EL24" s="17"/>
      <c r="EO24" s="18"/>
      <c r="EP24" s="17"/>
      <c r="ES24" s="18"/>
      <c r="ET24" s="17"/>
      <c r="EX24" s="18"/>
      <c r="EY24" s="17"/>
      <c r="FB24" s="18"/>
    </row>
    <row r="25" spans="1:158" ht="32" customHeight="1" x14ac:dyDescent="0.2">
      <c r="A25" s="1146"/>
      <c r="B25" s="1161"/>
      <c r="C25" s="1162"/>
      <c r="D25" s="1162"/>
      <c r="E25" s="1163"/>
      <c r="F25" s="1144" t="s">
        <v>48</v>
      </c>
      <c r="G25" s="1145"/>
      <c r="H25" s="1153"/>
      <c r="I25" s="1154"/>
      <c r="V25" s="14"/>
      <c r="BB25" s="728"/>
      <c r="BE25" s="728"/>
      <c r="BG25" s="728"/>
      <c r="BJ25" s="728"/>
      <c r="BM25" s="728"/>
      <c r="BO25" s="728"/>
      <c r="BR25" s="728"/>
      <c r="BY25" s="17"/>
      <c r="CC25" s="17"/>
      <c r="CD25" s="30"/>
      <c r="CE25" s="30"/>
      <c r="CF25" s="33"/>
      <c r="CG25" s="17"/>
      <c r="CH25" s="30"/>
      <c r="CI25" s="320"/>
      <c r="CK25" s="33"/>
      <c r="CL25" s="32"/>
      <c r="CN25" s="30"/>
      <c r="CO25" s="33"/>
      <c r="CP25" s="17"/>
      <c r="CQ25" s="30"/>
      <c r="CR25" s="34">
        <v>46010</v>
      </c>
      <c r="CT25" s="32"/>
      <c r="CX25" s="170">
        <v>46050</v>
      </c>
      <c r="DB25" s="18"/>
      <c r="DC25" s="17"/>
      <c r="DF25" s="18"/>
      <c r="DG25" s="17"/>
      <c r="DJ25" s="729"/>
      <c r="DK25" s="17"/>
      <c r="DO25" s="18"/>
      <c r="DP25" s="17"/>
      <c r="DS25" s="18"/>
      <c r="DT25" s="17"/>
      <c r="DX25" s="18"/>
      <c r="DY25" s="17"/>
      <c r="EB25" s="18"/>
      <c r="EC25" s="17"/>
      <c r="EF25" s="18"/>
      <c r="EG25" s="17"/>
      <c r="EK25" s="18"/>
      <c r="EL25" s="17"/>
      <c r="EO25" s="18"/>
      <c r="EP25" s="17"/>
      <c r="ES25" s="18"/>
      <c r="ET25" s="17"/>
      <c r="EX25" s="18"/>
      <c r="EY25" s="17"/>
      <c r="FB25" s="18"/>
    </row>
    <row r="26" spans="1:158" ht="32" customHeight="1" x14ac:dyDescent="0.2">
      <c r="A26" s="1146"/>
      <c r="B26" s="1161"/>
      <c r="C26" s="1162"/>
      <c r="D26" s="1162"/>
      <c r="E26" s="1163"/>
      <c r="F26" s="1144" t="s">
        <v>48</v>
      </c>
      <c r="G26" s="1145"/>
      <c r="H26" s="1153"/>
      <c r="I26" s="1154"/>
      <c r="V26" s="14"/>
      <c r="BB26" s="728"/>
      <c r="BE26" s="728"/>
      <c r="BG26" s="728"/>
      <c r="BJ26" s="728"/>
      <c r="BM26" s="728"/>
      <c r="BO26" s="728"/>
      <c r="BR26" s="728"/>
      <c r="BY26" s="17"/>
      <c r="CC26" s="17"/>
      <c r="CD26" s="30"/>
      <c r="CE26" s="30"/>
      <c r="CF26" s="33"/>
      <c r="CG26" s="17"/>
      <c r="CH26" s="30"/>
      <c r="CI26" s="320"/>
      <c r="CK26" s="33"/>
      <c r="CL26" s="32"/>
      <c r="CN26" s="30"/>
      <c r="CO26" s="33"/>
      <c r="CP26" s="17"/>
      <c r="CQ26" s="30"/>
      <c r="CS26" s="34">
        <v>46017</v>
      </c>
      <c r="CT26" s="32"/>
      <c r="CX26" s="33"/>
      <c r="CY26" s="26">
        <v>46059</v>
      </c>
      <c r="DB26" s="18"/>
      <c r="DC26" s="17"/>
      <c r="DF26" s="18"/>
      <c r="DG26" s="17"/>
      <c r="DJ26" s="729"/>
      <c r="DK26" s="17"/>
      <c r="DO26" s="18"/>
      <c r="DP26" s="17"/>
      <c r="DS26" s="18"/>
      <c r="DT26" s="17"/>
      <c r="DX26" s="18"/>
      <c r="DY26" s="17"/>
      <c r="EB26" s="18"/>
      <c r="EC26" s="17"/>
      <c r="EF26" s="18"/>
      <c r="EG26" s="17"/>
      <c r="EK26" s="18"/>
      <c r="EL26" s="17"/>
      <c r="EO26" s="18"/>
      <c r="EP26" s="17"/>
      <c r="ES26" s="18"/>
      <c r="ET26" s="17"/>
      <c r="EX26" s="18"/>
      <c r="EY26" s="17"/>
      <c r="FB26" s="18"/>
    </row>
    <row r="27" spans="1:158" ht="32" customHeight="1" x14ac:dyDescent="0.2">
      <c r="A27" s="1135"/>
      <c r="B27" s="1164"/>
      <c r="C27" s="1165"/>
      <c r="D27" s="1165"/>
      <c r="E27" s="1166"/>
      <c r="F27" s="1144" t="s">
        <v>49</v>
      </c>
      <c r="G27" s="1145"/>
      <c r="H27" s="1155"/>
      <c r="I27" s="1156"/>
      <c r="V27" s="14"/>
      <c r="BB27" s="728"/>
      <c r="BE27" s="728"/>
      <c r="BG27" s="728"/>
      <c r="BJ27" s="728"/>
      <c r="BM27" s="728"/>
      <c r="BO27" s="728"/>
      <c r="BR27" s="728"/>
      <c r="BY27" s="17"/>
      <c r="CC27" s="17"/>
      <c r="CD27" s="30"/>
      <c r="CE27" s="30"/>
      <c r="CF27" s="33"/>
      <c r="CG27" s="17"/>
      <c r="CH27" s="30"/>
      <c r="CI27" s="320"/>
      <c r="CK27" s="33"/>
      <c r="CL27" s="32"/>
      <c r="CN27" s="30"/>
      <c r="CO27" s="33"/>
      <c r="CP27" s="17"/>
      <c r="CQ27" s="30"/>
      <c r="CR27" s="30"/>
      <c r="CT27" s="171">
        <v>46022</v>
      </c>
      <c r="CX27" s="33"/>
      <c r="CZ27" s="26">
        <v>46064</v>
      </c>
      <c r="DB27" s="18"/>
      <c r="DC27" s="17"/>
      <c r="DF27" s="18"/>
      <c r="DG27" s="17"/>
      <c r="DJ27" s="729"/>
      <c r="DK27" s="17"/>
      <c r="DO27" s="18"/>
      <c r="DP27" s="17"/>
      <c r="DS27" s="18"/>
      <c r="DT27" s="17"/>
      <c r="DX27" s="18"/>
      <c r="DY27" s="17"/>
      <c r="EB27" s="18"/>
      <c r="EC27" s="17"/>
      <c r="EF27" s="18"/>
      <c r="EG27" s="17"/>
      <c r="EK27" s="18"/>
      <c r="EL27" s="17"/>
      <c r="EO27" s="18"/>
      <c r="EP27" s="17"/>
      <c r="ES27" s="18"/>
      <c r="ET27" s="17"/>
      <c r="EX27" s="18"/>
      <c r="EY27" s="17"/>
      <c r="FB27" s="18"/>
    </row>
    <row r="28" spans="1:158" ht="32" customHeight="1" x14ac:dyDescent="0.2">
      <c r="A28" s="338"/>
      <c r="B28" s="1144" t="s">
        <v>34</v>
      </c>
      <c r="C28" s="1157"/>
      <c r="D28" s="1157"/>
      <c r="E28" s="1145"/>
      <c r="F28" s="1144" t="s">
        <v>50</v>
      </c>
      <c r="G28" s="1145"/>
      <c r="H28" s="1142" t="s">
        <v>51</v>
      </c>
      <c r="I28" s="1143"/>
      <c r="V28" s="14"/>
      <c r="BB28" s="728"/>
      <c r="BE28" s="728"/>
      <c r="BG28" s="728"/>
      <c r="BJ28" s="728"/>
      <c r="BM28" s="728"/>
      <c r="BO28" s="728"/>
      <c r="BR28" s="728"/>
      <c r="BY28" s="17"/>
      <c r="CC28" s="17"/>
      <c r="CD28" s="30"/>
      <c r="CE28" s="30"/>
      <c r="CF28" s="33"/>
      <c r="CG28" s="17"/>
      <c r="CH28" s="30"/>
      <c r="CI28" s="320"/>
      <c r="CK28" s="33"/>
      <c r="CL28" s="32"/>
      <c r="CM28" s="35">
        <v>45971</v>
      </c>
      <c r="CO28" s="33"/>
      <c r="CP28" s="17"/>
      <c r="CQ28" s="29"/>
      <c r="CR28" s="26">
        <v>46006</v>
      </c>
      <c r="CT28" s="32"/>
      <c r="CX28" s="18"/>
      <c r="DB28" s="18"/>
      <c r="DC28" s="17"/>
      <c r="DF28" s="18"/>
      <c r="DG28" s="17"/>
      <c r="DJ28" s="729"/>
      <c r="DK28" s="17"/>
      <c r="DO28" s="18"/>
      <c r="DP28" s="17"/>
      <c r="DS28" s="18"/>
      <c r="DT28" s="17"/>
      <c r="DX28" s="18"/>
      <c r="DY28" s="17"/>
      <c r="EB28" s="18"/>
      <c r="EC28" s="17"/>
      <c r="EF28" s="18"/>
      <c r="EG28" s="17"/>
      <c r="EK28" s="18"/>
      <c r="EL28" s="17"/>
      <c r="EO28" s="18"/>
      <c r="EP28" s="17"/>
      <c r="ES28" s="18"/>
      <c r="ET28" s="17"/>
      <c r="EX28" s="18"/>
      <c r="EY28" s="17"/>
      <c r="FB28" s="18"/>
    </row>
    <row r="29" spans="1:158" ht="32" customHeight="1" x14ac:dyDescent="0.2">
      <c r="A29" s="1134" t="s">
        <v>52</v>
      </c>
      <c r="B29" s="1136" t="s">
        <v>53</v>
      </c>
      <c r="C29" s="1137"/>
      <c r="D29" s="1137"/>
      <c r="E29" s="1138"/>
      <c r="F29" s="1150" t="s">
        <v>54</v>
      </c>
      <c r="G29" s="1150"/>
      <c r="H29" s="1151"/>
      <c r="I29" s="1152"/>
      <c r="V29" s="14"/>
      <c r="BB29" s="728"/>
      <c r="BE29" s="728"/>
      <c r="BG29" s="728"/>
      <c r="BJ29" s="728"/>
      <c r="BM29" s="728"/>
      <c r="BO29" s="728"/>
      <c r="BR29" s="728"/>
      <c r="BY29" s="17"/>
      <c r="CC29" s="17"/>
      <c r="CD29" s="30"/>
      <c r="CE29" s="30"/>
      <c r="CF29" s="33"/>
      <c r="CG29" s="17"/>
      <c r="CH29" s="30"/>
      <c r="CI29" s="320"/>
      <c r="CJ29" s="30"/>
      <c r="CK29" s="18"/>
      <c r="CL29" s="32"/>
      <c r="CM29" s="732"/>
      <c r="CN29" s="434" t="s">
        <v>55</v>
      </c>
      <c r="CO29" s="733"/>
      <c r="CP29" s="26">
        <v>45994</v>
      </c>
      <c r="CQ29" s="143"/>
      <c r="CR29" s="732"/>
      <c r="CS29" s="30"/>
      <c r="CT29" s="17"/>
      <c r="CU29" s="320"/>
      <c r="CX29" s="18"/>
      <c r="DB29" s="18"/>
      <c r="DC29" s="17"/>
      <c r="DF29" s="18"/>
      <c r="DG29" s="17"/>
      <c r="DJ29" s="729"/>
      <c r="DK29" s="17"/>
      <c r="DO29" s="18"/>
      <c r="DP29" s="17"/>
      <c r="DS29" s="18"/>
      <c r="DT29" s="17"/>
      <c r="DX29" s="18"/>
      <c r="DY29" s="17"/>
      <c r="EB29" s="18"/>
      <c r="EC29" s="17"/>
      <c r="EF29" s="18"/>
      <c r="EG29" s="17"/>
      <c r="EK29" s="18"/>
      <c r="EL29" s="17"/>
      <c r="EO29" s="18"/>
      <c r="EP29" s="17"/>
      <c r="ES29" s="18"/>
      <c r="ET29" s="17"/>
      <c r="EX29" s="18"/>
      <c r="EY29" s="17"/>
      <c r="FB29" s="18"/>
    </row>
    <row r="30" spans="1:158" ht="32" customHeight="1" x14ac:dyDescent="0.2">
      <c r="A30" s="1146"/>
      <c r="B30" s="1147"/>
      <c r="C30" s="1148"/>
      <c r="D30" s="1148"/>
      <c r="E30" s="1149"/>
      <c r="F30" s="1110" t="s">
        <v>56</v>
      </c>
      <c r="G30" s="1110"/>
      <c r="H30" s="1153"/>
      <c r="I30" s="1154"/>
      <c r="V30" s="14"/>
      <c r="BB30" s="728"/>
      <c r="BE30" s="728"/>
      <c r="BG30" s="728"/>
      <c r="BJ30" s="728"/>
      <c r="BM30" s="728"/>
      <c r="BO30" s="728"/>
      <c r="BR30" s="728"/>
      <c r="BY30" s="17"/>
      <c r="CC30" s="17"/>
      <c r="CD30" s="30"/>
      <c r="CE30" s="30"/>
      <c r="CF30" s="33"/>
      <c r="CG30" s="17"/>
      <c r="CH30" s="30"/>
      <c r="CI30" s="320"/>
      <c r="CJ30" s="30"/>
      <c r="CK30" s="18"/>
      <c r="CL30" s="32"/>
      <c r="CM30" s="732"/>
      <c r="CN30" s="143"/>
      <c r="CO30" s="435">
        <v>45987</v>
      </c>
      <c r="CP30" s="156"/>
      <c r="CQ30" s="143"/>
      <c r="CR30" s="732"/>
      <c r="CT30" s="31">
        <v>46026</v>
      </c>
      <c r="CU30" s="29"/>
      <c r="CX30" s="18"/>
      <c r="DB30" s="18"/>
      <c r="DC30" s="17"/>
      <c r="DF30" s="18"/>
      <c r="DG30" s="17"/>
      <c r="DJ30" s="729"/>
      <c r="DK30" s="17"/>
      <c r="DO30" s="18"/>
      <c r="DP30" s="17"/>
      <c r="DS30" s="18"/>
      <c r="DT30" s="17"/>
      <c r="DX30" s="18"/>
      <c r="DY30" s="17"/>
      <c r="EB30" s="18"/>
      <c r="EC30" s="17"/>
      <c r="EF30" s="18"/>
      <c r="EG30" s="17"/>
      <c r="EK30" s="18"/>
      <c r="EL30" s="17"/>
      <c r="EO30" s="18"/>
      <c r="EP30" s="17"/>
      <c r="ES30" s="18"/>
      <c r="ET30" s="17"/>
      <c r="EX30" s="18"/>
      <c r="EY30" s="17"/>
      <c r="FB30" s="18"/>
    </row>
    <row r="31" spans="1:158" ht="32" customHeight="1" x14ac:dyDescent="0.2">
      <c r="A31" s="1135"/>
      <c r="B31" s="1139"/>
      <c r="C31" s="1140"/>
      <c r="D31" s="1140"/>
      <c r="E31" s="1141"/>
      <c r="F31" s="1110" t="s">
        <v>57</v>
      </c>
      <c r="G31" s="1110"/>
      <c r="H31" s="1155"/>
      <c r="I31" s="1156"/>
      <c r="V31" s="14"/>
      <c r="BB31" s="728"/>
      <c r="BE31" s="728"/>
      <c r="BG31" s="728"/>
      <c r="BJ31" s="728"/>
      <c r="BM31" s="728"/>
      <c r="BO31" s="728"/>
      <c r="BR31" s="728"/>
      <c r="BY31" s="17"/>
      <c r="CC31" s="17"/>
      <c r="CD31" s="30"/>
      <c r="CE31" s="30"/>
      <c r="CF31" s="33"/>
      <c r="CG31" s="17"/>
      <c r="CH31" s="30"/>
      <c r="CI31" s="320"/>
      <c r="CJ31" s="30"/>
      <c r="CK31" s="18"/>
      <c r="CL31" s="32"/>
      <c r="CM31" s="732"/>
      <c r="CN31" s="143"/>
      <c r="CO31" s="435">
        <v>45989</v>
      </c>
      <c r="CP31" s="156"/>
      <c r="CQ31" s="143"/>
      <c r="CR31" s="732"/>
      <c r="CT31" s="31">
        <v>46026</v>
      </c>
      <c r="CU31" s="29"/>
      <c r="CX31" s="18"/>
      <c r="DB31" s="18"/>
      <c r="DC31" s="17"/>
      <c r="DF31" s="18"/>
      <c r="DG31" s="17"/>
      <c r="DJ31" s="729"/>
      <c r="DK31" s="17"/>
      <c r="DO31" s="18"/>
      <c r="DP31" s="17"/>
      <c r="DS31" s="18"/>
      <c r="DT31" s="17"/>
      <c r="DX31" s="18"/>
      <c r="DY31" s="17"/>
      <c r="EB31" s="18"/>
      <c r="EC31" s="17"/>
      <c r="EF31" s="18"/>
      <c r="EG31" s="17"/>
      <c r="EK31" s="18"/>
      <c r="EL31" s="17"/>
      <c r="EO31" s="18"/>
      <c r="EP31" s="17"/>
      <c r="ES31" s="18"/>
      <c r="ET31" s="17"/>
      <c r="EX31" s="18"/>
      <c r="EY31" s="17"/>
      <c r="FB31" s="18"/>
    </row>
    <row r="32" spans="1:158" ht="32" customHeight="1" x14ac:dyDescent="0.2">
      <c r="A32" s="338"/>
      <c r="B32" s="1144" t="s">
        <v>58</v>
      </c>
      <c r="C32" s="1157"/>
      <c r="D32" s="1157"/>
      <c r="E32" s="1145"/>
      <c r="F32" s="1144" t="s">
        <v>59</v>
      </c>
      <c r="G32" s="1145"/>
      <c r="H32" s="1142"/>
      <c r="I32" s="1143"/>
      <c r="V32" s="14"/>
      <c r="BB32" s="728"/>
      <c r="BE32" s="728"/>
      <c r="BG32" s="728"/>
      <c r="BJ32" s="728"/>
      <c r="BM32" s="728"/>
      <c r="BO32" s="728"/>
      <c r="BR32" s="728"/>
      <c r="BY32" s="17"/>
      <c r="CC32" s="17"/>
      <c r="CD32" s="30"/>
      <c r="CE32" s="30"/>
      <c r="CF32" s="33"/>
      <c r="CG32" s="17"/>
      <c r="CH32" s="30"/>
      <c r="CI32" s="320"/>
      <c r="CK32" s="33"/>
      <c r="CL32" s="323"/>
      <c r="CO32" s="435">
        <v>45987</v>
      </c>
      <c r="CP32" s="156"/>
      <c r="CQ32" s="143"/>
      <c r="CR32" s="732"/>
      <c r="CT32" s="31">
        <v>46026</v>
      </c>
      <c r="CU32" s="29"/>
      <c r="CX32" s="18"/>
      <c r="DB32" s="18"/>
      <c r="DC32" s="17"/>
      <c r="DF32" s="18"/>
      <c r="DG32" s="17"/>
      <c r="DJ32" s="729"/>
      <c r="DK32" s="17"/>
      <c r="DO32" s="18"/>
      <c r="DP32" s="17"/>
      <c r="DS32" s="18"/>
      <c r="DT32" s="17"/>
      <c r="DX32" s="18"/>
      <c r="DY32" s="17"/>
      <c r="EB32" s="18"/>
      <c r="EC32" s="17"/>
      <c r="EF32" s="18"/>
      <c r="EG32" s="17"/>
      <c r="EK32" s="18"/>
      <c r="EL32" s="17"/>
      <c r="EO32" s="18"/>
      <c r="EP32" s="17"/>
      <c r="ES32" s="18"/>
      <c r="ET32" s="17"/>
      <c r="EX32" s="18"/>
      <c r="EY32" s="17"/>
      <c r="FB32" s="18"/>
    </row>
    <row r="33" spans="1:158" ht="42.75" customHeight="1" x14ac:dyDescent="0.2">
      <c r="A33" s="1134"/>
      <c r="B33" s="1158" t="s">
        <v>60</v>
      </c>
      <c r="C33" s="1159"/>
      <c r="D33" s="1159"/>
      <c r="E33" s="1160"/>
      <c r="F33" s="1168" t="s">
        <v>61</v>
      </c>
      <c r="G33" s="1169"/>
      <c r="H33" s="1151" t="s">
        <v>36</v>
      </c>
      <c r="I33" s="1152"/>
      <c r="V33" s="14"/>
      <c r="BB33" s="728"/>
      <c r="BE33" s="728"/>
      <c r="BG33" s="728"/>
      <c r="BJ33" s="728"/>
      <c r="BM33" s="728"/>
      <c r="BO33" s="728"/>
      <c r="BR33" s="728"/>
      <c r="BY33" s="17"/>
      <c r="CC33" s="17"/>
      <c r="CD33" s="30"/>
      <c r="CE33" s="30"/>
      <c r="CF33" s="33"/>
      <c r="CG33" s="17"/>
      <c r="CH33" s="30"/>
      <c r="CI33" s="320"/>
      <c r="CK33" s="33"/>
      <c r="CL33" s="323"/>
      <c r="CO33" s="33"/>
      <c r="CP33" s="156"/>
      <c r="CQ33" s="143"/>
      <c r="CR33" s="1167">
        <v>46005</v>
      </c>
      <c r="CS33" s="1129">
        <v>46012</v>
      </c>
      <c r="CT33" s="32"/>
      <c r="CU33" s="29"/>
      <c r="CX33" s="18"/>
      <c r="DB33" s="18"/>
      <c r="DC33" s="17"/>
      <c r="DF33" s="18"/>
      <c r="DG33" s="17"/>
      <c r="DJ33" s="729"/>
      <c r="DK33" s="17"/>
      <c r="DO33" s="18"/>
      <c r="DP33" s="17"/>
      <c r="DS33" s="18"/>
      <c r="DT33" s="17"/>
      <c r="DX33" s="18"/>
      <c r="DY33" s="17"/>
      <c r="EB33" s="18"/>
      <c r="EC33" s="17"/>
      <c r="EF33" s="18"/>
      <c r="EG33" s="17"/>
      <c r="EK33" s="18"/>
      <c r="EL33" s="17"/>
      <c r="EO33" s="18"/>
      <c r="EP33" s="17"/>
      <c r="ES33" s="18"/>
      <c r="ET33" s="17"/>
      <c r="EX33" s="18"/>
      <c r="EY33" s="17"/>
      <c r="FB33" s="18"/>
    </row>
    <row r="34" spans="1:158" ht="42.75" customHeight="1" x14ac:dyDescent="0.2">
      <c r="A34" s="1146"/>
      <c r="B34" s="1161"/>
      <c r="C34" s="1162"/>
      <c r="D34" s="1162"/>
      <c r="E34" s="1163"/>
      <c r="F34" s="1168" t="s">
        <v>62</v>
      </c>
      <c r="G34" s="1169"/>
      <c r="H34" s="1153"/>
      <c r="I34" s="1154"/>
      <c r="V34" s="14"/>
      <c r="BB34" s="728"/>
      <c r="BE34" s="728"/>
      <c r="BG34" s="728"/>
      <c r="BJ34" s="728"/>
      <c r="BM34" s="728"/>
      <c r="BO34" s="728"/>
      <c r="BR34" s="728"/>
      <c r="BY34" s="17"/>
      <c r="CC34" s="17"/>
      <c r="CD34" s="30"/>
      <c r="CE34" s="30"/>
      <c r="CF34" s="33"/>
      <c r="CG34" s="17"/>
      <c r="CH34" s="30"/>
      <c r="CI34" s="320"/>
      <c r="CK34" s="33"/>
      <c r="CL34" s="323"/>
      <c r="CO34" s="33"/>
      <c r="CP34" s="156"/>
      <c r="CQ34" s="143"/>
      <c r="CR34" s="1167"/>
      <c r="CS34" s="1129"/>
      <c r="CT34" s="32"/>
      <c r="CU34" s="29"/>
      <c r="CX34" s="18"/>
      <c r="DB34" s="18"/>
      <c r="DC34" s="17"/>
      <c r="DF34" s="18"/>
      <c r="DG34" s="17"/>
      <c r="DJ34" s="729"/>
      <c r="DK34" s="17"/>
      <c r="DO34" s="18"/>
      <c r="DP34" s="17"/>
      <c r="DS34" s="18"/>
      <c r="DT34" s="17"/>
      <c r="DX34" s="18"/>
      <c r="DY34" s="17"/>
      <c r="EB34" s="18"/>
      <c r="EC34" s="17"/>
      <c r="EF34" s="18"/>
      <c r="EG34" s="17"/>
      <c r="EK34" s="18"/>
      <c r="EL34" s="17"/>
      <c r="EO34" s="18"/>
      <c r="EP34" s="17"/>
      <c r="ES34" s="18"/>
      <c r="ET34" s="17"/>
      <c r="EX34" s="18"/>
      <c r="EY34" s="17"/>
      <c r="FB34" s="18"/>
    </row>
    <row r="35" spans="1:158" ht="42.75" customHeight="1" x14ac:dyDescent="0.2">
      <c r="A35" s="1146"/>
      <c r="B35" s="1161"/>
      <c r="C35" s="1162"/>
      <c r="D35" s="1162"/>
      <c r="E35" s="1163"/>
      <c r="F35" s="1168" t="s">
        <v>63</v>
      </c>
      <c r="G35" s="1169"/>
      <c r="H35" s="1153"/>
      <c r="I35" s="1154"/>
      <c r="V35" s="14"/>
      <c r="BB35" s="728"/>
      <c r="BE35" s="728"/>
      <c r="BG35" s="728"/>
      <c r="BJ35" s="728"/>
      <c r="BM35" s="728"/>
      <c r="BO35" s="728"/>
      <c r="BR35" s="728"/>
      <c r="BY35" s="17"/>
      <c r="CC35" s="17"/>
      <c r="CD35" s="30"/>
      <c r="CE35" s="30"/>
      <c r="CF35" s="33"/>
      <c r="CG35" s="17"/>
      <c r="CH35" s="30"/>
      <c r="CI35" s="320"/>
      <c r="CK35" s="33"/>
      <c r="CL35" s="323"/>
      <c r="CO35" s="33"/>
      <c r="CP35" s="156"/>
      <c r="CQ35" s="143"/>
      <c r="CR35" s="1167"/>
      <c r="CS35" s="1129"/>
      <c r="CT35" s="32"/>
      <c r="CU35" s="29"/>
      <c r="CX35" s="18"/>
      <c r="DB35" s="18"/>
      <c r="DC35" s="17"/>
      <c r="DF35" s="18"/>
      <c r="DG35" s="17"/>
      <c r="DJ35" s="729"/>
      <c r="DK35" s="17"/>
      <c r="DO35" s="18"/>
      <c r="DP35" s="17"/>
      <c r="DS35" s="18"/>
      <c r="DT35" s="17"/>
      <c r="DX35" s="18"/>
      <c r="DY35" s="17"/>
      <c r="EB35" s="18"/>
      <c r="EC35" s="17"/>
      <c r="EF35" s="18"/>
      <c r="EG35" s="17"/>
      <c r="EK35" s="18"/>
      <c r="EL35" s="17"/>
      <c r="EO35" s="18"/>
      <c r="EP35" s="17"/>
      <c r="ES35" s="18"/>
      <c r="ET35" s="17"/>
      <c r="EX35" s="18"/>
      <c r="EY35" s="17"/>
      <c r="FB35" s="18"/>
    </row>
    <row r="36" spans="1:158" ht="42.75" customHeight="1" x14ac:dyDescent="0.2">
      <c r="A36" s="1146"/>
      <c r="B36" s="1161"/>
      <c r="C36" s="1162"/>
      <c r="D36" s="1162"/>
      <c r="E36" s="1163"/>
      <c r="F36" s="1144" t="s">
        <v>64</v>
      </c>
      <c r="G36" s="1145"/>
      <c r="H36" s="1153"/>
      <c r="I36" s="1154"/>
      <c r="V36" s="14"/>
      <c r="BB36" s="728"/>
      <c r="BE36" s="728"/>
      <c r="BG36" s="728"/>
      <c r="BJ36" s="728"/>
      <c r="BM36" s="728"/>
      <c r="BO36" s="728"/>
      <c r="BR36" s="728"/>
      <c r="BY36" s="17"/>
      <c r="CC36" s="17"/>
      <c r="CD36" s="30"/>
      <c r="CE36" s="30"/>
      <c r="CF36" s="33"/>
      <c r="CG36" s="17"/>
      <c r="CH36" s="30"/>
      <c r="CI36" s="320"/>
      <c r="CK36" s="33"/>
      <c r="CL36" s="323"/>
      <c r="CO36" s="33"/>
      <c r="CP36" s="156"/>
      <c r="CQ36" s="143"/>
      <c r="CR36" s="30"/>
      <c r="CS36" s="30"/>
      <c r="CT36" s="32"/>
      <c r="CU36" s="29"/>
      <c r="CV36" s="1170">
        <v>46038</v>
      </c>
      <c r="CX36" s="18"/>
      <c r="DA36" s="1129">
        <v>46073</v>
      </c>
      <c r="DB36" s="18"/>
      <c r="DC36" s="17"/>
      <c r="DF36" s="18"/>
      <c r="DG36" s="17"/>
      <c r="DJ36" s="729"/>
      <c r="DK36" s="17"/>
      <c r="DO36" s="18"/>
      <c r="DP36" s="17"/>
      <c r="DS36" s="18"/>
      <c r="DT36" s="17"/>
      <c r="DX36" s="18"/>
      <c r="DY36" s="17"/>
      <c r="EB36" s="18"/>
      <c r="EC36" s="17"/>
      <c r="EF36" s="18"/>
      <c r="EG36" s="17"/>
      <c r="EK36" s="18"/>
      <c r="EL36" s="17"/>
      <c r="EO36" s="18"/>
      <c r="EP36" s="17"/>
      <c r="ES36" s="18"/>
      <c r="ET36" s="17"/>
      <c r="EX36" s="18"/>
      <c r="EY36" s="17"/>
      <c r="FB36" s="18"/>
    </row>
    <row r="37" spans="1:158" ht="42.75" customHeight="1" x14ac:dyDescent="0.2">
      <c r="A37" s="1146"/>
      <c r="B37" s="1161"/>
      <c r="C37" s="1162"/>
      <c r="D37" s="1162"/>
      <c r="E37" s="1163"/>
      <c r="F37" s="1144" t="s">
        <v>65</v>
      </c>
      <c r="G37" s="1145"/>
      <c r="H37" s="1153"/>
      <c r="I37" s="1154"/>
      <c r="V37" s="14"/>
      <c r="BB37" s="728"/>
      <c r="BE37" s="728"/>
      <c r="BG37" s="728"/>
      <c r="BJ37" s="728"/>
      <c r="BM37" s="728"/>
      <c r="BO37" s="728"/>
      <c r="BR37" s="728"/>
      <c r="BY37" s="17"/>
      <c r="CC37" s="17"/>
      <c r="CD37" s="30"/>
      <c r="CE37" s="30"/>
      <c r="CF37" s="33"/>
      <c r="CG37" s="17"/>
      <c r="CH37" s="30"/>
      <c r="CI37" s="320"/>
      <c r="CK37" s="33"/>
      <c r="CL37" s="323"/>
      <c r="CO37" s="33"/>
      <c r="CP37" s="156"/>
      <c r="CQ37" s="143"/>
      <c r="CR37" s="30"/>
      <c r="CS37" s="30"/>
      <c r="CT37" s="32"/>
      <c r="CU37" s="29"/>
      <c r="CV37" s="1170"/>
      <c r="CX37" s="18"/>
      <c r="DA37" s="1129"/>
      <c r="DB37" s="18"/>
      <c r="DC37" s="17"/>
      <c r="DF37" s="18"/>
      <c r="DG37" s="17"/>
      <c r="DJ37" s="729"/>
      <c r="DK37" s="17"/>
      <c r="DO37" s="18"/>
      <c r="DP37" s="17"/>
      <c r="DS37" s="18"/>
      <c r="DT37" s="17"/>
      <c r="DX37" s="18"/>
      <c r="DY37" s="17"/>
      <c r="EB37" s="18"/>
      <c r="EC37" s="17"/>
      <c r="EF37" s="18"/>
      <c r="EG37" s="17"/>
      <c r="EK37" s="18"/>
      <c r="EL37" s="17"/>
      <c r="EO37" s="18"/>
      <c r="EP37" s="17"/>
      <c r="ES37" s="18"/>
      <c r="ET37" s="17"/>
      <c r="EX37" s="18"/>
      <c r="EY37" s="17"/>
      <c r="FB37" s="18"/>
    </row>
    <row r="38" spans="1:158" ht="42.75" customHeight="1" x14ac:dyDescent="0.2">
      <c r="A38" s="1135"/>
      <c r="B38" s="1164"/>
      <c r="C38" s="1165"/>
      <c r="D38" s="1165"/>
      <c r="E38" s="1166"/>
      <c r="F38" s="1144" t="s">
        <v>66</v>
      </c>
      <c r="G38" s="1145"/>
      <c r="H38" s="1155"/>
      <c r="I38" s="1156"/>
      <c r="V38" s="14"/>
      <c r="BB38" s="728"/>
      <c r="BE38" s="728"/>
      <c r="BG38" s="728"/>
      <c r="BJ38" s="728"/>
      <c r="BM38" s="728"/>
      <c r="BO38" s="728"/>
      <c r="BR38" s="728"/>
      <c r="BY38" s="17"/>
      <c r="CC38" s="17"/>
      <c r="CD38" s="30"/>
      <c r="CE38" s="30"/>
      <c r="CF38" s="33"/>
      <c r="CG38" s="17"/>
      <c r="CH38" s="30"/>
      <c r="CI38" s="320"/>
      <c r="CK38" s="33"/>
      <c r="CL38" s="323"/>
      <c r="CO38" s="33"/>
      <c r="CP38" s="156"/>
      <c r="CQ38" s="143"/>
      <c r="CR38" s="30"/>
      <c r="CS38" s="30"/>
      <c r="CT38" s="32"/>
      <c r="CU38" s="29"/>
      <c r="CV38" s="1170"/>
      <c r="CX38" s="18"/>
      <c r="DA38" s="1129"/>
      <c r="DB38" s="18"/>
      <c r="DC38" s="17"/>
      <c r="DF38" s="18"/>
      <c r="DG38" s="17"/>
      <c r="DJ38" s="729"/>
      <c r="DK38" s="17"/>
      <c r="DO38" s="18"/>
      <c r="DP38" s="17"/>
      <c r="DS38" s="18"/>
      <c r="DT38" s="17"/>
      <c r="DX38" s="18"/>
      <c r="DY38" s="17"/>
      <c r="EB38" s="18"/>
      <c r="EC38" s="17"/>
      <c r="EF38" s="18"/>
      <c r="EG38" s="17"/>
      <c r="EK38" s="18"/>
      <c r="EL38" s="17"/>
      <c r="EO38" s="18"/>
      <c r="EP38" s="17"/>
      <c r="ES38" s="18"/>
      <c r="ET38" s="17"/>
      <c r="EX38" s="18"/>
      <c r="EY38" s="17"/>
      <c r="FB38" s="18"/>
    </row>
    <row r="39" spans="1:158" ht="32" customHeight="1" x14ac:dyDescent="0.2">
      <c r="A39" s="1134" t="s">
        <v>67</v>
      </c>
      <c r="B39" s="1158" t="s">
        <v>68</v>
      </c>
      <c r="C39" s="1159"/>
      <c r="D39" s="1159"/>
      <c r="E39" s="1160"/>
      <c r="F39" s="1118" t="s">
        <v>69</v>
      </c>
      <c r="G39" s="1118"/>
      <c r="H39" s="1151">
        <v>46043</v>
      </c>
      <c r="I39" s="1152"/>
      <c r="V39" s="14"/>
      <c r="BB39" s="728"/>
      <c r="BE39" s="728"/>
      <c r="BG39" s="728"/>
      <c r="BJ39" s="728"/>
      <c r="BM39" s="728"/>
      <c r="BO39" s="728"/>
      <c r="BR39" s="728"/>
      <c r="BY39" s="17"/>
      <c r="CC39" s="17"/>
      <c r="CD39" s="30"/>
      <c r="CE39" s="30"/>
      <c r="CF39" s="33"/>
      <c r="CG39" s="17"/>
      <c r="CH39" s="30"/>
      <c r="CI39" s="320"/>
      <c r="CK39" s="33"/>
      <c r="CL39" s="323"/>
      <c r="CO39" s="433"/>
      <c r="CP39" s="17"/>
      <c r="CQ39" s="34">
        <v>46003</v>
      </c>
      <c r="CT39" s="32"/>
      <c r="CU39" s="29"/>
      <c r="CV39" s="26">
        <v>46038</v>
      </c>
      <c r="CX39" s="18"/>
      <c r="DB39" s="18"/>
      <c r="DC39" s="17"/>
      <c r="DF39" s="18"/>
      <c r="DG39" s="17"/>
      <c r="DJ39" s="729"/>
      <c r="DK39" s="17"/>
      <c r="DO39" s="18"/>
      <c r="DP39" s="17"/>
      <c r="DS39" s="18"/>
      <c r="DT39" s="17"/>
      <c r="DX39" s="18"/>
      <c r="DY39" s="17"/>
      <c r="EB39" s="18"/>
      <c r="EC39" s="17"/>
      <c r="EF39" s="18"/>
      <c r="EG39" s="17"/>
      <c r="EK39" s="18"/>
      <c r="EL39" s="17"/>
      <c r="EO39" s="18"/>
      <c r="EP39" s="17"/>
      <c r="ES39" s="18"/>
      <c r="ET39" s="17"/>
      <c r="EX39" s="18"/>
      <c r="EY39" s="17"/>
      <c r="FB39" s="18"/>
    </row>
    <row r="40" spans="1:158" ht="32" customHeight="1" x14ac:dyDescent="0.2">
      <c r="A40" s="1146"/>
      <c r="B40" s="1161"/>
      <c r="C40" s="1162"/>
      <c r="D40" s="1162"/>
      <c r="E40" s="1163"/>
      <c r="F40" s="1118" t="s">
        <v>70</v>
      </c>
      <c r="G40" s="1118"/>
      <c r="H40" s="1153"/>
      <c r="I40" s="1154"/>
      <c r="V40" s="14"/>
      <c r="BB40" s="728"/>
      <c r="BE40" s="728"/>
      <c r="BG40" s="728"/>
      <c r="BJ40" s="728"/>
      <c r="BM40" s="728"/>
      <c r="BO40" s="728"/>
      <c r="BR40" s="728"/>
      <c r="BY40" s="17"/>
      <c r="CC40" s="17"/>
      <c r="CD40" s="30"/>
      <c r="CE40" s="30"/>
      <c r="CF40" s="33"/>
      <c r="CG40" s="17"/>
      <c r="CH40" s="30"/>
      <c r="CI40" s="320"/>
      <c r="CK40" s="33"/>
      <c r="CL40" s="323"/>
      <c r="CO40" s="33"/>
      <c r="CP40" s="32"/>
      <c r="CQ40" s="29"/>
      <c r="CS40" s="34">
        <v>46017</v>
      </c>
      <c r="CT40" s="32"/>
      <c r="CU40" s="30"/>
      <c r="CV40" s="30"/>
      <c r="CX40" s="170">
        <v>46052</v>
      </c>
      <c r="DB40" s="18"/>
      <c r="DC40" s="17"/>
      <c r="DF40" s="18"/>
      <c r="DG40" s="17"/>
      <c r="DJ40" s="729"/>
      <c r="DK40" s="17"/>
      <c r="DO40" s="18"/>
      <c r="DP40" s="17"/>
      <c r="DS40" s="18"/>
      <c r="DT40" s="17"/>
      <c r="DX40" s="18"/>
      <c r="DY40" s="17"/>
      <c r="EB40" s="18"/>
      <c r="EC40" s="17"/>
      <c r="EF40" s="18"/>
      <c r="EG40" s="17"/>
      <c r="EK40" s="18"/>
      <c r="EL40" s="17"/>
      <c r="EO40" s="18"/>
      <c r="EP40" s="17"/>
      <c r="ES40" s="18"/>
      <c r="ET40" s="17"/>
      <c r="EX40" s="18"/>
      <c r="EY40" s="17"/>
      <c r="FB40" s="18"/>
    </row>
    <row r="41" spans="1:158" ht="32" customHeight="1" x14ac:dyDescent="0.2">
      <c r="A41" s="1146"/>
      <c r="B41" s="1161"/>
      <c r="C41" s="1162"/>
      <c r="D41" s="1162"/>
      <c r="E41" s="1163"/>
      <c r="F41" s="1118" t="s">
        <v>71</v>
      </c>
      <c r="G41" s="1118"/>
      <c r="H41" s="1153"/>
      <c r="I41" s="1154"/>
      <c r="V41" s="14"/>
      <c r="BB41" s="728"/>
      <c r="BE41" s="728"/>
      <c r="BG41" s="728"/>
      <c r="BJ41" s="728"/>
      <c r="BM41" s="728"/>
      <c r="BO41" s="728"/>
      <c r="BR41" s="728"/>
      <c r="BY41" s="17"/>
      <c r="CC41" s="17"/>
      <c r="CD41" s="30"/>
      <c r="CE41" s="30"/>
      <c r="CF41" s="33"/>
      <c r="CG41" s="17"/>
      <c r="CH41" s="30"/>
      <c r="CI41" s="320"/>
      <c r="CK41" s="33"/>
      <c r="CL41" s="323"/>
      <c r="CO41" s="33"/>
      <c r="CP41" s="323"/>
      <c r="CQ41" s="30">
        <v>46003</v>
      </c>
      <c r="CT41" s="32"/>
      <c r="CU41" s="34">
        <v>46031</v>
      </c>
      <c r="CV41" s="30"/>
      <c r="CW41" s="30"/>
      <c r="CX41" s="18"/>
      <c r="CZ41" s="26">
        <v>46066</v>
      </c>
      <c r="DB41" s="18"/>
      <c r="DC41" s="17"/>
      <c r="DF41" s="18"/>
      <c r="DG41" s="17"/>
      <c r="DJ41" s="729"/>
      <c r="DK41" s="17"/>
      <c r="DO41" s="18"/>
      <c r="DP41" s="17"/>
      <c r="DS41" s="18"/>
      <c r="DT41" s="17"/>
      <c r="DX41" s="18"/>
      <c r="DY41" s="17"/>
      <c r="EB41" s="18"/>
      <c r="EC41" s="17"/>
      <c r="EF41" s="18"/>
      <c r="EG41" s="17"/>
      <c r="EK41" s="18"/>
      <c r="EL41" s="17"/>
      <c r="EO41" s="18"/>
      <c r="EP41" s="17"/>
      <c r="ES41" s="18"/>
      <c r="ET41" s="17"/>
      <c r="EX41" s="18"/>
      <c r="EY41" s="17"/>
      <c r="FB41" s="18"/>
    </row>
    <row r="42" spans="1:158" ht="32" customHeight="1" x14ac:dyDescent="0.2">
      <c r="A42" s="334">
        <v>4700626667</v>
      </c>
      <c r="B42" s="1144" t="s">
        <v>72</v>
      </c>
      <c r="C42" s="1157"/>
      <c r="D42" s="1157"/>
      <c r="E42" s="1145"/>
      <c r="F42" s="1121" t="s">
        <v>73</v>
      </c>
      <c r="G42" s="1123"/>
      <c r="H42" s="1111">
        <v>46032</v>
      </c>
      <c r="I42" s="1113"/>
      <c r="V42" s="14"/>
      <c r="BB42" s="728"/>
      <c r="BE42" s="728"/>
      <c r="BG42" s="728"/>
      <c r="BJ42" s="728"/>
      <c r="BM42" s="728"/>
      <c r="BO42" s="728"/>
      <c r="BR42" s="728"/>
      <c r="BY42" s="17"/>
      <c r="CC42" s="17"/>
      <c r="CD42" s="30"/>
      <c r="CE42" s="30"/>
      <c r="CF42" s="33"/>
      <c r="CG42" s="17"/>
      <c r="CH42" s="30"/>
      <c r="CI42" s="320"/>
      <c r="CK42" s="33"/>
      <c r="CL42" s="323"/>
      <c r="CO42" s="33"/>
      <c r="CP42" s="323"/>
      <c r="CQ42" s="34">
        <v>46003</v>
      </c>
      <c r="CT42" s="32"/>
      <c r="CU42" s="29"/>
      <c r="CV42" s="26">
        <v>46038</v>
      </c>
      <c r="CX42" s="18"/>
      <c r="DB42" s="18"/>
      <c r="DC42" s="17"/>
      <c r="DF42" s="18"/>
      <c r="DG42" s="17"/>
      <c r="DJ42" s="729"/>
      <c r="DK42" s="17"/>
      <c r="DO42" s="18"/>
      <c r="DP42" s="17"/>
      <c r="DS42" s="18"/>
      <c r="DT42" s="17"/>
      <c r="DX42" s="18"/>
      <c r="DY42" s="17"/>
      <c r="EB42" s="18"/>
      <c r="EC42" s="17"/>
      <c r="EF42" s="18"/>
      <c r="EG42" s="17"/>
      <c r="EK42" s="18"/>
      <c r="EL42" s="17"/>
      <c r="EO42" s="18"/>
      <c r="EP42" s="17"/>
      <c r="ES42" s="18"/>
      <c r="ET42" s="17"/>
      <c r="EX42" s="18"/>
      <c r="EY42" s="17"/>
      <c r="FB42" s="18"/>
    </row>
    <row r="43" spans="1:158" ht="32" customHeight="1" x14ac:dyDescent="0.2">
      <c r="A43" s="334">
        <v>1047</v>
      </c>
      <c r="B43" s="1144" t="s">
        <v>74</v>
      </c>
      <c r="C43" s="1157"/>
      <c r="D43" s="1157"/>
      <c r="E43" s="1145"/>
      <c r="F43" s="1121" t="s">
        <v>75</v>
      </c>
      <c r="G43" s="1123"/>
      <c r="H43" s="1142"/>
      <c r="I43" s="1143"/>
      <c r="V43" s="14"/>
      <c r="BB43" s="728"/>
      <c r="BE43" s="728"/>
      <c r="BG43" s="728"/>
      <c r="BJ43" s="728"/>
      <c r="BM43" s="728"/>
      <c r="BO43" s="728"/>
      <c r="BR43" s="728"/>
      <c r="BY43" s="17"/>
      <c r="CC43" s="17"/>
      <c r="CD43" s="30"/>
      <c r="CE43" s="30"/>
      <c r="CF43" s="33"/>
      <c r="CG43" s="17"/>
      <c r="CH43" s="30"/>
      <c r="CI43" s="320"/>
      <c r="CK43" s="33"/>
      <c r="CL43" s="323"/>
      <c r="CO43" s="33"/>
      <c r="CP43" s="32"/>
      <c r="CQ43" s="29"/>
      <c r="CR43" s="29"/>
      <c r="CT43" s="32"/>
      <c r="CU43" s="30"/>
      <c r="CV43" s="30"/>
      <c r="CW43" s="1129">
        <v>46042</v>
      </c>
      <c r="CX43" s="433"/>
      <c r="DB43" s="1171">
        <v>46077</v>
      </c>
      <c r="DC43" s="17"/>
      <c r="DF43" s="18"/>
      <c r="DG43" s="17"/>
      <c r="DJ43" s="729"/>
      <c r="DK43" s="17"/>
      <c r="DO43" s="18"/>
      <c r="DP43" s="17"/>
      <c r="DS43" s="18"/>
      <c r="DT43" s="17"/>
      <c r="DX43" s="18"/>
      <c r="DY43" s="17"/>
      <c r="EB43" s="18"/>
      <c r="EC43" s="17"/>
      <c r="EF43" s="18"/>
      <c r="EG43" s="17"/>
      <c r="EK43" s="18"/>
      <c r="EL43" s="17"/>
      <c r="EO43" s="18"/>
      <c r="EP43" s="17"/>
      <c r="ES43" s="18"/>
      <c r="ET43" s="17"/>
      <c r="EX43" s="18"/>
      <c r="EY43" s="17"/>
      <c r="FB43" s="18"/>
    </row>
    <row r="44" spans="1:158" ht="32" customHeight="1" x14ac:dyDescent="0.2">
      <c r="A44" s="334">
        <v>1048</v>
      </c>
      <c r="B44" s="1144" t="s">
        <v>74</v>
      </c>
      <c r="C44" s="1157"/>
      <c r="D44" s="1157"/>
      <c r="E44" s="1145"/>
      <c r="F44" s="1121" t="s">
        <v>76</v>
      </c>
      <c r="G44" s="1123"/>
      <c r="H44" s="1142"/>
      <c r="I44" s="1143"/>
      <c r="V44" s="14"/>
      <c r="BB44" s="728"/>
      <c r="BE44" s="728"/>
      <c r="BG44" s="728"/>
      <c r="BJ44" s="728"/>
      <c r="BM44" s="728"/>
      <c r="BO44" s="728"/>
      <c r="BR44" s="728"/>
      <c r="BY44" s="17"/>
      <c r="CC44" s="17"/>
      <c r="CD44" s="30"/>
      <c r="CE44" s="30"/>
      <c r="CF44" s="33"/>
      <c r="CG44" s="17"/>
      <c r="CH44" s="30"/>
      <c r="CI44" s="320"/>
      <c r="CK44" s="33"/>
      <c r="CL44" s="323"/>
      <c r="CO44" s="33"/>
      <c r="CP44" s="32"/>
      <c r="CQ44" s="29"/>
      <c r="CR44" s="29"/>
      <c r="CT44" s="32"/>
      <c r="CU44" s="30"/>
      <c r="CV44" s="30"/>
      <c r="CW44" s="1129"/>
      <c r="CX44" s="433"/>
      <c r="DB44" s="1172"/>
      <c r="DC44" s="17"/>
      <c r="DF44" s="18"/>
      <c r="DG44" s="17"/>
      <c r="DJ44" s="729"/>
      <c r="DK44" s="17"/>
      <c r="DO44" s="18"/>
      <c r="DP44" s="17"/>
      <c r="DS44" s="18"/>
      <c r="DT44" s="17"/>
      <c r="DX44" s="18"/>
      <c r="DY44" s="17"/>
      <c r="EB44" s="18"/>
      <c r="EC44" s="17"/>
      <c r="EF44" s="18"/>
      <c r="EG44" s="17"/>
      <c r="EK44" s="18"/>
      <c r="EL44" s="17"/>
      <c r="EO44" s="18"/>
      <c r="EP44" s="17"/>
      <c r="ES44" s="18"/>
      <c r="ET44" s="17"/>
      <c r="EX44" s="18"/>
      <c r="EY44" s="17"/>
      <c r="FB44" s="18"/>
    </row>
    <row r="45" spans="1:158" ht="32" customHeight="1" x14ac:dyDescent="0.2">
      <c r="A45" s="334">
        <v>1048</v>
      </c>
      <c r="B45" s="1144" t="s">
        <v>74</v>
      </c>
      <c r="C45" s="1157"/>
      <c r="D45" s="1157"/>
      <c r="E45" s="1145"/>
      <c r="F45" s="1121" t="s">
        <v>77</v>
      </c>
      <c r="G45" s="1123"/>
      <c r="H45" s="1142"/>
      <c r="I45" s="1143"/>
      <c r="V45" s="14"/>
      <c r="BB45" s="728"/>
      <c r="BE45" s="728"/>
      <c r="BG45" s="728"/>
      <c r="BJ45" s="728"/>
      <c r="BM45" s="728"/>
      <c r="BO45" s="728"/>
      <c r="BR45" s="728"/>
      <c r="BY45" s="17"/>
      <c r="CC45" s="17"/>
      <c r="CD45" s="30"/>
      <c r="CE45" s="30"/>
      <c r="CF45" s="33"/>
      <c r="CG45" s="17"/>
      <c r="CH45" s="30"/>
      <c r="CI45" s="320"/>
      <c r="CK45" s="33"/>
      <c r="CL45" s="323"/>
      <c r="CO45" s="33"/>
      <c r="CP45" s="32"/>
      <c r="CQ45" s="29"/>
      <c r="CR45" s="29"/>
      <c r="CT45" s="32"/>
      <c r="CU45" s="30"/>
      <c r="CV45" s="30"/>
      <c r="CW45" s="1129"/>
      <c r="CX45" s="433"/>
      <c r="DB45" s="1172"/>
      <c r="DC45" s="17"/>
      <c r="DF45" s="18"/>
      <c r="DG45" s="17"/>
      <c r="DJ45" s="729"/>
      <c r="DK45" s="17"/>
      <c r="DO45" s="18"/>
      <c r="DP45" s="17"/>
      <c r="DS45" s="18"/>
      <c r="DT45" s="17"/>
      <c r="DX45" s="18"/>
      <c r="DY45" s="17"/>
      <c r="EB45" s="18"/>
      <c r="EC45" s="17"/>
      <c r="EF45" s="18"/>
      <c r="EG45" s="17"/>
      <c r="EK45" s="18"/>
      <c r="EL45" s="17"/>
      <c r="EO45" s="18"/>
      <c r="EP45" s="17"/>
      <c r="ES45" s="18"/>
      <c r="ET45" s="17"/>
      <c r="EX45" s="18"/>
      <c r="EY45" s="17"/>
      <c r="FB45" s="18"/>
    </row>
    <row r="46" spans="1:158" ht="32" customHeight="1" x14ac:dyDescent="0.2">
      <c r="A46" s="334">
        <v>1049</v>
      </c>
      <c r="B46" s="1144" t="s">
        <v>74</v>
      </c>
      <c r="C46" s="1157"/>
      <c r="D46" s="1157"/>
      <c r="E46" s="1145"/>
      <c r="F46" s="1121" t="s">
        <v>78</v>
      </c>
      <c r="G46" s="1123"/>
      <c r="H46" s="1142"/>
      <c r="I46" s="1143"/>
      <c r="V46" s="14"/>
      <c r="BB46" s="728"/>
      <c r="BE46" s="728"/>
      <c r="BG46" s="728"/>
      <c r="BJ46" s="728"/>
      <c r="BM46" s="728"/>
      <c r="BO46" s="728"/>
      <c r="BR46" s="728"/>
      <c r="BY46" s="17"/>
      <c r="CC46" s="17"/>
      <c r="CD46" s="30"/>
      <c r="CE46" s="30"/>
      <c r="CF46" s="33"/>
      <c r="CG46" s="17"/>
      <c r="CH46" s="30"/>
      <c r="CI46" s="320"/>
      <c r="CK46" s="33"/>
      <c r="CL46" s="323"/>
      <c r="CO46" s="33"/>
      <c r="CP46" s="32"/>
      <c r="CQ46" s="29"/>
      <c r="CR46" s="29"/>
      <c r="CT46" s="32"/>
      <c r="CU46" s="30"/>
      <c r="CV46" s="30"/>
      <c r="CW46" s="1129"/>
      <c r="CX46" s="433"/>
      <c r="DB46" s="1172"/>
      <c r="DC46" s="17"/>
      <c r="DF46" s="18"/>
      <c r="DG46" s="17"/>
      <c r="DJ46" s="729"/>
      <c r="DK46" s="17"/>
      <c r="DO46" s="18"/>
      <c r="DP46" s="17"/>
      <c r="DS46" s="18"/>
      <c r="DT46" s="17"/>
      <c r="DX46" s="18"/>
      <c r="DY46" s="17"/>
      <c r="EB46" s="18"/>
      <c r="EC46" s="17"/>
      <c r="EF46" s="18"/>
      <c r="EG46" s="17"/>
      <c r="EK46" s="18"/>
      <c r="EL46" s="17"/>
      <c r="EO46" s="18"/>
      <c r="EP46" s="17"/>
      <c r="ES46" s="18"/>
      <c r="ET46" s="17"/>
      <c r="EX46" s="18"/>
      <c r="EY46" s="17"/>
      <c r="FB46" s="18"/>
    </row>
    <row r="47" spans="1:158" ht="32" customHeight="1" x14ac:dyDescent="0.2">
      <c r="A47" s="334">
        <v>1047</v>
      </c>
      <c r="B47" s="1144" t="s">
        <v>74</v>
      </c>
      <c r="C47" s="1157"/>
      <c r="D47" s="1157"/>
      <c r="E47" s="1145"/>
      <c r="F47" s="1121" t="s">
        <v>79</v>
      </c>
      <c r="G47" s="1123"/>
      <c r="H47" s="1142"/>
      <c r="I47" s="1143"/>
      <c r="V47" s="14"/>
      <c r="BB47" s="728"/>
      <c r="BE47" s="728"/>
      <c r="BG47" s="728"/>
      <c r="BJ47" s="728"/>
      <c r="BM47" s="728"/>
      <c r="BO47" s="728"/>
      <c r="BR47" s="728"/>
      <c r="BY47" s="17"/>
      <c r="CC47" s="17"/>
      <c r="CD47" s="30"/>
      <c r="CE47" s="30"/>
      <c r="CF47" s="33"/>
      <c r="CG47" s="17"/>
      <c r="CH47" s="30"/>
      <c r="CI47" s="320"/>
      <c r="CK47" s="33"/>
      <c r="CL47" s="323"/>
      <c r="CO47" s="33"/>
      <c r="CP47" s="32"/>
      <c r="CQ47" s="29"/>
      <c r="CR47" s="30"/>
      <c r="CS47" s="432"/>
      <c r="CT47" s="32"/>
      <c r="CU47" s="30"/>
      <c r="CV47" s="34">
        <v>46035</v>
      </c>
      <c r="CX47" s="33"/>
      <c r="CY47" s="432"/>
      <c r="DA47" s="26">
        <v>46073</v>
      </c>
      <c r="DB47" s="18"/>
      <c r="DC47" s="17"/>
      <c r="DF47" s="18"/>
      <c r="DG47" s="17"/>
      <c r="DJ47" s="729"/>
      <c r="DK47" s="17"/>
      <c r="DO47" s="18"/>
      <c r="DP47" s="17"/>
      <c r="DS47" s="18"/>
      <c r="DT47" s="17"/>
      <c r="DX47" s="18"/>
      <c r="DY47" s="17"/>
      <c r="EB47" s="18"/>
      <c r="EC47" s="17"/>
      <c r="EF47" s="18"/>
      <c r="EG47" s="17"/>
      <c r="EK47" s="18"/>
      <c r="EL47" s="17"/>
      <c r="EO47" s="18"/>
      <c r="EP47" s="17"/>
      <c r="ES47" s="18"/>
      <c r="ET47" s="17"/>
      <c r="EX47" s="18"/>
      <c r="EY47" s="17"/>
      <c r="FB47" s="18"/>
    </row>
    <row r="48" spans="1:158" ht="32" customHeight="1" x14ac:dyDescent="0.2">
      <c r="A48" s="334" t="s">
        <v>52</v>
      </c>
      <c r="B48" s="1144" t="s">
        <v>15</v>
      </c>
      <c r="C48" s="1157"/>
      <c r="D48" s="1157"/>
      <c r="E48" s="1145"/>
      <c r="F48" s="1144" t="s">
        <v>80</v>
      </c>
      <c r="G48" s="1145"/>
      <c r="H48" s="1142"/>
      <c r="I48" s="1143"/>
      <c r="V48" s="14"/>
      <c r="BB48" s="728"/>
      <c r="BE48" s="728"/>
      <c r="BG48" s="728"/>
      <c r="BJ48" s="728"/>
      <c r="BM48" s="728"/>
      <c r="BO48" s="728"/>
      <c r="BR48" s="728"/>
      <c r="BY48" s="17"/>
      <c r="CC48" s="17"/>
      <c r="CD48" s="30"/>
      <c r="CE48" s="30"/>
      <c r="CF48" s="33"/>
      <c r="CG48" s="17"/>
      <c r="CH48" s="30"/>
      <c r="CI48" s="320"/>
      <c r="CJ48" s="30"/>
      <c r="CK48" s="18"/>
      <c r="CL48" s="32"/>
      <c r="CM48" s="30"/>
      <c r="CO48" s="18"/>
      <c r="CP48" s="17"/>
      <c r="CS48" s="30"/>
      <c r="CT48" s="171">
        <v>46024</v>
      </c>
      <c r="CX48" s="18"/>
      <c r="CY48" s="30"/>
      <c r="CZ48" s="26">
        <v>46064</v>
      </c>
      <c r="DB48" s="18"/>
      <c r="DC48" s="17"/>
      <c r="DF48" s="18"/>
      <c r="DG48" s="17"/>
      <c r="DJ48" s="729"/>
      <c r="DK48" s="17"/>
      <c r="DO48" s="18"/>
      <c r="DP48" s="17"/>
      <c r="DS48" s="18"/>
      <c r="DT48" s="17"/>
      <c r="DX48" s="18"/>
      <c r="DY48" s="17"/>
      <c r="EB48" s="18"/>
      <c r="EC48" s="17"/>
      <c r="EF48" s="18"/>
      <c r="EG48" s="17"/>
      <c r="EK48" s="18"/>
      <c r="EL48" s="17"/>
      <c r="EO48" s="18"/>
      <c r="EP48" s="17"/>
      <c r="ES48" s="18"/>
      <c r="ET48" s="17"/>
      <c r="EX48" s="18"/>
      <c r="EY48" s="17"/>
      <c r="FB48" s="18"/>
    </row>
    <row r="49" spans="1:158" ht="32" customHeight="1" thickBot="1" x14ac:dyDescent="0.25">
      <c r="A49" s="339">
        <v>339842</v>
      </c>
      <c r="B49" s="1173" t="s">
        <v>15</v>
      </c>
      <c r="C49" s="1174"/>
      <c r="D49" s="1174"/>
      <c r="E49" s="1175"/>
      <c r="F49" s="1173" t="s">
        <v>81</v>
      </c>
      <c r="G49" s="1175"/>
      <c r="H49" s="1176"/>
      <c r="I49" s="1177"/>
      <c r="V49" s="14"/>
      <c r="BB49" s="728"/>
      <c r="BE49" s="728"/>
      <c r="BG49" s="728"/>
      <c r="BJ49" s="728"/>
      <c r="BM49" s="728"/>
      <c r="BO49" s="728"/>
      <c r="BR49" s="728"/>
      <c r="BY49" s="17"/>
      <c r="CC49" s="17"/>
      <c r="CD49" s="30"/>
      <c r="CE49" s="30"/>
      <c r="CF49" s="33"/>
      <c r="CG49" s="17"/>
      <c r="CH49" s="30"/>
      <c r="CI49" s="320"/>
      <c r="CJ49" s="30"/>
      <c r="CK49" s="18"/>
      <c r="CL49" s="32"/>
      <c r="CO49" s="18"/>
      <c r="CP49" s="32"/>
      <c r="CT49" s="41"/>
      <c r="CU49" s="431"/>
      <c r="CV49" s="39"/>
      <c r="CW49" s="39"/>
      <c r="CX49" s="42"/>
      <c r="CY49" s="34">
        <v>46055</v>
      </c>
      <c r="DB49" s="18"/>
      <c r="DC49" s="17"/>
      <c r="DE49" s="26">
        <v>46095</v>
      </c>
      <c r="DF49" s="18"/>
      <c r="DG49" s="17"/>
      <c r="DJ49" s="729"/>
      <c r="DK49" s="17"/>
      <c r="DO49" s="18"/>
      <c r="DP49" s="17"/>
      <c r="DS49" s="18"/>
      <c r="DT49" s="17"/>
      <c r="DX49" s="18"/>
      <c r="DY49" s="17"/>
      <c r="EB49" s="18"/>
      <c r="EC49" s="17"/>
      <c r="EF49" s="18"/>
      <c r="EG49" s="17"/>
      <c r="EK49" s="18"/>
      <c r="EL49" s="17"/>
      <c r="EO49" s="18"/>
      <c r="EP49" s="17"/>
      <c r="ES49" s="18"/>
      <c r="ET49" s="17"/>
      <c r="EX49" s="18"/>
      <c r="EY49" s="17"/>
      <c r="FB49" s="18"/>
    </row>
    <row r="50" spans="1:158" ht="16" thickBot="1" x14ac:dyDescent="0.25">
      <c r="A50" s="734"/>
      <c r="B50" s="1178" t="s">
        <v>82</v>
      </c>
      <c r="C50" s="1179"/>
      <c r="D50" s="1179"/>
      <c r="E50" s="1180"/>
      <c r="F50" s="1181"/>
      <c r="G50" s="1182"/>
      <c r="H50" s="1181" t="s">
        <v>83</v>
      </c>
      <c r="I50" s="1182"/>
      <c r="J50" s="43"/>
      <c r="K50" s="44"/>
      <c r="L50" s="45"/>
      <c r="M50" s="45"/>
      <c r="N50" s="45"/>
      <c r="O50" s="43"/>
      <c r="P50" s="44"/>
      <c r="Q50" s="46" t="s">
        <v>84</v>
      </c>
      <c r="R50" s="46"/>
      <c r="S50" s="46"/>
      <c r="T50" s="47">
        <v>100</v>
      </c>
      <c r="U50" s="47">
        <v>30</v>
      </c>
      <c r="V50" s="48">
        <v>57</v>
      </c>
      <c r="W50" s="48">
        <v>102</v>
      </c>
      <c r="X50" s="49">
        <v>125</v>
      </c>
      <c r="Y50" s="48">
        <v>150</v>
      </c>
      <c r="Z50" s="50">
        <v>200</v>
      </c>
      <c r="AA50" s="48">
        <v>200</v>
      </c>
      <c r="AB50" s="51">
        <v>150</v>
      </c>
      <c r="AC50" s="48">
        <v>200</v>
      </c>
      <c r="AD50" s="48">
        <v>180</v>
      </c>
      <c r="AE50" s="48">
        <v>180</v>
      </c>
      <c r="AF50" s="49">
        <v>180</v>
      </c>
      <c r="AG50" s="48">
        <v>180</v>
      </c>
      <c r="AH50" s="48">
        <v>180</v>
      </c>
      <c r="AI50" s="50">
        <v>180</v>
      </c>
      <c r="AJ50" s="49">
        <v>180</v>
      </c>
      <c r="AK50" s="50">
        <v>120</v>
      </c>
      <c r="AL50" s="48">
        <v>120</v>
      </c>
      <c r="AM50" s="48">
        <v>200</v>
      </c>
      <c r="AN50" s="48">
        <v>200</v>
      </c>
      <c r="AO50" s="49">
        <v>250</v>
      </c>
      <c r="AP50" s="51">
        <v>300</v>
      </c>
      <c r="AQ50" s="51">
        <v>250</v>
      </c>
      <c r="AR50" s="51">
        <v>300</v>
      </c>
      <c r="AS50" s="51">
        <v>300</v>
      </c>
      <c r="AT50" s="51">
        <v>300</v>
      </c>
      <c r="AU50" s="51">
        <v>350</v>
      </c>
      <c r="AV50" s="51">
        <v>300</v>
      </c>
      <c r="AW50" s="51">
        <v>300</v>
      </c>
      <c r="AX50" s="51">
        <v>300</v>
      </c>
      <c r="AY50" s="51">
        <v>200</v>
      </c>
      <c r="AZ50" s="51">
        <v>250</v>
      </c>
      <c r="BA50" s="51">
        <v>250</v>
      </c>
      <c r="BB50" s="51">
        <v>250</v>
      </c>
      <c r="BC50" s="51">
        <v>250</v>
      </c>
      <c r="BD50" s="51">
        <v>250</v>
      </c>
      <c r="BE50" s="51">
        <v>300</v>
      </c>
      <c r="BF50" s="51">
        <v>300</v>
      </c>
      <c r="BG50" s="51">
        <v>250</v>
      </c>
      <c r="BH50" s="51">
        <v>300</v>
      </c>
      <c r="BI50" s="51">
        <v>300</v>
      </c>
      <c r="BJ50" s="51">
        <v>300</v>
      </c>
      <c r="BK50" s="51">
        <v>300</v>
      </c>
      <c r="BL50" s="51">
        <v>300</v>
      </c>
      <c r="BM50" s="51">
        <v>350</v>
      </c>
      <c r="BN50" s="51">
        <v>350</v>
      </c>
      <c r="BO50" s="51">
        <v>350</v>
      </c>
      <c r="BP50" s="51">
        <v>350</v>
      </c>
      <c r="BQ50" s="51">
        <v>350</v>
      </c>
      <c r="BR50" s="51">
        <v>400</v>
      </c>
      <c r="BS50" s="51">
        <v>400</v>
      </c>
      <c r="BT50" s="51">
        <v>350</v>
      </c>
      <c r="BU50" s="51">
        <v>350</v>
      </c>
      <c r="BV50" s="51">
        <v>400</v>
      </c>
      <c r="BW50" s="51">
        <v>380</v>
      </c>
      <c r="BX50" s="51">
        <v>350</v>
      </c>
      <c r="BY50" s="51">
        <v>400</v>
      </c>
      <c r="BZ50" s="51">
        <v>400</v>
      </c>
      <c r="CA50" s="51">
        <v>400</v>
      </c>
      <c r="CB50" s="51">
        <v>300</v>
      </c>
      <c r="CC50" s="52">
        <v>300</v>
      </c>
      <c r="CD50" s="52">
        <v>120</v>
      </c>
      <c r="CE50" s="52">
        <v>300</v>
      </c>
      <c r="CF50" s="52">
        <v>320</v>
      </c>
      <c r="CG50" s="52">
        <v>320</v>
      </c>
      <c r="CH50" s="52">
        <v>450</v>
      </c>
      <c r="CI50" s="52">
        <v>250</v>
      </c>
      <c r="CJ50" s="52">
        <v>250</v>
      </c>
      <c r="CK50" s="52">
        <v>370</v>
      </c>
      <c r="CL50" s="52">
        <v>300</v>
      </c>
      <c r="CM50" s="52">
        <v>350</v>
      </c>
      <c r="CN50" s="52">
        <v>425</v>
      </c>
      <c r="CO50" s="52">
        <v>425</v>
      </c>
      <c r="CP50" s="52">
        <v>400</v>
      </c>
      <c r="CQ50" s="52">
        <v>500</v>
      </c>
      <c r="CR50" s="52">
        <v>400</v>
      </c>
      <c r="CS50" s="52">
        <v>400</v>
      </c>
      <c r="CT50" s="51">
        <v>0</v>
      </c>
      <c r="CU50" s="51">
        <v>550</v>
      </c>
      <c r="CV50" s="51">
        <v>500</v>
      </c>
      <c r="CW50" s="51">
        <v>500</v>
      </c>
      <c r="CX50" s="51">
        <v>450</v>
      </c>
      <c r="CY50" s="52">
        <v>550</v>
      </c>
      <c r="CZ50" s="52">
        <v>500</v>
      </c>
      <c r="DA50" s="52">
        <v>400</v>
      </c>
      <c r="DB50" s="52">
        <v>400</v>
      </c>
      <c r="DC50" s="52">
        <v>550</v>
      </c>
      <c r="DD50" s="52">
        <v>550</v>
      </c>
      <c r="DE50" s="52">
        <v>550</v>
      </c>
      <c r="DF50" s="52">
        <v>400</v>
      </c>
      <c r="DG50" s="52">
        <v>550</v>
      </c>
      <c r="DH50" s="52">
        <v>550</v>
      </c>
      <c r="DI50" s="52">
        <v>550</v>
      </c>
      <c r="DJ50" s="52">
        <v>550</v>
      </c>
      <c r="DK50" s="52">
        <v>400</v>
      </c>
      <c r="DL50" s="52">
        <v>550</v>
      </c>
      <c r="DM50" s="52">
        <v>550</v>
      </c>
      <c r="DN50" s="52">
        <v>400</v>
      </c>
      <c r="DO50" s="52">
        <v>450</v>
      </c>
      <c r="DP50" s="52">
        <v>550</v>
      </c>
      <c r="DQ50" s="52">
        <v>550</v>
      </c>
      <c r="DR50" s="52">
        <v>550</v>
      </c>
      <c r="DS50" s="52">
        <v>400</v>
      </c>
      <c r="DT50" s="52">
        <v>450</v>
      </c>
      <c r="DU50" s="52">
        <v>550</v>
      </c>
      <c r="DV50" s="52">
        <v>550</v>
      </c>
      <c r="DW50" s="52">
        <v>550</v>
      </c>
      <c r="DX50" s="52">
        <v>450</v>
      </c>
      <c r="DY50" s="52">
        <v>450</v>
      </c>
      <c r="DZ50" s="52">
        <v>550</v>
      </c>
      <c r="EA50" s="52">
        <v>550</v>
      </c>
      <c r="EB50" s="52">
        <v>550</v>
      </c>
      <c r="EC50" s="52">
        <v>425</v>
      </c>
      <c r="ED50" s="52">
        <v>650</v>
      </c>
      <c r="EE50" s="52">
        <v>650</v>
      </c>
      <c r="EF50" s="52">
        <v>700</v>
      </c>
      <c r="EG50" s="52">
        <v>700</v>
      </c>
      <c r="EH50" s="52">
        <v>850</v>
      </c>
      <c r="EI50" s="52">
        <v>850</v>
      </c>
      <c r="EJ50" s="52">
        <v>750</v>
      </c>
      <c r="EK50" s="52">
        <v>750</v>
      </c>
      <c r="EL50" s="52">
        <v>850</v>
      </c>
      <c r="EM50" s="52">
        <v>850</v>
      </c>
      <c r="EN50" s="52">
        <v>850</v>
      </c>
      <c r="EO50" s="52">
        <v>750</v>
      </c>
      <c r="EP50" s="52">
        <v>750</v>
      </c>
      <c r="EQ50" s="52">
        <v>850</v>
      </c>
      <c r="ER50" s="52">
        <v>850</v>
      </c>
      <c r="ES50" s="52">
        <v>850</v>
      </c>
      <c r="ET50" s="51">
        <v>700</v>
      </c>
      <c r="EU50" s="51">
        <v>850</v>
      </c>
      <c r="EV50" s="51">
        <v>850</v>
      </c>
      <c r="EW50" s="51">
        <v>850</v>
      </c>
      <c r="EX50" s="51">
        <v>850</v>
      </c>
      <c r="EY50" s="51">
        <v>700</v>
      </c>
      <c r="EZ50" s="51">
        <v>700</v>
      </c>
      <c r="FA50" s="51">
        <v>850</v>
      </c>
      <c r="FB50" s="51">
        <v>850</v>
      </c>
    </row>
    <row r="51" spans="1:158" ht="17" thickBot="1" x14ac:dyDescent="0.25">
      <c r="A51" s="53" t="s">
        <v>85</v>
      </c>
      <c r="B51" s="54" t="s">
        <v>86</v>
      </c>
      <c r="C51" s="54" t="s">
        <v>86</v>
      </c>
      <c r="D51" s="54" t="s">
        <v>87</v>
      </c>
      <c r="E51" s="327" t="s">
        <v>88</v>
      </c>
      <c r="F51" s="55" t="s">
        <v>89</v>
      </c>
      <c r="G51" s="55" t="s">
        <v>90</v>
      </c>
      <c r="H51" s="677" t="s">
        <v>91</v>
      </c>
      <c r="I51" s="56" t="s">
        <v>92</v>
      </c>
      <c r="J51" s="43"/>
      <c r="K51" s="44"/>
      <c r="L51" s="45"/>
      <c r="M51" s="45"/>
      <c r="N51" s="45"/>
      <c r="O51" s="43"/>
      <c r="P51" s="58"/>
      <c r="Q51" s="57"/>
      <c r="R51" s="57"/>
      <c r="S51" s="57"/>
      <c r="T51" s="110"/>
      <c r="U51" s="58">
        <v>150</v>
      </c>
      <c r="V51" s="57"/>
      <c r="W51" s="57"/>
      <c r="X51" s="59"/>
      <c r="Y51" s="57"/>
      <c r="Z51" s="57"/>
      <c r="AA51" s="57"/>
      <c r="AB51" s="57"/>
      <c r="AC51" s="57"/>
      <c r="AD51" s="57"/>
      <c r="AE51" s="57"/>
      <c r="AF51" s="57"/>
      <c r="AG51" s="58"/>
      <c r="AH51" s="57"/>
      <c r="AI51" s="57"/>
      <c r="AJ51" s="59"/>
      <c r="AK51" s="58"/>
      <c r="AL51" s="57"/>
      <c r="AM51" s="57"/>
      <c r="AN51" s="57"/>
      <c r="AO51" s="59"/>
      <c r="AP51" s="24"/>
      <c r="AQ51" s="25"/>
      <c r="AR51" s="25"/>
      <c r="AS51" s="25"/>
      <c r="AT51" s="24"/>
      <c r="AU51" s="25"/>
      <c r="AV51" s="25"/>
      <c r="AW51" s="25"/>
      <c r="AX51" s="60"/>
      <c r="BG51" s="12"/>
      <c r="BH51" s="12"/>
      <c r="BI51" s="12"/>
      <c r="BX51" s="24"/>
      <c r="BY51" s="25"/>
      <c r="BZ51" s="25"/>
      <c r="CA51" s="25"/>
      <c r="CB51" s="60"/>
      <c r="DJ51" s="181"/>
      <c r="ED51" t="s">
        <v>93</v>
      </c>
      <c r="EE51" t="s">
        <v>93</v>
      </c>
      <c r="EF51" t="s">
        <v>93</v>
      </c>
      <c r="EG51" t="s">
        <v>93</v>
      </c>
      <c r="EH51" t="s">
        <v>93</v>
      </c>
      <c r="EI51" t="s">
        <v>93</v>
      </c>
      <c r="EJ51" t="s">
        <v>93</v>
      </c>
      <c r="EK51" t="s">
        <v>93</v>
      </c>
      <c r="EL51" t="s">
        <v>93</v>
      </c>
      <c r="EM51" t="s">
        <v>93</v>
      </c>
      <c r="EN51" t="s">
        <v>93</v>
      </c>
      <c r="EO51" t="s">
        <v>93</v>
      </c>
      <c r="EP51" t="s">
        <v>93</v>
      </c>
      <c r="EQ51" t="s">
        <v>93</v>
      </c>
      <c r="ER51" t="s">
        <v>93</v>
      </c>
      <c r="ES51" t="s">
        <v>93</v>
      </c>
      <c r="ET51" t="s">
        <v>93</v>
      </c>
      <c r="EU51" t="s">
        <v>93</v>
      </c>
      <c r="EV51" t="s">
        <v>93</v>
      </c>
      <c r="EW51" t="s">
        <v>93</v>
      </c>
      <c r="EX51" t="s">
        <v>93</v>
      </c>
      <c r="EY51" t="s">
        <v>93</v>
      </c>
      <c r="EZ51" t="s">
        <v>93</v>
      </c>
      <c r="FA51" t="s">
        <v>93</v>
      </c>
      <c r="FB51" t="s">
        <v>93</v>
      </c>
    </row>
    <row r="52" spans="1:158" ht="25" hidden="1" customHeight="1" x14ac:dyDescent="0.2">
      <c r="A52" s="648">
        <v>818</v>
      </c>
      <c r="B52" s="648" t="s">
        <v>94</v>
      </c>
      <c r="C52" s="423" t="s">
        <v>95</v>
      </c>
      <c r="D52" s="423"/>
      <c r="E52" s="735">
        <f>+H2</f>
        <v>45929</v>
      </c>
      <c r="F52" s="648" t="s">
        <v>4</v>
      </c>
      <c r="G52" s="693">
        <v>918</v>
      </c>
      <c r="H52" s="648">
        <f>SUM(O52:DB52)</f>
        <v>918</v>
      </c>
      <c r="I52" s="693">
        <f t="shared" ref="I52:I143" si="3">G52-H52</f>
        <v>0</v>
      </c>
      <c r="P52" s="58"/>
      <c r="Q52" s="57"/>
      <c r="R52" s="57"/>
      <c r="S52" s="57"/>
      <c r="T52" s="111"/>
      <c r="U52" s="112"/>
      <c r="V52" s="111"/>
      <c r="W52" s="111"/>
      <c r="X52" s="113"/>
      <c r="Y52" s="111"/>
      <c r="Z52" s="111"/>
      <c r="AA52" s="112"/>
      <c r="AB52" s="111"/>
      <c r="AC52" s="112"/>
      <c r="AD52" s="111"/>
      <c r="AE52" s="111"/>
      <c r="AF52" s="113"/>
      <c r="AG52" s="111"/>
      <c r="AH52" s="111"/>
      <c r="AI52" s="114"/>
      <c r="AJ52" s="114"/>
      <c r="AK52" s="114"/>
      <c r="AL52" s="114"/>
      <c r="AM52" s="115"/>
      <c r="AN52" s="115"/>
      <c r="AO52" s="115"/>
      <c r="AP52" s="115"/>
      <c r="AQ52" s="115"/>
      <c r="AR52" s="115"/>
      <c r="AS52" s="115"/>
      <c r="AT52" s="112"/>
      <c r="AU52" s="111"/>
      <c r="AV52" s="736"/>
      <c r="AW52" s="736"/>
      <c r="AX52" s="737"/>
      <c r="AY52" s="116"/>
      <c r="AZ52" s="117"/>
      <c r="BA52" s="117"/>
      <c r="BB52" s="118"/>
      <c r="BC52" s="112"/>
      <c r="BD52" s="112"/>
      <c r="BE52" s="111"/>
      <c r="BF52" s="113"/>
      <c r="BG52" s="112"/>
      <c r="BH52" s="111"/>
      <c r="BI52" s="111"/>
      <c r="BJ52" s="113"/>
      <c r="BK52" s="119"/>
      <c r="BL52" s="119"/>
      <c r="BM52" s="120"/>
      <c r="BN52" s="121"/>
      <c r="BO52" s="122"/>
      <c r="BP52" s="111"/>
      <c r="BQ52" s="111"/>
      <c r="BR52" s="112"/>
      <c r="BS52" s="111"/>
      <c r="BT52" s="112"/>
      <c r="BU52" s="111"/>
      <c r="BV52" s="111"/>
      <c r="BW52" s="111"/>
      <c r="BX52" s="112"/>
      <c r="BY52" s="111"/>
      <c r="BZ52" s="111"/>
      <c r="CA52" s="111"/>
      <c r="CB52" s="111"/>
      <c r="CC52" s="58"/>
      <c r="CD52" s="57"/>
      <c r="CE52" s="57"/>
      <c r="CF52" s="57">
        <v>918</v>
      </c>
      <c r="CG52" s="738"/>
      <c r="CH52" s="739"/>
      <c r="CI52" s="135"/>
      <c r="CJ52" s="25"/>
      <c r="CK52" s="60"/>
      <c r="CL52" s="24"/>
      <c r="CM52" s="25"/>
      <c r="CN52" s="25"/>
      <c r="CO52" s="60"/>
      <c r="CP52" s="25"/>
      <c r="CQ52" s="25"/>
      <c r="CR52" s="25"/>
      <c r="CS52" s="60"/>
      <c r="CT52" s="157"/>
      <c r="CU52" s="25"/>
      <c r="CV52" s="25"/>
      <c r="CW52" s="25"/>
      <c r="CX52" s="60"/>
      <c r="CY52" s="324"/>
      <c r="CZ52" s="25"/>
      <c r="DA52" s="25"/>
      <c r="DB52" s="60"/>
      <c r="DC52" s="24"/>
      <c r="DD52" s="25"/>
      <c r="DE52" s="25"/>
      <c r="DF52" s="25"/>
      <c r="DG52" s="159"/>
      <c r="DH52" s="160"/>
      <c r="DI52" s="160"/>
      <c r="DJ52" s="740"/>
      <c r="DK52" s="24"/>
      <c r="DL52" s="25"/>
      <c r="DM52" s="25"/>
      <c r="DN52" s="25"/>
      <c r="DO52" s="60"/>
      <c r="DP52" s="160"/>
      <c r="DQ52" s="160"/>
      <c r="DR52" s="160"/>
      <c r="DS52" s="161"/>
      <c r="DT52" s="159"/>
      <c r="DU52" s="160"/>
      <c r="DV52" s="160"/>
      <c r="DW52" s="160"/>
      <c r="DX52" s="161"/>
      <c r="DY52" s="159"/>
      <c r="DZ52" s="160"/>
      <c r="EA52" s="160"/>
      <c r="EB52" s="160"/>
      <c r="EC52" s="159"/>
      <c r="ED52" s="160"/>
      <c r="EE52" s="160"/>
      <c r="EF52" s="161"/>
      <c r="EG52" s="160"/>
      <c r="EH52" s="160"/>
      <c r="EI52" s="160"/>
      <c r="EJ52" s="160"/>
      <c r="EK52" s="161"/>
      <c r="EL52" s="159"/>
      <c r="EM52" s="160"/>
      <c r="EN52" s="160"/>
      <c r="EO52" s="161"/>
      <c r="EP52" s="159"/>
      <c r="EQ52" s="160"/>
      <c r="ER52" s="160"/>
      <c r="ES52" s="160"/>
      <c r="ET52" s="161"/>
      <c r="EU52" s="159"/>
      <c r="EV52" s="160"/>
      <c r="EW52" s="160"/>
      <c r="EX52" s="161"/>
      <c r="EY52" s="159"/>
      <c r="EZ52" s="160"/>
      <c r="FA52" s="160"/>
      <c r="FB52" s="161"/>
    </row>
    <row r="53" spans="1:158" ht="25" hidden="1" customHeight="1" x14ac:dyDescent="0.2">
      <c r="A53" s="1190" t="s">
        <v>96</v>
      </c>
      <c r="B53" s="424" t="s">
        <v>97</v>
      </c>
      <c r="C53" s="424" t="s">
        <v>98</v>
      </c>
      <c r="D53" s="424"/>
      <c r="E53" s="326">
        <f>+H4</f>
        <v>45940</v>
      </c>
      <c r="F53" s="648" t="s">
        <v>8</v>
      </c>
      <c r="G53" s="693">
        <v>1980</v>
      </c>
      <c r="H53" s="648">
        <f>SUM(O53:DB53)</f>
        <v>1980</v>
      </c>
      <c r="I53" s="693">
        <f t="shared" si="3"/>
        <v>0</v>
      </c>
      <c r="P53" s="14"/>
      <c r="T53" s="123"/>
      <c r="U53" s="61"/>
      <c r="V53" s="123"/>
      <c r="W53" s="123"/>
      <c r="X53" s="19"/>
      <c r="Y53" s="123"/>
      <c r="Z53" s="123"/>
      <c r="AA53" s="61"/>
      <c r="AB53" s="123"/>
      <c r="AC53" s="61"/>
      <c r="AD53" s="123"/>
      <c r="AE53" s="123"/>
      <c r="AF53" s="19"/>
      <c r="AG53" s="123"/>
      <c r="AH53" s="123"/>
      <c r="AI53" s="126"/>
      <c r="AJ53" s="126"/>
      <c r="AK53" s="126"/>
      <c r="AL53" s="126"/>
      <c r="AM53" s="127"/>
      <c r="AN53" s="127"/>
      <c r="AO53" s="127"/>
      <c r="AP53" s="127"/>
      <c r="AQ53" s="127"/>
      <c r="AR53" s="127"/>
      <c r="AS53" s="127"/>
      <c r="AT53" s="61"/>
      <c r="AU53" s="123"/>
      <c r="AV53" s="741"/>
      <c r="AW53" s="741"/>
      <c r="AX53" s="742"/>
      <c r="AY53" s="128"/>
      <c r="AZ53" s="129"/>
      <c r="BA53" s="129"/>
      <c r="BB53" s="62"/>
      <c r="BC53" s="61"/>
      <c r="BD53" s="61"/>
      <c r="BE53" s="123"/>
      <c r="BF53" s="19"/>
      <c r="BG53" s="61"/>
      <c r="BH53" s="123"/>
      <c r="BI53" s="123"/>
      <c r="BJ53" s="19"/>
      <c r="BK53" s="130"/>
      <c r="BL53" s="130"/>
      <c r="BM53" s="63"/>
      <c r="BN53" s="125"/>
      <c r="BO53" s="64"/>
      <c r="BP53" s="123"/>
      <c r="BQ53" s="123"/>
      <c r="BR53" s="61"/>
      <c r="BS53" s="123"/>
      <c r="BT53" s="61"/>
      <c r="BU53" s="123"/>
      <c r="BV53" s="123"/>
      <c r="BW53" s="123"/>
      <c r="BX53" s="61"/>
      <c r="BY53" s="123"/>
      <c r="BZ53" s="123"/>
      <c r="CA53" s="123"/>
      <c r="CB53" s="123"/>
      <c r="CC53" s="14">
        <v>100</v>
      </c>
      <c r="CD53" s="12">
        <v>600</v>
      </c>
      <c r="CE53" s="12">
        <v>1280</v>
      </c>
      <c r="CG53" s="17"/>
      <c r="CK53" s="13"/>
      <c r="CL53" s="80"/>
      <c r="CO53" s="18"/>
      <c r="CS53" s="18"/>
      <c r="CT53" s="158"/>
      <c r="CX53" s="18"/>
      <c r="CY53" s="247"/>
      <c r="DB53" s="18"/>
      <c r="DC53" s="17"/>
      <c r="DG53" s="162"/>
      <c r="DJ53" s="181"/>
      <c r="DK53" s="17"/>
      <c r="DO53" s="18"/>
      <c r="DS53" s="163"/>
      <c r="DT53" s="162"/>
      <c r="DX53" s="163"/>
      <c r="DY53" s="162"/>
      <c r="EC53" s="162"/>
      <c r="EF53" s="163"/>
      <c r="EK53" s="163"/>
      <c r="EL53" s="162"/>
      <c r="EO53" s="163"/>
      <c r="EP53" s="162"/>
      <c r="ET53" s="163"/>
      <c r="EU53" s="162"/>
      <c r="EX53" s="163"/>
      <c r="EY53" s="162"/>
      <c r="FB53" s="163"/>
    </row>
    <row r="54" spans="1:158" ht="25" hidden="1" customHeight="1" x14ac:dyDescent="0.2">
      <c r="A54" s="1191"/>
      <c r="B54" s="424" t="s">
        <v>99</v>
      </c>
      <c r="C54" s="424" t="s">
        <v>98</v>
      </c>
      <c r="D54" s="424"/>
      <c r="E54" s="326">
        <v>45940</v>
      </c>
      <c r="F54" s="648" t="s">
        <v>8</v>
      </c>
      <c r="G54" s="693">
        <v>786</v>
      </c>
      <c r="H54" s="648">
        <f>SUM(O54:DB54)</f>
        <v>786</v>
      </c>
      <c r="I54" s="693">
        <f t="shared" si="3"/>
        <v>0</v>
      </c>
      <c r="P54" s="14"/>
      <c r="T54" s="123"/>
      <c r="U54" s="61"/>
      <c r="V54" s="123"/>
      <c r="W54" s="123"/>
      <c r="X54" s="19"/>
      <c r="Y54" s="123"/>
      <c r="Z54" s="123"/>
      <c r="AA54" s="61"/>
      <c r="AB54" s="123"/>
      <c r="AC54" s="61"/>
      <c r="AD54" s="123"/>
      <c r="AE54" s="123"/>
      <c r="AF54" s="19"/>
      <c r="AG54" s="123"/>
      <c r="AH54" s="123"/>
      <c r="AI54" s="126"/>
      <c r="AJ54" s="126"/>
      <c r="AK54" s="126"/>
      <c r="AL54" s="126"/>
      <c r="AM54" s="127"/>
      <c r="AN54" s="127"/>
      <c r="AO54" s="127"/>
      <c r="AP54" s="127"/>
      <c r="AQ54" s="127"/>
      <c r="AR54" s="127"/>
      <c r="AS54" s="127"/>
      <c r="AT54" s="61"/>
      <c r="AU54" s="123"/>
      <c r="AV54" s="741"/>
      <c r="AW54" s="741"/>
      <c r="AX54" s="742"/>
      <c r="AY54" s="128"/>
      <c r="AZ54" s="129"/>
      <c r="BA54" s="129"/>
      <c r="BB54" s="62"/>
      <c r="BC54" s="61"/>
      <c r="BD54" s="61"/>
      <c r="BE54" s="123"/>
      <c r="BF54" s="19"/>
      <c r="BG54" s="61"/>
      <c r="BH54" s="123"/>
      <c r="BI54" s="123"/>
      <c r="BJ54" s="19"/>
      <c r="BK54" s="130"/>
      <c r="BL54" s="130"/>
      <c r="BM54" s="63"/>
      <c r="BN54" s="125"/>
      <c r="BO54" s="64"/>
      <c r="BP54" s="123"/>
      <c r="BQ54" s="123"/>
      <c r="BR54" s="61"/>
      <c r="BS54" s="123"/>
      <c r="BT54" s="61"/>
      <c r="BU54" s="123"/>
      <c r="BV54" s="123"/>
      <c r="BW54" s="123"/>
      <c r="BX54" s="61"/>
      <c r="BY54" s="123"/>
      <c r="BZ54" s="123"/>
      <c r="CA54" s="123"/>
      <c r="CB54" s="123"/>
      <c r="CC54" s="14"/>
      <c r="CD54" s="12"/>
      <c r="CE54" s="12">
        <v>300</v>
      </c>
      <c r="CF54" s="12">
        <v>486</v>
      </c>
      <c r="CG54" s="14"/>
      <c r="CH54" s="12"/>
      <c r="CI54" s="12"/>
      <c r="CJ54" s="181"/>
      <c r="CK54" s="13"/>
      <c r="CL54" s="330"/>
      <c r="CO54" s="18"/>
      <c r="CS54" s="18"/>
      <c r="CT54" s="158"/>
      <c r="CX54" s="18"/>
      <c r="CY54" s="247"/>
      <c r="DB54" s="18"/>
      <c r="DC54" s="17"/>
      <c r="DG54" s="162"/>
      <c r="DJ54" s="181"/>
      <c r="DK54" s="17"/>
      <c r="DO54" s="18"/>
      <c r="DS54" s="163"/>
      <c r="DT54" s="162"/>
      <c r="DX54" s="163"/>
      <c r="DY54" s="162"/>
      <c r="EC54" s="162"/>
      <c r="EF54" s="163"/>
      <c r="EK54" s="163"/>
      <c r="EL54" s="162"/>
      <c r="EO54" s="163"/>
      <c r="EP54" s="162"/>
      <c r="ET54" s="163"/>
      <c r="EU54" s="162"/>
      <c r="EX54" s="163"/>
      <c r="EY54" s="162"/>
      <c r="FB54" s="163"/>
    </row>
    <row r="55" spans="1:158" ht="25" hidden="1" customHeight="1" x14ac:dyDescent="0.2">
      <c r="A55" s="1192"/>
      <c r="B55" s="424" t="s">
        <v>100</v>
      </c>
      <c r="C55" s="424" t="s">
        <v>101</v>
      </c>
      <c r="D55" s="424"/>
      <c r="E55" s="326">
        <f>+E54</f>
        <v>45940</v>
      </c>
      <c r="F55" s="648" t="s">
        <v>8</v>
      </c>
      <c r="G55" s="693">
        <v>720</v>
      </c>
      <c r="H55" s="648">
        <f>SUM(O55:DB55)</f>
        <v>720</v>
      </c>
      <c r="I55" s="693">
        <f t="shared" si="3"/>
        <v>0</v>
      </c>
      <c r="P55" s="14"/>
      <c r="T55" s="123"/>
      <c r="U55" s="61"/>
      <c r="V55" s="123"/>
      <c r="W55" s="123"/>
      <c r="X55" s="19"/>
      <c r="Y55" s="123"/>
      <c r="Z55" s="123"/>
      <c r="AA55" s="61"/>
      <c r="AB55" s="123"/>
      <c r="AC55" s="61"/>
      <c r="AD55" s="123"/>
      <c r="AE55" s="123"/>
      <c r="AF55" s="19"/>
      <c r="AG55" s="123"/>
      <c r="AH55" s="123"/>
      <c r="AI55" s="126"/>
      <c r="AJ55" s="126"/>
      <c r="AK55" s="126"/>
      <c r="AL55" s="126"/>
      <c r="AM55" s="127"/>
      <c r="AN55" s="127"/>
      <c r="AO55" s="127"/>
      <c r="AP55" s="127"/>
      <c r="AQ55" s="127"/>
      <c r="AR55" s="127"/>
      <c r="AS55" s="127"/>
      <c r="AT55" s="61"/>
      <c r="AU55" s="123"/>
      <c r="AV55" s="741"/>
      <c r="AW55" s="741"/>
      <c r="AX55" s="742"/>
      <c r="AY55" s="128"/>
      <c r="AZ55" s="129"/>
      <c r="BA55" s="129"/>
      <c r="BB55" s="62"/>
      <c r="BC55" s="61"/>
      <c r="BD55" s="61"/>
      <c r="BE55" s="123"/>
      <c r="BF55" s="19"/>
      <c r="BG55" s="61"/>
      <c r="BH55" s="123"/>
      <c r="BI55" s="123"/>
      <c r="BJ55" s="19"/>
      <c r="BK55" s="130"/>
      <c r="BL55" s="130"/>
      <c r="BM55" s="63"/>
      <c r="BN55" s="125"/>
      <c r="BO55" s="64"/>
      <c r="BP55" s="123"/>
      <c r="BQ55" s="123"/>
      <c r="BR55" s="61"/>
      <c r="BS55" s="123"/>
      <c r="BT55" s="61"/>
      <c r="BU55" s="123"/>
      <c r="BV55" s="123"/>
      <c r="BW55" s="123"/>
      <c r="BX55" s="61"/>
      <c r="BY55" s="123"/>
      <c r="BZ55" s="123"/>
      <c r="CA55" s="123"/>
      <c r="CB55" s="123"/>
      <c r="CC55" s="14"/>
      <c r="CD55" s="12"/>
      <c r="CE55" s="12"/>
      <c r="CF55" s="12">
        <v>60</v>
      </c>
      <c r="CG55" s="14">
        <v>660</v>
      </c>
      <c r="CH55" s="12"/>
      <c r="CI55" s="12"/>
      <c r="CJ55" s="181"/>
      <c r="CK55" s="13"/>
      <c r="CL55" s="330"/>
      <c r="CO55" s="18"/>
      <c r="CS55" s="18"/>
      <c r="CT55" s="158"/>
      <c r="CX55" s="18"/>
      <c r="CY55" s="247"/>
      <c r="DB55" s="18"/>
      <c r="DC55" s="17"/>
      <c r="DG55" s="162"/>
      <c r="DJ55" s="181"/>
      <c r="DK55" s="17"/>
      <c r="DO55" s="18"/>
      <c r="DS55" s="163"/>
      <c r="DT55" s="162"/>
      <c r="DX55" s="163"/>
      <c r="DY55" s="162"/>
      <c r="EC55" s="162"/>
      <c r="EF55" s="163"/>
      <c r="EK55" s="163"/>
      <c r="EL55" s="162"/>
      <c r="EO55" s="163"/>
      <c r="EP55" s="162"/>
      <c r="ET55" s="163"/>
      <c r="EU55" s="162"/>
      <c r="EX55" s="163"/>
      <c r="EY55" s="162"/>
      <c r="FB55" s="163"/>
    </row>
    <row r="56" spans="1:158" ht="25" hidden="1" customHeight="1" x14ac:dyDescent="0.2">
      <c r="A56" s="648">
        <v>105</v>
      </c>
      <c r="B56" s="648" t="s">
        <v>102</v>
      </c>
      <c r="C56" s="648" t="s">
        <v>103</v>
      </c>
      <c r="D56" s="648"/>
      <c r="E56" s="735">
        <v>45946</v>
      </c>
      <c r="F56" s="648" t="s">
        <v>103</v>
      </c>
      <c r="G56" s="648">
        <v>720</v>
      </c>
      <c r="H56" s="648">
        <f>SUM(O56:DO56)</f>
        <v>720</v>
      </c>
      <c r="I56" s="693">
        <f>G56-H56</f>
        <v>0</v>
      </c>
      <c r="P56" s="14"/>
      <c r="AN56" s="131"/>
      <c r="AO56" s="131"/>
      <c r="AP56" s="132"/>
      <c r="AQ56" s="132"/>
      <c r="AR56" s="132"/>
      <c r="AS56" s="132"/>
      <c r="AT56" s="68"/>
      <c r="AU56" s="132"/>
      <c r="AV56" s="132"/>
      <c r="AW56" s="68"/>
      <c r="AX56" s="69"/>
      <c r="AY56" s="133"/>
      <c r="AZ56" s="108"/>
      <c r="BA56" s="108"/>
      <c r="BB56" s="67"/>
      <c r="BC56" s="70"/>
      <c r="BD56" s="70"/>
      <c r="BE56" s="124"/>
      <c r="BF56" s="71"/>
      <c r="BG56" s="61"/>
      <c r="BH56" s="123"/>
      <c r="BI56" s="123"/>
      <c r="BJ56" s="19"/>
      <c r="BK56" s="123"/>
      <c r="BL56" s="123"/>
      <c r="BM56" s="61"/>
      <c r="BN56" s="123"/>
      <c r="BO56" s="19"/>
      <c r="BP56" s="109"/>
      <c r="BQ56" s="743"/>
      <c r="BR56" s="744"/>
      <c r="BS56" s="123"/>
      <c r="BT56" s="61"/>
      <c r="BU56" s="123"/>
      <c r="BV56" s="108"/>
      <c r="BW56" s="108"/>
      <c r="BX56" s="67"/>
      <c r="BY56" s="108"/>
      <c r="BZ56" s="108"/>
      <c r="CA56" s="108"/>
      <c r="CB56" s="108"/>
      <c r="CC56" s="17"/>
      <c r="CE56" s="181"/>
      <c r="CF56" s="181"/>
      <c r="CG56" s="17"/>
      <c r="CH56" s="12"/>
      <c r="CI56" s="12">
        <v>720</v>
      </c>
      <c r="CJ56" s="12"/>
      <c r="CK56" s="13"/>
      <c r="CL56" s="14"/>
      <c r="CO56" s="18"/>
      <c r="CS56" s="18"/>
      <c r="CT56" s="158"/>
      <c r="CX56" s="18"/>
      <c r="CY56" s="247"/>
      <c r="DB56" s="18"/>
      <c r="DC56" s="17"/>
      <c r="DG56" s="162"/>
      <c r="DJ56" s="181"/>
      <c r="DK56" s="17"/>
      <c r="DO56" s="18"/>
      <c r="DS56" s="163"/>
      <c r="DT56" s="162"/>
      <c r="DX56" s="163"/>
      <c r="DY56" s="162"/>
      <c r="EC56" s="162"/>
      <c r="EF56" s="163"/>
      <c r="EK56" s="163"/>
      <c r="EL56" s="162"/>
      <c r="EO56" s="163"/>
      <c r="EP56" s="162"/>
      <c r="ET56" s="163"/>
      <c r="EU56" s="162"/>
      <c r="EX56" s="163"/>
      <c r="EY56" s="162"/>
      <c r="FB56" s="163"/>
    </row>
    <row r="57" spans="1:158" ht="25" hidden="1" customHeight="1" thickBot="1" x14ac:dyDescent="0.25">
      <c r="A57" s="648">
        <v>819</v>
      </c>
      <c r="B57" s="648" t="s">
        <v>104</v>
      </c>
      <c r="C57" s="648" t="s">
        <v>105</v>
      </c>
      <c r="D57" s="648"/>
      <c r="E57" s="735">
        <f>+H3</f>
        <v>45954</v>
      </c>
      <c r="F57" s="648" t="s">
        <v>74</v>
      </c>
      <c r="G57" s="693">
        <v>1698</v>
      </c>
      <c r="H57" s="648">
        <f>SUM(O57:DB57)</f>
        <v>1698</v>
      </c>
      <c r="I57" s="693">
        <f>G57-H57</f>
        <v>0</v>
      </c>
      <c r="P57" s="14"/>
      <c r="T57" s="123"/>
      <c r="U57" s="61"/>
      <c r="V57" s="123"/>
      <c r="W57" s="123"/>
      <c r="X57" s="19"/>
      <c r="Y57" s="123"/>
      <c r="Z57" s="123"/>
      <c r="AA57" s="61"/>
      <c r="AB57" s="123"/>
      <c r="AC57" s="61"/>
      <c r="AD57" s="123"/>
      <c r="AE57" s="123"/>
      <c r="AF57" s="19"/>
      <c r="AG57" s="123"/>
      <c r="AH57" s="123"/>
      <c r="AI57" s="124"/>
      <c r="AJ57" s="124"/>
      <c r="AK57" s="70"/>
      <c r="AL57" s="124"/>
      <c r="AM57" s="123"/>
      <c r="AN57" s="123"/>
      <c r="AO57" s="19"/>
      <c r="AP57" s="123"/>
      <c r="AQ57" s="123"/>
      <c r="AR57" s="123"/>
      <c r="AS57" s="123"/>
      <c r="AT57" s="61"/>
      <c r="AU57" s="123"/>
      <c r="AV57" s="741"/>
      <c r="AW57" s="741"/>
      <c r="AX57" s="108"/>
      <c r="AY57" s="63"/>
      <c r="AZ57" s="125"/>
      <c r="BA57" s="125"/>
      <c r="BB57" s="64"/>
      <c r="BC57" s="63"/>
      <c r="BD57" s="73"/>
      <c r="BE57" s="74"/>
      <c r="BF57" s="75"/>
      <c r="BG57" s="73"/>
      <c r="BH57" s="74"/>
      <c r="BI57" s="74"/>
      <c r="BJ57" s="75"/>
      <c r="BK57" s="74"/>
      <c r="BL57" s="74"/>
      <c r="BM57" s="73"/>
      <c r="BN57" s="74"/>
      <c r="BO57" s="75"/>
      <c r="BP57" s="74"/>
      <c r="BQ57" s="74"/>
      <c r="BR57" s="63"/>
      <c r="BS57" s="108"/>
      <c r="BT57" s="67"/>
      <c r="BU57" s="108"/>
      <c r="BV57" s="108"/>
      <c r="BW57" s="743"/>
      <c r="BX57" s="61"/>
      <c r="BY57" s="108"/>
      <c r="BZ57" s="108"/>
      <c r="CA57" s="108"/>
      <c r="CB57" s="123"/>
      <c r="CC57" s="745"/>
      <c r="CE57" s="12"/>
      <c r="CF57" s="12"/>
      <c r="CG57" s="14"/>
      <c r="CH57" s="12">
        <v>1698</v>
      </c>
      <c r="CI57" s="12"/>
      <c r="CJ57" s="12"/>
      <c r="CK57" s="13"/>
      <c r="CL57" s="14"/>
      <c r="CM57" s="12"/>
      <c r="CN57" s="12"/>
      <c r="CO57" s="18"/>
      <c r="CR57" s="12"/>
      <c r="CS57" s="18"/>
      <c r="CT57" s="158"/>
      <c r="CX57" s="18"/>
      <c r="CY57" s="247"/>
      <c r="DB57" s="18"/>
      <c r="DC57" s="17"/>
      <c r="DG57" s="162"/>
      <c r="DJ57" s="181"/>
      <c r="DK57" s="17"/>
      <c r="DO57" s="18"/>
      <c r="DS57" s="163"/>
      <c r="DT57" s="162"/>
      <c r="DX57" s="163"/>
      <c r="DY57" s="162"/>
      <c r="EC57" s="162"/>
      <c r="EF57" s="163"/>
      <c r="EK57" s="163"/>
      <c r="EL57" s="162"/>
      <c r="EO57" s="163"/>
      <c r="EP57" s="162"/>
      <c r="ET57" s="163"/>
      <c r="EU57" s="162"/>
      <c r="EX57" s="163"/>
      <c r="EY57" s="162"/>
      <c r="FB57" s="163"/>
    </row>
    <row r="58" spans="1:158" ht="25" hidden="1" customHeight="1" x14ac:dyDescent="0.2">
      <c r="A58" s="648" t="s">
        <v>14</v>
      </c>
      <c r="B58" s="648" t="s">
        <v>106</v>
      </c>
      <c r="C58" s="425" t="s">
        <v>107</v>
      </c>
      <c r="D58" s="425"/>
      <c r="E58" s="735">
        <v>45961</v>
      </c>
      <c r="F58" s="648" t="s">
        <v>108</v>
      </c>
      <c r="G58" s="693">
        <v>1128</v>
      </c>
      <c r="H58" s="648">
        <f>SUM(O58:DO58)</f>
        <v>1128</v>
      </c>
      <c r="I58" s="693">
        <f>G58-H58</f>
        <v>0</v>
      </c>
      <c r="P58" s="14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6"/>
      <c r="AJ58" s="126"/>
      <c r="AK58" s="126"/>
      <c r="AL58" s="126"/>
      <c r="AM58" s="127"/>
      <c r="AN58" s="127"/>
      <c r="AO58" s="127"/>
      <c r="AP58" s="127"/>
      <c r="AQ58" s="127"/>
      <c r="AR58" s="127"/>
      <c r="AS58" s="127"/>
      <c r="AT58" s="61"/>
      <c r="AU58" s="123"/>
      <c r="AV58" s="741"/>
      <c r="AW58" s="741"/>
      <c r="AX58" s="746"/>
      <c r="AY58" s="128"/>
      <c r="AZ58" s="129"/>
      <c r="BA58" s="129"/>
      <c r="BB58" s="129"/>
      <c r="BC58" s="61"/>
      <c r="BD58" s="61"/>
      <c r="BE58" s="123"/>
      <c r="BF58" s="19"/>
      <c r="BG58" s="61"/>
      <c r="BH58" s="123"/>
      <c r="BI58" s="123"/>
      <c r="BJ58" s="19"/>
      <c r="BK58" s="130"/>
      <c r="BL58" s="130"/>
      <c r="BM58" s="63"/>
      <c r="BN58" s="125"/>
      <c r="BO58" s="64"/>
      <c r="BP58" s="123"/>
      <c r="BQ58" s="123"/>
      <c r="BR58" s="61"/>
      <c r="BS58" s="123"/>
      <c r="BT58" s="61"/>
      <c r="BU58" s="123"/>
      <c r="BV58" s="123"/>
      <c r="BW58" s="123"/>
      <c r="BX58" s="61"/>
      <c r="BY58" s="123"/>
      <c r="BZ58" s="123"/>
      <c r="CA58" s="123"/>
      <c r="CB58" s="123"/>
      <c r="CC58" s="14"/>
      <c r="CD58" s="12"/>
      <c r="CE58" s="12"/>
      <c r="CF58" s="12"/>
      <c r="CG58" s="146"/>
      <c r="CH58" s="147"/>
      <c r="CI58" s="147">
        <v>530</v>
      </c>
      <c r="CJ58" s="147">
        <v>598</v>
      </c>
      <c r="CK58" s="148"/>
      <c r="CL58" s="146"/>
      <c r="CM58" s="12"/>
      <c r="CN58" s="12"/>
      <c r="CO58" s="13"/>
      <c r="CS58" s="18"/>
      <c r="CT58" s="158"/>
      <c r="CX58" s="18"/>
      <c r="CY58" s="247"/>
      <c r="DB58" s="18"/>
      <c r="DC58" s="17"/>
      <c r="DG58" s="162"/>
      <c r="DJ58" s="181"/>
      <c r="DK58" s="17"/>
      <c r="DO58" s="18"/>
      <c r="DS58" s="163"/>
      <c r="DT58" s="162"/>
      <c r="DX58" s="163"/>
      <c r="DY58" s="162"/>
      <c r="EC58" s="162"/>
      <c r="EF58" s="163"/>
      <c r="EK58" s="163"/>
      <c r="EL58" s="162"/>
      <c r="EO58" s="163"/>
      <c r="EP58" s="162"/>
      <c r="ET58" s="163"/>
      <c r="EU58" s="162"/>
      <c r="EX58" s="163"/>
      <c r="EY58" s="162"/>
      <c r="FB58" s="163"/>
    </row>
    <row r="59" spans="1:158" ht="25" hidden="1" customHeight="1" x14ac:dyDescent="0.2">
      <c r="A59" s="652" t="s">
        <v>109</v>
      </c>
      <c r="B59" s="424" t="s">
        <v>110</v>
      </c>
      <c r="C59" s="424" t="s">
        <v>111</v>
      </c>
      <c r="D59" s="424"/>
      <c r="E59" s="326">
        <v>45966</v>
      </c>
      <c r="F59" s="648" t="s">
        <v>8</v>
      </c>
      <c r="G59" s="693">
        <v>1764</v>
      </c>
      <c r="H59" s="648">
        <f>SUM(O59:DB59)</f>
        <v>1764</v>
      </c>
      <c r="I59" s="693">
        <f t="shared" si="3"/>
        <v>0</v>
      </c>
      <c r="P59" s="14"/>
      <c r="T59" s="123"/>
      <c r="U59" s="61"/>
      <c r="V59" s="123"/>
      <c r="W59" s="123"/>
      <c r="X59" s="19"/>
      <c r="Y59" s="123"/>
      <c r="Z59" s="123"/>
      <c r="AA59" s="61"/>
      <c r="AB59" s="123"/>
      <c r="AC59" s="61"/>
      <c r="AD59" s="123"/>
      <c r="AE59" s="123"/>
      <c r="AF59" s="19"/>
      <c r="AG59" s="123"/>
      <c r="AH59" s="123"/>
      <c r="AI59" s="126"/>
      <c r="AJ59" s="126"/>
      <c r="AK59" s="126"/>
      <c r="AL59" s="126"/>
      <c r="AM59" s="127"/>
      <c r="AN59" s="127"/>
      <c r="AO59" s="127"/>
      <c r="AP59" s="127"/>
      <c r="AQ59" s="127"/>
      <c r="AR59" s="127"/>
      <c r="AS59" s="127"/>
      <c r="AT59" s="61"/>
      <c r="AU59" s="123"/>
      <c r="AV59" s="741"/>
      <c r="AW59" s="741"/>
      <c r="AX59" s="742"/>
      <c r="AY59" s="128"/>
      <c r="AZ59" s="129"/>
      <c r="BA59" s="129"/>
      <c r="BB59" s="62"/>
      <c r="BC59" s="61"/>
      <c r="BD59" s="61"/>
      <c r="BE59" s="123"/>
      <c r="BF59" s="19"/>
      <c r="BG59" s="61"/>
      <c r="BH59" s="123"/>
      <c r="BI59" s="123"/>
      <c r="BJ59" s="19"/>
      <c r="BK59" s="130"/>
      <c r="BL59" s="130"/>
      <c r="BM59" s="63"/>
      <c r="BN59" s="125"/>
      <c r="BO59" s="64"/>
      <c r="BP59" s="123"/>
      <c r="BQ59" s="123"/>
      <c r="BR59" s="61"/>
      <c r="BS59" s="123"/>
      <c r="BT59" s="61"/>
      <c r="BU59" s="123"/>
      <c r="BV59" s="123"/>
      <c r="BW59" s="123"/>
      <c r="BX59" s="61"/>
      <c r="BY59" s="123"/>
      <c r="BZ59" s="123"/>
      <c r="CA59" s="123"/>
      <c r="CB59" s="123"/>
      <c r="CC59" s="14"/>
      <c r="CD59" s="12"/>
      <c r="CE59" s="12"/>
      <c r="CF59" s="12"/>
      <c r="CG59" s="14">
        <v>1000</v>
      </c>
      <c r="CH59" s="12">
        <v>764</v>
      </c>
      <c r="CI59" s="143"/>
      <c r="CJ59" s="147"/>
      <c r="CK59" s="148"/>
      <c r="CL59" s="146"/>
      <c r="CM59" s="12"/>
      <c r="CO59" s="18"/>
      <c r="CS59" s="18"/>
      <c r="CT59" s="158"/>
      <c r="CX59" s="18"/>
      <c r="CY59" s="247"/>
      <c r="DB59" s="18"/>
      <c r="DC59" s="17"/>
      <c r="DG59" s="162"/>
      <c r="DJ59" s="181"/>
      <c r="DK59" s="17"/>
      <c r="DO59" s="18"/>
      <c r="DS59" s="163"/>
      <c r="DT59" s="162"/>
      <c r="DX59" s="163"/>
      <c r="DY59" s="162"/>
      <c r="EC59" s="162"/>
      <c r="EF59" s="163"/>
      <c r="EK59" s="163"/>
      <c r="EL59" s="162"/>
      <c r="EO59" s="163"/>
      <c r="EP59" s="162"/>
      <c r="ET59" s="163"/>
      <c r="EU59" s="162"/>
      <c r="EX59" s="163"/>
      <c r="EY59" s="162"/>
      <c r="FB59" s="163"/>
    </row>
    <row r="60" spans="1:158" ht="22" hidden="1" customHeight="1" x14ac:dyDescent="0.2">
      <c r="A60" s="648" t="s">
        <v>20</v>
      </c>
      <c r="B60" s="648" t="s">
        <v>112</v>
      </c>
      <c r="C60" s="425" t="s">
        <v>107</v>
      </c>
      <c r="D60" s="425"/>
      <c r="E60" s="747">
        <v>45975</v>
      </c>
      <c r="F60" s="648" t="s">
        <v>15</v>
      </c>
      <c r="G60" s="693">
        <v>2226</v>
      </c>
      <c r="H60" s="648">
        <f>SUM(O60:DO60)</f>
        <v>2226</v>
      </c>
      <c r="I60" s="693">
        <f>G60-H60</f>
        <v>0</v>
      </c>
      <c r="P60" s="14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6"/>
      <c r="AJ60" s="126"/>
      <c r="AK60" s="126"/>
      <c r="AL60" s="126"/>
      <c r="AM60" s="127"/>
      <c r="AN60" s="127"/>
      <c r="AO60" s="127"/>
      <c r="AP60" s="127"/>
      <c r="AQ60" s="127"/>
      <c r="AR60" s="127"/>
      <c r="AS60" s="127"/>
      <c r="AT60" s="61"/>
      <c r="AU60" s="123"/>
      <c r="AV60" s="741"/>
      <c r="AW60" s="741"/>
      <c r="AX60" s="746"/>
      <c r="AY60" s="128"/>
      <c r="AZ60" s="129"/>
      <c r="BA60" s="129"/>
      <c r="BB60" s="129"/>
      <c r="BC60" s="61"/>
      <c r="BD60" s="61"/>
      <c r="BE60" s="123"/>
      <c r="BF60" s="19"/>
      <c r="BG60" s="61"/>
      <c r="BH60" s="123"/>
      <c r="BI60" s="123"/>
      <c r="BJ60" s="19"/>
      <c r="BK60" s="130"/>
      <c r="BL60" s="130"/>
      <c r="BM60" s="63"/>
      <c r="BN60" s="125"/>
      <c r="BO60" s="64"/>
      <c r="BP60" s="123"/>
      <c r="BQ60" s="123"/>
      <c r="BR60" s="61"/>
      <c r="BS60" s="123"/>
      <c r="BT60" s="61"/>
      <c r="BU60" s="123"/>
      <c r="BV60" s="123"/>
      <c r="BW60" s="123"/>
      <c r="BX60" s="61"/>
      <c r="BY60" s="123"/>
      <c r="BZ60" s="123"/>
      <c r="CA60" s="123"/>
      <c r="CB60" s="123"/>
      <c r="CC60" s="14"/>
      <c r="CD60" s="12"/>
      <c r="CE60" s="12"/>
      <c r="CF60" s="12"/>
      <c r="CG60" s="14"/>
      <c r="CH60" s="147"/>
      <c r="CI60" s="147"/>
      <c r="CJ60" s="147">
        <v>652</v>
      </c>
      <c r="CK60" s="148">
        <v>426</v>
      </c>
      <c r="CL60" s="146">
        <v>350</v>
      </c>
      <c r="CM60" s="147">
        <v>798</v>
      </c>
      <c r="CN60" s="12"/>
      <c r="CO60" s="13"/>
      <c r="CP60" s="12"/>
      <c r="CS60" s="18"/>
      <c r="CT60" s="342"/>
      <c r="CX60" s="18"/>
      <c r="CY60" s="247"/>
      <c r="DB60" s="18"/>
      <c r="DC60" s="17"/>
      <c r="DG60" s="162"/>
      <c r="DJ60" s="181"/>
      <c r="DK60" s="17"/>
      <c r="DO60" s="18"/>
      <c r="DS60" s="163"/>
      <c r="DT60" s="162"/>
      <c r="DX60" s="163"/>
      <c r="DY60" s="162"/>
      <c r="EC60" s="162"/>
      <c r="EF60" s="163"/>
      <c r="EK60" s="163"/>
      <c r="EL60" s="162"/>
      <c r="EO60" s="163"/>
      <c r="EP60" s="162"/>
      <c r="ET60" s="163"/>
      <c r="EU60" s="162"/>
      <c r="EX60" s="163"/>
      <c r="EY60" s="162"/>
      <c r="FB60" s="163"/>
    </row>
    <row r="61" spans="1:158" ht="21" customHeight="1" x14ac:dyDescent="0.2">
      <c r="A61" s="11" t="s">
        <v>113</v>
      </c>
      <c r="B61" s="11" t="s">
        <v>114</v>
      </c>
      <c r="C61" s="246" t="s">
        <v>107</v>
      </c>
      <c r="D61" s="341" t="s">
        <v>115</v>
      </c>
      <c r="E61" s="747">
        <v>45986</v>
      </c>
      <c r="F61" s="11" t="s">
        <v>15</v>
      </c>
      <c r="G61" s="711">
        <v>2430</v>
      </c>
      <c r="H61" s="11">
        <f>SUM(O61:DO61)</f>
        <v>2430</v>
      </c>
      <c r="I61" s="711">
        <f>G61-H61</f>
        <v>0</v>
      </c>
      <c r="P61" s="14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6"/>
      <c r="AJ61" s="126"/>
      <c r="AK61" s="126"/>
      <c r="AL61" s="126"/>
      <c r="AM61" s="127"/>
      <c r="AN61" s="127"/>
      <c r="AO61" s="127"/>
      <c r="AP61" s="127"/>
      <c r="AQ61" s="127"/>
      <c r="AR61" s="127"/>
      <c r="AS61" s="127"/>
      <c r="AT61" s="61"/>
      <c r="AU61" s="123"/>
      <c r="AV61" s="741"/>
      <c r="AW61" s="741"/>
      <c r="AX61" s="746"/>
      <c r="AY61" s="128"/>
      <c r="AZ61" s="129"/>
      <c r="BA61" s="129"/>
      <c r="BB61" s="129"/>
      <c r="BC61" s="61"/>
      <c r="BD61" s="61"/>
      <c r="BE61" s="123"/>
      <c r="BF61" s="19"/>
      <c r="BG61" s="61"/>
      <c r="BH61" s="123"/>
      <c r="BI61" s="123"/>
      <c r="BJ61" s="19"/>
      <c r="BK61" s="130"/>
      <c r="BL61" s="130"/>
      <c r="BM61" s="63"/>
      <c r="BN61" s="125"/>
      <c r="BO61" s="64"/>
      <c r="BP61" s="123"/>
      <c r="BQ61" s="123"/>
      <c r="BR61" s="61"/>
      <c r="BS61" s="123"/>
      <c r="BT61" s="61"/>
      <c r="BU61" s="123"/>
      <c r="BV61" s="123"/>
      <c r="BW61" s="123"/>
      <c r="BX61" s="61"/>
      <c r="BY61" s="123"/>
      <c r="BZ61" s="123"/>
      <c r="CA61" s="123"/>
      <c r="CB61" s="123"/>
      <c r="CC61" s="14"/>
      <c r="CD61" s="12"/>
      <c r="CE61" s="12"/>
      <c r="CF61" s="12"/>
      <c r="CG61" s="14"/>
      <c r="CH61" s="12"/>
      <c r="CI61" s="40"/>
      <c r="CK61" s="729"/>
      <c r="CL61" s="146"/>
      <c r="CM61" s="147"/>
      <c r="CN61" s="147"/>
      <c r="CO61" s="13"/>
      <c r="CP61" s="12"/>
      <c r="CQ61" s="147"/>
      <c r="CR61" s="147">
        <v>1974</v>
      </c>
      <c r="CS61" s="148"/>
      <c r="CT61" s="342"/>
      <c r="CU61" s="147"/>
      <c r="CV61" s="147"/>
      <c r="CW61" s="147"/>
      <c r="CX61" s="13">
        <v>456</v>
      </c>
      <c r="CY61" s="14"/>
      <c r="CZ61" s="12"/>
      <c r="DB61" s="18"/>
      <c r="DC61" s="17"/>
      <c r="DG61" s="162"/>
      <c r="DJ61" s="181"/>
      <c r="DK61" s="17"/>
      <c r="DO61" s="18"/>
      <c r="DS61" s="163"/>
      <c r="DT61" s="162"/>
      <c r="DX61" s="163"/>
      <c r="DY61" s="162"/>
      <c r="EC61" s="162"/>
      <c r="EF61" s="163"/>
      <c r="EK61" s="163"/>
      <c r="EL61" s="162"/>
      <c r="EO61" s="163"/>
      <c r="EP61" s="162"/>
      <c r="ET61" s="163"/>
      <c r="EU61" s="162"/>
      <c r="EX61" s="163"/>
      <c r="EY61" s="162"/>
      <c r="FB61" s="163"/>
    </row>
    <row r="62" spans="1:158" ht="22" customHeight="1" x14ac:dyDescent="0.2">
      <c r="A62" s="11"/>
      <c r="B62" s="748" t="s">
        <v>116</v>
      </c>
      <c r="C62" s="11" t="s">
        <v>103</v>
      </c>
      <c r="D62" s="725">
        <v>45995</v>
      </c>
      <c r="E62" s="747">
        <v>45992</v>
      </c>
      <c r="F62" s="11" t="s">
        <v>117</v>
      </c>
      <c r="G62" s="711">
        <v>600</v>
      </c>
      <c r="H62" s="11">
        <f>SUM(O62:FB62)</f>
        <v>300</v>
      </c>
      <c r="I62" s="711">
        <f>G62-H62</f>
        <v>300</v>
      </c>
      <c r="P62" s="14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6"/>
      <c r="AJ62" s="126"/>
      <c r="AK62" s="126"/>
      <c r="AL62" s="126"/>
      <c r="AM62" s="127"/>
      <c r="AN62" s="127"/>
      <c r="AO62" s="127"/>
      <c r="AP62" s="127"/>
      <c r="AQ62" s="127"/>
      <c r="AR62" s="127"/>
      <c r="AS62" s="127"/>
      <c r="AT62" s="61"/>
      <c r="AU62" s="123"/>
      <c r="AV62" s="741"/>
      <c r="AW62" s="741"/>
      <c r="AX62" s="746"/>
      <c r="AY62" s="128"/>
      <c r="AZ62" s="129"/>
      <c r="BA62" s="129"/>
      <c r="BB62" s="129"/>
      <c r="BC62" s="61"/>
      <c r="BD62" s="61"/>
      <c r="BE62" s="123"/>
      <c r="BF62" s="19"/>
      <c r="BG62" s="61"/>
      <c r="BH62" s="123"/>
      <c r="BI62" s="123"/>
      <c r="BJ62" s="19"/>
      <c r="BK62" s="130"/>
      <c r="BL62" s="130"/>
      <c r="BM62" s="63"/>
      <c r="BN62" s="125"/>
      <c r="BO62" s="64"/>
      <c r="BP62" s="123"/>
      <c r="BQ62" s="123"/>
      <c r="BR62" s="61"/>
      <c r="BS62" s="123"/>
      <c r="BT62" s="61"/>
      <c r="BU62" s="123"/>
      <c r="BV62" s="123"/>
      <c r="BW62" s="123"/>
      <c r="BX62" s="61"/>
      <c r="BY62" s="123"/>
      <c r="BZ62" s="123"/>
      <c r="CA62" s="123"/>
      <c r="CB62" s="123"/>
      <c r="CC62" s="14"/>
      <c r="CD62" s="12"/>
      <c r="CE62" s="12"/>
      <c r="CF62" s="12"/>
      <c r="CG62" s="14"/>
      <c r="CH62" s="12"/>
      <c r="CI62" s="40"/>
      <c r="CK62" s="729"/>
      <c r="CL62" s="14"/>
      <c r="CM62" s="12"/>
      <c r="CN62" s="12"/>
      <c r="CO62" s="13"/>
      <c r="CP62" s="12"/>
      <c r="CQ62" s="12"/>
      <c r="CR62" s="12"/>
      <c r="CS62" s="13"/>
      <c r="CT62" s="342"/>
      <c r="CU62" s="12"/>
      <c r="CV62" s="12">
        <v>100</v>
      </c>
      <c r="CW62" s="12"/>
      <c r="CX62" s="13"/>
      <c r="CY62" s="14">
        <v>100</v>
      </c>
      <c r="CZ62" s="12"/>
      <c r="DB62" s="18"/>
      <c r="DC62" s="17">
        <v>100</v>
      </c>
      <c r="DD62" s="12"/>
      <c r="DG62" s="162"/>
      <c r="DJ62" s="181"/>
      <c r="DK62" s="17"/>
      <c r="DO62" s="18"/>
      <c r="DS62" s="163"/>
      <c r="DT62" s="162"/>
      <c r="DX62" s="163"/>
      <c r="DY62" s="162"/>
      <c r="EC62" s="162"/>
      <c r="EF62" s="163"/>
      <c r="EK62" s="163"/>
      <c r="EL62" s="162"/>
      <c r="EO62" s="163"/>
      <c r="EP62" s="162"/>
      <c r="ET62" s="163"/>
      <c r="EU62" s="162"/>
      <c r="EX62" s="163"/>
      <c r="EY62" s="162"/>
      <c r="FB62" s="163"/>
    </row>
    <row r="63" spans="1:158" ht="22" customHeight="1" x14ac:dyDescent="0.2">
      <c r="A63" s="11"/>
      <c r="B63" s="748" t="s">
        <v>118</v>
      </c>
      <c r="C63" s="11" t="s">
        <v>103</v>
      </c>
      <c r="D63" s="725">
        <v>45995</v>
      </c>
      <c r="E63" s="747">
        <v>45992</v>
      </c>
      <c r="F63" s="11" t="s">
        <v>117</v>
      </c>
      <c r="G63" s="711">
        <v>600</v>
      </c>
      <c r="H63" s="11">
        <f t="shared" ref="H63:H126" si="4">SUM(O63:FB63)</f>
        <v>400</v>
      </c>
      <c r="I63" s="711">
        <f>G63-H63</f>
        <v>200</v>
      </c>
      <c r="P63" s="14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6"/>
      <c r="AJ63" s="126"/>
      <c r="AK63" s="126"/>
      <c r="AL63" s="126"/>
      <c r="AM63" s="127"/>
      <c r="AN63" s="127"/>
      <c r="AO63" s="127"/>
      <c r="AP63" s="127"/>
      <c r="AQ63" s="127"/>
      <c r="AR63" s="127"/>
      <c r="AS63" s="127"/>
      <c r="AT63" s="61"/>
      <c r="AU63" s="123"/>
      <c r="AV63" s="741"/>
      <c r="AW63" s="741"/>
      <c r="AX63" s="746"/>
      <c r="AY63" s="128"/>
      <c r="AZ63" s="129"/>
      <c r="BA63" s="129"/>
      <c r="BB63" s="129"/>
      <c r="BC63" s="61"/>
      <c r="BD63" s="61"/>
      <c r="BE63" s="123"/>
      <c r="BF63" s="19"/>
      <c r="BG63" s="61"/>
      <c r="BH63" s="123"/>
      <c r="BI63" s="123"/>
      <c r="BJ63" s="19"/>
      <c r="BK63" s="130"/>
      <c r="BL63" s="130"/>
      <c r="BM63" s="63"/>
      <c r="BN63" s="125"/>
      <c r="BO63" s="64"/>
      <c r="BP63" s="123"/>
      <c r="BQ63" s="123"/>
      <c r="BR63" s="61"/>
      <c r="BS63" s="123"/>
      <c r="BT63" s="61"/>
      <c r="BU63" s="123"/>
      <c r="BV63" s="123"/>
      <c r="BW63" s="123"/>
      <c r="BX63" s="61"/>
      <c r="BY63" s="123"/>
      <c r="BZ63" s="123"/>
      <c r="CA63" s="123"/>
      <c r="CB63" s="123"/>
      <c r="CC63" s="14"/>
      <c r="CD63" s="12"/>
      <c r="CE63" s="12"/>
      <c r="CF63" s="12"/>
      <c r="CG63" s="14"/>
      <c r="CH63" s="12"/>
      <c r="CI63" s="40"/>
      <c r="CK63" s="729"/>
      <c r="CL63" s="14"/>
      <c r="CM63" s="12"/>
      <c r="CN63" s="12"/>
      <c r="CO63" s="13"/>
      <c r="CP63" s="12"/>
      <c r="CQ63" s="12"/>
      <c r="CR63" s="12"/>
      <c r="CS63" s="13"/>
      <c r="CT63" s="342"/>
      <c r="CU63" s="12"/>
      <c r="CV63" s="12">
        <v>100</v>
      </c>
      <c r="CW63" s="12"/>
      <c r="CX63" s="13"/>
      <c r="CY63" s="14">
        <v>150</v>
      </c>
      <c r="CZ63" s="12"/>
      <c r="DB63" s="18"/>
      <c r="DC63" s="17">
        <v>150</v>
      </c>
      <c r="DD63" s="12"/>
      <c r="DG63" s="162"/>
      <c r="DJ63" s="181"/>
      <c r="DK63" s="17"/>
      <c r="DO63" s="18"/>
      <c r="DS63" s="163"/>
      <c r="DT63" s="162"/>
      <c r="DX63" s="163"/>
      <c r="DY63" s="162"/>
      <c r="EC63" s="162"/>
      <c r="EF63" s="163"/>
      <c r="EK63" s="163"/>
      <c r="EL63" s="162"/>
      <c r="EO63" s="163"/>
      <c r="EP63" s="162"/>
      <c r="ET63" s="163"/>
      <c r="EU63" s="162"/>
      <c r="EX63" s="163"/>
      <c r="EY63" s="162"/>
      <c r="FB63" s="163"/>
    </row>
    <row r="64" spans="1:158" ht="22" customHeight="1" x14ac:dyDescent="0.2">
      <c r="A64" s="11"/>
      <c r="B64" s="11" t="s">
        <v>119</v>
      </c>
      <c r="C64" s="11" t="s">
        <v>103</v>
      </c>
      <c r="D64" s="724">
        <v>46029</v>
      </c>
      <c r="E64" s="747">
        <v>45992</v>
      </c>
      <c r="F64" s="11" t="s">
        <v>120</v>
      </c>
      <c r="G64" s="711">
        <v>600</v>
      </c>
      <c r="H64" s="11">
        <f t="shared" si="4"/>
        <v>600</v>
      </c>
      <c r="I64" s="711">
        <f t="shared" ref="I64:I69" si="5">G64-H64</f>
        <v>0</v>
      </c>
      <c r="P64" s="14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6"/>
      <c r="AJ64" s="126"/>
      <c r="AK64" s="126"/>
      <c r="AL64" s="126"/>
      <c r="AM64" s="127"/>
      <c r="AN64" s="127"/>
      <c r="AO64" s="127"/>
      <c r="AP64" s="127"/>
      <c r="AQ64" s="127"/>
      <c r="AR64" s="127"/>
      <c r="AS64" s="127"/>
      <c r="AT64" s="61"/>
      <c r="AU64" s="123"/>
      <c r="AV64" s="741"/>
      <c r="AW64" s="741"/>
      <c r="AX64" s="746"/>
      <c r="AY64" s="128"/>
      <c r="AZ64" s="129"/>
      <c r="BA64" s="129"/>
      <c r="BB64" s="129"/>
      <c r="BC64" s="61"/>
      <c r="BD64" s="61"/>
      <c r="BE64" s="123"/>
      <c r="BF64" s="19"/>
      <c r="BG64" s="61"/>
      <c r="BH64" s="123"/>
      <c r="BI64" s="123"/>
      <c r="BJ64" s="19"/>
      <c r="BK64" s="130"/>
      <c r="BL64" s="130"/>
      <c r="BM64" s="63"/>
      <c r="BN64" s="125"/>
      <c r="BO64" s="64"/>
      <c r="BP64" s="123"/>
      <c r="BQ64" s="123"/>
      <c r="BR64" s="61"/>
      <c r="BS64" s="123"/>
      <c r="BT64" s="61"/>
      <c r="BU64" s="123"/>
      <c r="BV64" s="123"/>
      <c r="BW64" s="123"/>
      <c r="BX64" s="61"/>
      <c r="BY64" s="123"/>
      <c r="BZ64" s="123"/>
      <c r="CA64" s="123"/>
      <c r="CB64" s="123"/>
      <c r="CC64" s="14"/>
      <c r="CD64" s="12"/>
      <c r="CE64" s="12"/>
      <c r="CF64" s="12"/>
      <c r="CG64" s="14"/>
      <c r="CH64" s="12"/>
      <c r="CI64" s="40"/>
      <c r="CK64" s="729"/>
      <c r="CL64" s="14"/>
      <c r="CM64" s="12" t="s">
        <v>121</v>
      </c>
      <c r="CN64" s="12"/>
      <c r="CO64" s="13"/>
      <c r="CP64" s="12"/>
      <c r="CQ64" s="12"/>
      <c r="CR64" s="12"/>
      <c r="CS64" s="13"/>
      <c r="CT64" s="342"/>
      <c r="CU64" s="12">
        <v>600</v>
      </c>
      <c r="CV64" s="12"/>
      <c r="CW64" s="12"/>
      <c r="CX64" s="13"/>
      <c r="CY64" s="14"/>
      <c r="CZ64" s="12"/>
      <c r="DB64" s="18"/>
      <c r="DC64" s="17"/>
      <c r="DD64" s="12"/>
      <c r="DG64" s="162"/>
      <c r="DJ64" s="181"/>
      <c r="DK64" s="17"/>
      <c r="DO64" s="18"/>
      <c r="DS64" s="163"/>
      <c r="DT64" s="162"/>
      <c r="DX64" s="163"/>
      <c r="DY64" s="162"/>
      <c r="EC64" s="162"/>
      <c r="EF64" s="163"/>
      <c r="EK64" s="163"/>
      <c r="EL64" s="162"/>
      <c r="EO64" s="163"/>
      <c r="EP64" s="162"/>
      <c r="ET64" s="163"/>
      <c r="EU64" s="162"/>
      <c r="EX64" s="163"/>
      <c r="EY64" s="162"/>
      <c r="FB64" s="163"/>
    </row>
    <row r="65" spans="1:158" ht="22" customHeight="1" x14ac:dyDescent="0.2">
      <c r="A65" s="11"/>
      <c r="B65" s="748" t="s">
        <v>122</v>
      </c>
      <c r="C65" s="11" t="s">
        <v>103</v>
      </c>
      <c r="D65" s="725" t="s">
        <v>123</v>
      </c>
      <c r="E65" s="747">
        <v>45992</v>
      </c>
      <c r="F65" s="11" t="s">
        <v>34</v>
      </c>
      <c r="G65" s="711">
        <v>600</v>
      </c>
      <c r="H65" s="11">
        <f t="shared" si="4"/>
        <v>500</v>
      </c>
      <c r="I65" s="711">
        <f t="shared" si="5"/>
        <v>100</v>
      </c>
      <c r="P65" s="14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6"/>
      <c r="AJ65" s="126"/>
      <c r="AK65" s="126"/>
      <c r="AL65" s="126"/>
      <c r="AM65" s="127"/>
      <c r="AN65" s="127"/>
      <c r="AO65" s="127"/>
      <c r="AP65" s="127"/>
      <c r="AQ65" s="127"/>
      <c r="AR65" s="127"/>
      <c r="AS65" s="127"/>
      <c r="AT65" s="61"/>
      <c r="AU65" s="123"/>
      <c r="AV65" s="741"/>
      <c r="AW65" s="741"/>
      <c r="AX65" s="746"/>
      <c r="AY65" s="128"/>
      <c r="AZ65" s="129"/>
      <c r="BA65" s="129"/>
      <c r="BB65" s="129"/>
      <c r="BC65" s="61"/>
      <c r="BD65" s="61"/>
      <c r="BE65" s="123"/>
      <c r="BF65" s="19"/>
      <c r="BG65" s="61"/>
      <c r="BH65" s="123"/>
      <c r="BI65" s="123"/>
      <c r="BJ65" s="19"/>
      <c r="BK65" s="130"/>
      <c r="BL65" s="130"/>
      <c r="BM65" s="63"/>
      <c r="BN65" s="125"/>
      <c r="BO65" s="64"/>
      <c r="BP65" s="123"/>
      <c r="BQ65" s="123"/>
      <c r="BR65" s="61"/>
      <c r="BS65" s="123"/>
      <c r="BT65" s="61"/>
      <c r="BU65" s="123"/>
      <c r="BV65" s="123"/>
      <c r="BW65" s="123"/>
      <c r="BX65" s="61"/>
      <c r="BY65" s="123"/>
      <c r="BZ65" s="123"/>
      <c r="CA65" s="123"/>
      <c r="CB65" s="123"/>
      <c r="CC65" s="14"/>
      <c r="CD65" s="12"/>
      <c r="CE65" s="12"/>
      <c r="CF65" s="12"/>
      <c r="CG65" s="14"/>
      <c r="CH65" s="12"/>
      <c r="CI65" s="40"/>
      <c r="CK65" s="729"/>
      <c r="CL65" s="14"/>
      <c r="CM65" s="12"/>
      <c r="CN65" s="12"/>
      <c r="CO65" s="13"/>
      <c r="CP65" s="12"/>
      <c r="CQ65" s="12"/>
      <c r="CR65" s="12"/>
      <c r="CS65" s="13"/>
      <c r="CT65" s="342"/>
      <c r="CU65" s="12"/>
      <c r="CV65" s="12">
        <v>100</v>
      </c>
      <c r="CW65" s="12"/>
      <c r="CX65" s="13"/>
      <c r="CY65" s="14">
        <v>200</v>
      </c>
      <c r="CZ65" s="12"/>
      <c r="DB65" s="18"/>
      <c r="DC65" s="17">
        <v>200</v>
      </c>
      <c r="DD65" s="12"/>
      <c r="DG65" s="162"/>
      <c r="DJ65" s="181"/>
      <c r="DK65" s="17"/>
      <c r="DO65" s="18"/>
      <c r="DS65" s="163"/>
      <c r="DT65" s="162"/>
      <c r="DX65" s="163"/>
      <c r="DY65" s="162"/>
      <c r="EC65" s="162"/>
      <c r="EF65" s="163"/>
      <c r="EK65" s="163"/>
      <c r="EL65" s="162"/>
      <c r="EO65" s="163"/>
      <c r="EP65" s="162"/>
      <c r="ET65" s="163"/>
      <c r="EU65" s="162"/>
      <c r="EX65" s="163"/>
      <c r="EY65" s="162"/>
      <c r="FB65" s="163"/>
    </row>
    <row r="66" spans="1:158" ht="22" customHeight="1" x14ac:dyDescent="0.2">
      <c r="A66" s="11"/>
      <c r="B66" s="748" t="s">
        <v>124</v>
      </c>
      <c r="C66" s="11" t="s">
        <v>103</v>
      </c>
      <c r="D66" s="725" t="s">
        <v>125</v>
      </c>
      <c r="E66" s="747">
        <v>45992</v>
      </c>
      <c r="F66" s="11" t="s">
        <v>34</v>
      </c>
      <c r="G66" s="711">
        <v>600</v>
      </c>
      <c r="H66" s="11">
        <f t="shared" si="4"/>
        <v>200</v>
      </c>
      <c r="I66" s="711">
        <f t="shared" si="5"/>
        <v>400</v>
      </c>
      <c r="P66" s="14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6"/>
      <c r="AJ66" s="126"/>
      <c r="AK66" s="126"/>
      <c r="AL66" s="126"/>
      <c r="AM66" s="127"/>
      <c r="AN66" s="127"/>
      <c r="AO66" s="127"/>
      <c r="AP66" s="127"/>
      <c r="AQ66" s="127"/>
      <c r="AR66" s="127"/>
      <c r="AS66" s="127"/>
      <c r="AT66" s="61"/>
      <c r="AU66" s="123"/>
      <c r="AV66" s="741"/>
      <c r="AW66" s="741"/>
      <c r="AX66" s="746"/>
      <c r="AY66" s="128"/>
      <c r="AZ66" s="129"/>
      <c r="BA66" s="129"/>
      <c r="BB66" s="129"/>
      <c r="BC66" s="61"/>
      <c r="BD66" s="61"/>
      <c r="BE66" s="123"/>
      <c r="BF66" s="19"/>
      <c r="BG66" s="61"/>
      <c r="BH66" s="123"/>
      <c r="BI66" s="123"/>
      <c r="BJ66" s="19"/>
      <c r="BK66" s="130"/>
      <c r="BL66" s="130"/>
      <c r="BM66" s="63"/>
      <c r="BN66" s="125"/>
      <c r="BO66" s="64"/>
      <c r="BP66" s="123"/>
      <c r="BQ66" s="123"/>
      <c r="BR66" s="61"/>
      <c r="BS66" s="123"/>
      <c r="BT66" s="61"/>
      <c r="BU66" s="123"/>
      <c r="BV66" s="123"/>
      <c r="BW66" s="123"/>
      <c r="BX66" s="61"/>
      <c r="BY66" s="123"/>
      <c r="BZ66" s="123"/>
      <c r="CA66" s="123"/>
      <c r="CB66" s="123"/>
      <c r="CC66" s="14"/>
      <c r="CD66" s="12"/>
      <c r="CE66" s="12"/>
      <c r="CF66" s="12"/>
      <c r="CG66" s="14"/>
      <c r="CH66" s="12"/>
      <c r="CI66" s="40"/>
      <c r="CK66" s="729"/>
      <c r="CL66" s="14"/>
      <c r="CM66" s="12"/>
      <c r="CN66" s="12"/>
      <c r="CO66" s="13"/>
      <c r="CP66" s="12"/>
      <c r="CQ66" s="12"/>
      <c r="CR66" s="12"/>
      <c r="CS66" s="13"/>
      <c r="CT66" s="342"/>
      <c r="CU66" s="12"/>
      <c r="CV66" s="12">
        <v>200</v>
      </c>
      <c r="CW66" s="12"/>
      <c r="CX66" s="13"/>
      <c r="CY66" s="14"/>
      <c r="CZ66" s="12"/>
      <c r="DB66" s="18"/>
      <c r="DC66" s="17"/>
      <c r="DD66" s="12"/>
      <c r="DG66" s="162"/>
      <c r="DJ66" s="181"/>
      <c r="DK66" s="17"/>
      <c r="DO66" s="18"/>
      <c r="DS66" s="163"/>
      <c r="DT66" s="162"/>
      <c r="DX66" s="163"/>
      <c r="DY66" s="162"/>
      <c r="EC66" s="162"/>
      <c r="EF66" s="163"/>
      <c r="EK66" s="163"/>
      <c r="EL66" s="162"/>
      <c r="EO66" s="163"/>
      <c r="EP66" s="162"/>
      <c r="ET66" s="163"/>
      <c r="EU66" s="162"/>
      <c r="EX66" s="163"/>
      <c r="EY66" s="162"/>
      <c r="FB66" s="163"/>
    </row>
    <row r="67" spans="1:158" ht="22" customHeight="1" x14ac:dyDescent="0.2">
      <c r="A67" s="11"/>
      <c r="B67" s="748" t="s">
        <v>126</v>
      </c>
      <c r="C67" s="11" t="s">
        <v>103</v>
      </c>
      <c r="D67" s="725" t="s">
        <v>125</v>
      </c>
      <c r="E67" s="747">
        <v>45992</v>
      </c>
      <c r="F67" s="11" t="s">
        <v>34</v>
      </c>
      <c r="G67" s="711">
        <v>600</v>
      </c>
      <c r="H67" s="11">
        <f t="shared" si="4"/>
        <v>300</v>
      </c>
      <c r="I67" s="711">
        <f t="shared" si="5"/>
        <v>300</v>
      </c>
      <c r="P67" s="14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123"/>
      <c r="AI67" s="126"/>
      <c r="AJ67" s="126"/>
      <c r="AK67" s="126"/>
      <c r="AL67" s="126"/>
      <c r="AM67" s="127"/>
      <c r="AN67" s="127"/>
      <c r="AO67" s="127"/>
      <c r="AP67" s="127"/>
      <c r="AQ67" s="127"/>
      <c r="AR67" s="127"/>
      <c r="AS67" s="127"/>
      <c r="AT67" s="61"/>
      <c r="AU67" s="123"/>
      <c r="AV67" s="741"/>
      <c r="AW67" s="741"/>
      <c r="AX67" s="746"/>
      <c r="AY67" s="128"/>
      <c r="AZ67" s="129"/>
      <c r="BA67" s="129"/>
      <c r="BB67" s="129"/>
      <c r="BC67" s="61"/>
      <c r="BD67" s="61"/>
      <c r="BE67" s="123"/>
      <c r="BF67" s="19"/>
      <c r="BG67" s="61"/>
      <c r="BH67" s="123"/>
      <c r="BI67" s="123"/>
      <c r="BJ67" s="19"/>
      <c r="BK67" s="130"/>
      <c r="BL67" s="130"/>
      <c r="BM67" s="63"/>
      <c r="BN67" s="125"/>
      <c r="BO67" s="64"/>
      <c r="BP67" s="123"/>
      <c r="BQ67" s="123"/>
      <c r="BR67" s="61"/>
      <c r="BS67" s="123"/>
      <c r="BT67" s="61"/>
      <c r="BU67" s="123"/>
      <c r="BV67" s="123"/>
      <c r="BW67" s="123"/>
      <c r="BX67" s="61"/>
      <c r="BY67" s="123"/>
      <c r="BZ67" s="123"/>
      <c r="CA67" s="123"/>
      <c r="CB67" s="123"/>
      <c r="CC67" s="14"/>
      <c r="CD67" s="12"/>
      <c r="CE67" s="12"/>
      <c r="CF67" s="12"/>
      <c r="CG67" s="14"/>
      <c r="CH67" s="12"/>
      <c r="CI67" s="40"/>
      <c r="CK67" s="729"/>
      <c r="CL67" s="14"/>
      <c r="CM67" s="12"/>
      <c r="CN67" s="12"/>
      <c r="CO67" s="13"/>
      <c r="CP67" s="12"/>
      <c r="CQ67" s="12"/>
      <c r="CR67" s="12"/>
      <c r="CS67" s="13"/>
      <c r="CT67" s="342"/>
      <c r="CU67" s="12"/>
      <c r="CV67" s="12">
        <v>100</v>
      </c>
      <c r="CW67" s="12"/>
      <c r="CX67" s="13"/>
      <c r="CY67" s="14">
        <v>50</v>
      </c>
      <c r="CZ67" s="12"/>
      <c r="DB67" s="18"/>
      <c r="DC67" s="17">
        <v>150</v>
      </c>
      <c r="DD67" s="12"/>
      <c r="DG67" s="162"/>
      <c r="DJ67" s="181"/>
      <c r="DK67" s="17"/>
      <c r="DO67" s="18"/>
      <c r="DS67" s="163"/>
      <c r="DT67" s="162"/>
      <c r="DX67" s="163"/>
      <c r="DY67" s="162"/>
      <c r="EC67" s="162"/>
      <c r="EF67" s="163"/>
      <c r="EK67" s="163"/>
      <c r="EL67" s="162"/>
      <c r="EO67" s="163"/>
      <c r="EP67" s="162"/>
      <c r="ET67" s="163"/>
      <c r="EU67" s="162"/>
      <c r="EX67" s="163"/>
      <c r="EY67" s="162"/>
      <c r="FB67" s="163"/>
    </row>
    <row r="68" spans="1:158" ht="22" customHeight="1" x14ac:dyDescent="0.2">
      <c r="A68" s="11"/>
      <c r="B68" s="748" t="s">
        <v>127</v>
      </c>
      <c r="C68" s="11" t="s">
        <v>103</v>
      </c>
      <c r="D68" s="725" t="s">
        <v>125</v>
      </c>
      <c r="E68" s="747">
        <v>45992</v>
      </c>
      <c r="F68" s="11" t="s">
        <v>34</v>
      </c>
      <c r="G68" s="711">
        <v>204</v>
      </c>
      <c r="H68" s="11">
        <f t="shared" si="4"/>
        <v>104</v>
      </c>
      <c r="I68" s="711">
        <f t="shared" si="5"/>
        <v>100</v>
      </c>
      <c r="P68" s="14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123"/>
      <c r="AI68" s="126"/>
      <c r="AJ68" s="126"/>
      <c r="AK68" s="126"/>
      <c r="AL68" s="126"/>
      <c r="AM68" s="127"/>
      <c r="AN68" s="127"/>
      <c r="AO68" s="127"/>
      <c r="AP68" s="127"/>
      <c r="AQ68" s="127"/>
      <c r="AR68" s="127"/>
      <c r="AS68" s="127"/>
      <c r="AT68" s="61"/>
      <c r="AU68" s="123"/>
      <c r="AV68" s="741"/>
      <c r="AW68" s="741"/>
      <c r="AX68" s="746"/>
      <c r="AY68" s="128"/>
      <c r="AZ68" s="129"/>
      <c r="BA68" s="129"/>
      <c r="BB68" s="129"/>
      <c r="BC68" s="61"/>
      <c r="BD68" s="61"/>
      <c r="BE68" s="123"/>
      <c r="BF68" s="19"/>
      <c r="BG68" s="61"/>
      <c r="BH68" s="123"/>
      <c r="BI68" s="123"/>
      <c r="BJ68" s="19"/>
      <c r="BK68" s="130"/>
      <c r="BL68" s="130"/>
      <c r="BM68" s="63"/>
      <c r="BN68" s="125"/>
      <c r="BO68" s="64"/>
      <c r="BP68" s="123"/>
      <c r="BQ68" s="123"/>
      <c r="BR68" s="61"/>
      <c r="BS68" s="123"/>
      <c r="BT68" s="61"/>
      <c r="BU68" s="123"/>
      <c r="BV68" s="123"/>
      <c r="BW68" s="123"/>
      <c r="BX68" s="61"/>
      <c r="BY68" s="123"/>
      <c r="BZ68" s="123"/>
      <c r="CA68" s="123"/>
      <c r="CB68" s="123"/>
      <c r="CC68" s="14"/>
      <c r="CD68" s="12"/>
      <c r="CE68" s="12"/>
      <c r="CF68" s="12"/>
      <c r="CG68" s="14"/>
      <c r="CH68" s="12"/>
      <c r="CI68" s="40"/>
      <c r="CK68" s="729"/>
      <c r="CL68" s="14"/>
      <c r="CM68" s="12"/>
      <c r="CN68" s="12"/>
      <c r="CO68" s="13"/>
      <c r="CP68" s="12"/>
      <c r="CQ68" s="12"/>
      <c r="CR68" s="12"/>
      <c r="CS68" s="13"/>
      <c r="CT68" s="342"/>
      <c r="CU68" s="12"/>
      <c r="CV68" s="12">
        <v>104</v>
      </c>
      <c r="CW68" s="12"/>
      <c r="CX68" s="13"/>
      <c r="CY68" s="14"/>
      <c r="CZ68" s="12"/>
      <c r="DB68" s="18"/>
      <c r="DC68" s="17"/>
      <c r="DD68" s="12"/>
      <c r="DG68" s="162"/>
      <c r="DJ68" s="181"/>
      <c r="DK68" s="17"/>
      <c r="DO68" s="18"/>
      <c r="DS68" s="163"/>
      <c r="DT68" s="162"/>
      <c r="DX68" s="163"/>
      <c r="DY68" s="162"/>
      <c r="EC68" s="162"/>
      <c r="EF68" s="163"/>
      <c r="EK68" s="163"/>
      <c r="EL68" s="162"/>
      <c r="EO68" s="163"/>
      <c r="EP68" s="162"/>
      <c r="ET68" s="163"/>
      <c r="EU68" s="162"/>
      <c r="EX68" s="163"/>
      <c r="EY68" s="162"/>
      <c r="FB68" s="163"/>
    </row>
    <row r="69" spans="1:158" ht="22" customHeight="1" x14ac:dyDescent="0.2">
      <c r="A69" s="11"/>
      <c r="B69" s="748" t="s">
        <v>128</v>
      </c>
      <c r="C69" s="11" t="s">
        <v>103</v>
      </c>
      <c r="D69" s="725" t="s">
        <v>123</v>
      </c>
      <c r="E69" s="747">
        <v>45992</v>
      </c>
      <c r="F69" s="11" t="s">
        <v>34</v>
      </c>
      <c r="G69" s="711">
        <v>600</v>
      </c>
      <c r="H69" s="11">
        <f t="shared" si="4"/>
        <v>400</v>
      </c>
      <c r="I69" s="711">
        <f t="shared" si="5"/>
        <v>200</v>
      </c>
      <c r="P69" s="14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6"/>
      <c r="AJ69" s="126"/>
      <c r="AK69" s="126"/>
      <c r="AL69" s="126"/>
      <c r="AM69" s="127"/>
      <c r="AN69" s="127"/>
      <c r="AO69" s="127"/>
      <c r="AP69" s="127"/>
      <c r="AQ69" s="127"/>
      <c r="AR69" s="127"/>
      <c r="AS69" s="127"/>
      <c r="AT69" s="61"/>
      <c r="AU69" s="123"/>
      <c r="AV69" s="741"/>
      <c r="AW69" s="741"/>
      <c r="AX69" s="746"/>
      <c r="AY69" s="128"/>
      <c r="AZ69" s="129"/>
      <c r="BA69" s="129"/>
      <c r="BB69" s="129"/>
      <c r="BC69" s="61"/>
      <c r="BD69" s="61"/>
      <c r="BE69" s="123"/>
      <c r="BF69" s="19"/>
      <c r="BG69" s="61"/>
      <c r="BH69" s="123"/>
      <c r="BI69" s="123"/>
      <c r="BJ69" s="19"/>
      <c r="BK69" s="130"/>
      <c r="BL69" s="130"/>
      <c r="BM69" s="63"/>
      <c r="BN69" s="125"/>
      <c r="BO69" s="64"/>
      <c r="BP69" s="123"/>
      <c r="BQ69" s="123"/>
      <c r="BR69" s="61"/>
      <c r="BS69" s="123"/>
      <c r="BT69" s="61"/>
      <c r="BU69" s="123"/>
      <c r="BV69" s="123"/>
      <c r="BW69" s="123"/>
      <c r="BX69" s="61"/>
      <c r="BY69" s="123"/>
      <c r="BZ69" s="123"/>
      <c r="CA69" s="123"/>
      <c r="CB69" s="123"/>
      <c r="CC69" s="14"/>
      <c r="CD69" s="12"/>
      <c r="CE69" s="12"/>
      <c r="CF69" s="12"/>
      <c r="CG69" s="14"/>
      <c r="CH69" s="12"/>
      <c r="CI69" s="40"/>
      <c r="CK69" s="729"/>
      <c r="CL69" s="14"/>
      <c r="CM69" s="12"/>
      <c r="CN69" s="12"/>
      <c r="CO69" s="13"/>
      <c r="CP69" s="12"/>
      <c r="CQ69" s="12"/>
      <c r="CR69" s="12"/>
      <c r="CS69" s="13"/>
      <c r="CT69" s="342"/>
      <c r="CU69" s="12"/>
      <c r="CV69" s="12">
        <v>100</v>
      </c>
      <c r="CW69" s="12"/>
      <c r="CX69" s="13"/>
      <c r="CY69" s="14">
        <v>150</v>
      </c>
      <c r="CZ69" s="12"/>
      <c r="DB69" s="18"/>
      <c r="DC69" s="17">
        <v>150</v>
      </c>
      <c r="DD69" s="12"/>
      <c r="DE69" s="12"/>
      <c r="DG69" s="162"/>
      <c r="DJ69" s="181"/>
      <c r="DK69" s="17"/>
      <c r="DO69" s="18"/>
      <c r="DS69" s="163"/>
      <c r="DT69" s="162"/>
      <c r="DX69" s="163"/>
      <c r="DY69" s="162"/>
      <c r="EC69" s="162"/>
      <c r="EF69" s="163"/>
      <c r="EK69" s="163"/>
      <c r="EL69" s="162"/>
      <c r="EO69" s="163"/>
      <c r="EP69" s="162"/>
      <c r="ET69" s="163"/>
      <c r="EU69" s="162"/>
      <c r="EX69" s="163"/>
      <c r="EY69" s="162"/>
      <c r="FB69" s="163"/>
    </row>
    <row r="70" spans="1:158" ht="22" hidden="1" customHeight="1" x14ac:dyDescent="0.2">
      <c r="A70" s="749"/>
      <c r="B70" s="749" t="s">
        <v>129</v>
      </c>
      <c r="C70" s="749" t="s">
        <v>29</v>
      </c>
      <c r="D70" s="749"/>
      <c r="E70" s="750" t="s">
        <v>130</v>
      </c>
      <c r="F70" s="749" t="s">
        <v>29</v>
      </c>
      <c r="G70" s="751">
        <v>252</v>
      </c>
      <c r="H70" s="749">
        <f t="shared" si="4"/>
        <v>252</v>
      </c>
      <c r="I70" s="751">
        <f>G70-H70</f>
        <v>0</v>
      </c>
      <c r="P70" s="14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6"/>
      <c r="AJ70" s="126"/>
      <c r="AK70" s="126"/>
      <c r="AL70" s="126"/>
      <c r="AM70" s="127"/>
      <c r="AN70" s="127"/>
      <c r="AO70" s="127"/>
      <c r="AP70" s="127"/>
      <c r="AQ70" s="127"/>
      <c r="AR70" s="127"/>
      <c r="AS70" s="127"/>
      <c r="AT70" s="61"/>
      <c r="AU70" s="123"/>
      <c r="AV70" s="741"/>
      <c r="AW70" s="741"/>
      <c r="AX70" s="746"/>
      <c r="AY70" s="128"/>
      <c r="AZ70" s="129"/>
      <c r="BA70" s="129"/>
      <c r="BB70" s="129"/>
      <c r="BC70" s="61"/>
      <c r="BD70" s="61"/>
      <c r="BE70" s="123"/>
      <c r="BF70" s="19"/>
      <c r="BG70" s="61"/>
      <c r="BH70" s="123"/>
      <c r="BI70" s="123"/>
      <c r="BJ70" s="19"/>
      <c r="BK70" s="130"/>
      <c r="BL70" s="130"/>
      <c r="BM70" s="63"/>
      <c r="BN70" s="125"/>
      <c r="BO70" s="64"/>
      <c r="BP70" s="123"/>
      <c r="BQ70" s="123"/>
      <c r="BR70" s="61"/>
      <c r="BS70" s="123"/>
      <c r="BT70" s="61"/>
      <c r="BU70" s="123"/>
      <c r="BV70" s="123"/>
      <c r="BW70" s="123"/>
      <c r="BX70" s="61"/>
      <c r="BY70" s="123"/>
      <c r="BZ70" s="123"/>
      <c r="CA70" s="123"/>
      <c r="CB70" s="123"/>
      <c r="CC70" s="14"/>
      <c r="CD70" s="12"/>
      <c r="CE70" s="12"/>
      <c r="CF70" s="12"/>
      <c r="CG70" s="14"/>
      <c r="CH70" s="12"/>
      <c r="CI70" s="40"/>
      <c r="CK70" s="148"/>
      <c r="CL70" s="146">
        <v>252</v>
      </c>
      <c r="CM70" s="12"/>
      <c r="CN70" s="147"/>
      <c r="CO70" s="13"/>
      <c r="CP70" s="12"/>
      <c r="CQ70" s="12"/>
      <c r="CR70" s="12"/>
      <c r="CS70" s="13"/>
      <c r="CT70" s="342"/>
      <c r="CU70" s="12"/>
      <c r="CV70" s="12"/>
      <c r="CW70" s="12"/>
      <c r="CX70" s="13"/>
      <c r="CY70" s="14"/>
      <c r="CZ70" s="12"/>
      <c r="DB70" s="18"/>
      <c r="DC70" s="17"/>
      <c r="DG70" s="162"/>
      <c r="DJ70" s="181"/>
      <c r="DK70" s="17"/>
      <c r="DO70" s="18"/>
      <c r="DS70" s="163"/>
      <c r="DT70" s="162"/>
      <c r="DX70" s="163"/>
      <c r="DY70" s="162"/>
      <c r="EC70" s="162"/>
      <c r="EF70" s="163"/>
      <c r="EK70" s="163"/>
      <c r="EL70" s="162"/>
      <c r="EO70" s="163"/>
      <c r="EP70" s="162"/>
      <c r="ET70" s="163"/>
      <c r="EU70" s="162"/>
      <c r="EX70" s="163"/>
      <c r="EY70" s="162"/>
      <c r="FB70" s="163"/>
    </row>
    <row r="71" spans="1:158" ht="24" hidden="1" customHeight="1" x14ac:dyDescent="0.2">
      <c r="A71" s="427">
        <v>4500230405</v>
      </c>
      <c r="B71" s="351" t="s">
        <v>131</v>
      </c>
      <c r="C71" s="351" t="s">
        <v>132</v>
      </c>
      <c r="D71" s="351"/>
      <c r="E71" s="352">
        <v>46000</v>
      </c>
      <c r="F71" s="631" t="s">
        <v>8</v>
      </c>
      <c r="G71" s="691">
        <v>702</v>
      </c>
      <c r="H71" s="631">
        <f t="shared" si="4"/>
        <v>702</v>
      </c>
      <c r="I71" s="691">
        <f t="shared" si="3"/>
        <v>0</v>
      </c>
      <c r="P71" s="14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6"/>
      <c r="AJ71" s="126"/>
      <c r="AK71" s="126"/>
      <c r="AL71" s="126"/>
      <c r="AM71" s="127"/>
      <c r="AN71" s="127"/>
      <c r="AO71" s="127"/>
      <c r="AP71" s="127"/>
      <c r="AQ71" s="127"/>
      <c r="AR71" s="127"/>
      <c r="AS71" s="127"/>
      <c r="AT71" s="61"/>
      <c r="AU71" s="123"/>
      <c r="AV71" s="741"/>
      <c r="AW71" s="741"/>
      <c r="AX71" s="746"/>
      <c r="AY71" s="128"/>
      <c r="AZ71" s="129"/>
      <c r="BA71" s="129"/>
      <c r="BB71" s="129"/>
      <c r="BC71" s="61"/>
      <c r="BD71" s="61"/>
      <c r="BE71" s="123"/>
      <c r="BF71" s="19"/>
      <c r="BG71" s="61"/>
      <c r="BH71" s="123"/>
      <c r="BI71" s="123"/>
      <c r="BJ71" s="19"/>
      <c r="BK71" s="130"/>
      <c r="BL71" s="130"/>
      <c r="BM71" s="63"/>
      <c r="BN71" s="125"/>
      <c r="BO71" s="64"/>
      <c r="BP71" s="123"/>
      <c r="BQ71" s="123"/>
      <c r="BR71" s="61"/>
      <c r="BS71" s="123"/>
      <c r="BT71" s="61"/>
      <c r="BU71" s="123"/>
      <c r="BV71" s="123"/>
      <c r="BW71" s="123"/>
      <c r="BX71" s="61"/>
      <c r="BY71" s="123"/>
      <c r="BZ71" s="123"/>
      <c r="CA71" s="123"/>
      <c r="CB71" s="123"/>
      <c r="CC71" s="14"/>
      <c r="CD71" s="12"/>
      <c r="CE71" s="12"/>
      <c r="CF71" s="12"/>
      <c r="CG71" s="14"/>
      <c r="CH71" s="12"/>
      <c r="CI71" s="40"/>
      <c r="CJ71" s="12"/>
      <c r="CK71" s="13"/>
      <c r="CL71" s="14"/>
      <c r="CM71" s="12">
        <v>702</v>
      </c>
      <c r="CN71" s="12"/>
      <c r="CO71" s="13"/>
      <c r="CP71" s="12"/>
      <c r="CS71" s="18"/>
      <c r="CT71" s="342"/>
      <c r="CW71" s="12"/>
      <c r="CX71" s="13"/>
      <c r="CY71" s="14"/>
      <c r="CZ71" s="12"/>
      <c r="DB71" s="18"/>
      <c r="DC71" s="17"/>
      <c r="DG71" s="162"/>
      <c r="DJ71" s="181"/>
      <c r="DK71" s="17"/>
      <c r="DO71" s="18"/>
      <c r="DS71" s="163"/>
      <c r="DT71" s="162"/>
      <c r="DX71" s="163"/>
      <c r="DY71" s="162"/>
      <c r="EC71" s="162"/>
      <c r="EF71" s="163"/>
      <c r="EK71" s="163"/>
      <c r="EL71" s="162"/>
      <c r="EO71" s="163"/>
      <c r="EP71" s="162"/>
      <c r="ET71" s="163"/>
      <c r="EU71" s="162"/>
      <c r="EX71" s="163"/>
      <c r="EY71" s="162"/>
      <c r="FB71" s="163"/>
    </row>
    <row r="72" spans="1:158" ht="24" hidden="1" customHeight="1" x14ac:dyDescent="0.2">
      <c r="A72" s="427">
        <v>4500230406</v>
      </c>
      <c r="B72" s="351" t="s">
        <v>133</v>
      </c>
      <c r="C72" s="351" t="s">
        <v>134</v>
      </c>
      <c r="D72" s="351"/>
      <c r="E72" s="352">
        <v>46000</v>
      </c>
      <c r="F72" s="631" t="s">
        <v>8</v>
      </c>
      <c r="G72" s="691">
        <v>738</v>
      </c>
      <c r="H72" s="631">
        <f t="shared" si="4"/>
        <v>738</v>
      </c>
      <c r="I72" s="691">
        <f t="shared" si="3"/>
        <v>0</v>
      </c>
      <c r="P72" s="14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6"/>
      <c r="AJ72" s="126"/>
      <c r="AK72" s="126"/>
      <c r="AL72" s="126"/>
      <c r="AM72" s="127"/>
      <c r="AN72" s="127"/>
      <c r="AO72" s="127"/>
      <c r="AP72" s="127"/>
      <c r="AQ72" s="127"/>
      <c r="AR72" s="127"/>
      <c r="AS72" s="127"/>
      <c r="AT72" s="61"/>
      <c r="AU72" s="123"/>
      <c r="AV72" s="741"/>
      <c r="AW72" s="741"/>
      <c r="AX72" s="746"/>
      <c r="AY72" s="128"/>
      <c r="AZ72" s="129"/>
      <c r="BA72" s="129"/>
      <c r="BB72" s="129"/>
      <c r="BC72" s="61"/>
      <c r="BD72" s="61"/>
      <c r="BE72" s="123"/>
      <c r="BF72" s="19"/>
      <c r="BG72" s="61"/>
      <c r="BH72" s="123"/>
      <c r="BI72" s="123"/>
      <c r="BJ72" s="19"/>
      <c r="BK72" s="130"/>
      <c r="BL72" s="130"/>
      <c r="BM72" s="63"/>
      <c r="BN72" s="125"/>
      <c r="BO72" s="64"/>
      <c r="BP72" s="123"/>
      <c r="BQ72" s="123"/>
      <c r="BR72" s="61"/>
      <c r="BS72" s="123"/>
      <c r="BT72" s="61"/>
      <c r="BU72" s="123"/>
      <c r="BV72" s="123"/>
      <c r="BW72" s="123"/>
      <c r="BX72" s="61"/>
      <c r="BY72" s="123"/>
      <c r="BZ72" s="123"/>
      <c r="CA72" s="123"/>
      <c r="CB72" s="123"/>
      <c r="CC72" s="14"/>
      <c r="CD72" s="12"/>
      <c r="CE72" s="12"/>
      <c r="CF72" s="12"/>
      <c r="CG72" s="14"/>
      <c r="CH72" s="12"/>
      <c r="CI72" s="40"/>
      <c r="CJ72" s="12"/>
      <c r="CK72" s="13"/>
      <c r="CL72" s="14"/>
      <c r="CM72" s="12">
        <v>100</v>
      </c>
      <c r="CN72" s="12">
        <v>638</v>
      </c>
      <c r="CO72" s="13"/>
      <c r="CP72" s="12"/>
      <c r="CS72" s="18"/>
      <c r="CT72" s="342"/>
      <c r="CW72" s="12"/>
      <c r="CX72" s="13"/>
      <c r="CY72" s="14"/>
      <c r="CZ72" s="12"/>
      <c r="DB72" s="18"/>
      <c r="DC72" s="17"/>
      <c r="DG72" s="162"/>
      <c r="DJ72" s="181"/>
      <c r="DK72" s="17"/>
      <c r="DO72" s="18"/>
      <c r="DS72" s="163"/>
      <c r="DT72" s="162"/>
      <c r="DX72" s="163"/>
      <c r="DY72" s="162"/>
      <c r="EC72" s="162"/>
      <c r="EF72" s="163"/>
      <c r="EK72" s="163"/>
      <c r="EL72" s="162"/>
      <c r="EO72" s="163"/>
      <c r="EP72" s="162"/>
      <c r="ET72" s="163"/>
      <c r="EU72" s="162"/>
      <c r="EX72" s="163"/>
      <c r="EY72" s="162"/>
      <c r="FB72" s="163"/>
    </row>
    <row r="73" spans="1:158" ht="24" hidden="1" customHeight="1" x14ac:dyDescent="0.2">
      <c r="A73" s="426">
        <v>4500230407</v>
      </c>
      <c r="B73" s="351" t="s">
        <v>135</v>
      </c>
      <c r="C73" s="351" t="s">
        <v>136</v>
      </c>
      <c r="D73" s="351"/>
      <c r="E73" s="352">
        <f>+E85</f>
        <v>46008</v>
      </c>
      <c r="F73" s="631" t="s">
        <v>8</v>
      </c>
      <c r="G73" s="691">
        <v>786</v>
      </c>
      <c r="H73" s="631">
        <f t="shared" si="4"/>
        <v>786</v>
      </c>
      <c r="I73" s="691">
        <f t="shared" si="3"/>
        <v>0</v>
      </c>
      <c r="P73" s="14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  <c r="AH73" s="123"/>
      <c r="AI73" s="126"/>
      <c r="AJ73" s="126"/>
      <c r="AK73" s="126"/>
      <c r="AL73" s="126"/>
      <c r="AM73" s="127"/>
      <c r="AN73" s="127"/>
      <c r="AO73" s="127"/>
      <c r="AP73" s="127"/>
      <c r="AQ73" s="127"/>
      <c r="AR73" s="127"/>
      <c r="AS73" s="127"/>
      <c r="AT73" s="61"/>
      <c r="AU73" s="123"/>
      <c r="AV73" s="741"/>
      <c r="AW73" s="741"/>
      <c r="AX73" s="746"/>
      <c r="AY73" s="128"/>
      <c r="AZ73" s="129"/>
      <c r="BA73" s="129"/>
      <c r="BB73" s="129"/>
      <c r="BC73" s="61"/>
      <c r="BD73" s="61"/>
      <c r="BE73" s="123"/>
      <c r="BF73" s="19"/>
      <c r="BG73" s="61"/>
      <c r="BH73" s="123"/>
      <c r="BI73" s="123"/>
      <c r="BJ73" s="19"/>
      <c r="BK73" s="130"/>
      <c r="BL73" s="130"/>
      <c r="BM73" s="63"/>
      <c r="BN73" s="125"/>
      <c r="BO73" s="64"/>
      <c r="BP73" s="123"/>
      <c r="BQ73" s="123"/>
      <c r="BR73" s="61"/>
      <c r="BS73" s="123"/>
      <c r="BT73" s="61"/>
      <c r="BU73" s="123"/>
      <c r="BV73" s="123"/>
      <c r="BW73" s="123"/>
      <c r="BX73" s="61"/>
      <c r="BY73" s="123"/>
      <c r="BZ73" s="123"/>
      <c r="CA73" s="123"/>
      <c r="CB73" s="123"/>
      <c r="CC73" s="14"/>
      <c r="CD73" s="12"/>
      <c r="CE73" s="12"/>
      <c r="CF73" s="12"/>
      <c r="CG73" s="14"/>
      <c r="CH73" s="12"/>
      <c r="CI73" s="40"/>
      <c r="CJ73" s="40"/>
      <c r="CK73" s="729"/>
      <c r="CL73" s="14"/>
      <c r="CM73" s="12"/>
      <c r="CN73" s="12">
        <v>786</v>
      </c>
      <c r="CO73" s="13"/>
      <c r="CP73" s="12"/>
      <c r="CQ73" s="12"/>
      <c r="CS73" s="18"/>
      <c r="CT73" s="342"/>
      <c r="CX73" s="13"/>
      <c r="CY73" s="12"/>
      <c r="CZ73" s="12"/>
      <c r="DB73" s="18"/>
      <c r="DC73" s="17"/>
      <c r="DG73" s="162"/>
      <c r="DJ73" s="181"/>
      <c r="DK73" s="17"/>
      <c r="DO73" s="18"/>
      <c r="DS73" s="163"/>
      <c r="DT73" s="162"/>
      <c r="DX73" s="163"/>
      <c r="DY73" s="162"/>
      <c r="EC73" s="162"/>
      <c r="EF73" s="163"/>
      <c r="EK73" s="163"/>
      <c r="EL73" s="162"/>
      <c r="EO73" s="163"/>
      <c r="EP73" s="162"/>
      <c r="ET73" s="163"/>
      <c r="EU73" s="162"/>
      <c r="EX73" s="163"/>
      <c r="EY73" s="162"/>
      <c r="FB73" s="163"/>
    </row>
    <row r="74" spans="1:158" ht="25" hidden="1" customHeight="1" x14ac:dyDescent="0.2">
      <c r="A74" s="426" t="s">
        <v>137</v>
      </c>
      <c r="B74" s="351" t="s">
        <v>138</v>
      </c>
      <c r="C74" s="351" t="s">
        <v>139</v>
      </c>
      <c r="D74" s="351"/>
      <c r="E74" s="352">
        <f>+E73</f>
        <v>46008</v>
      </c>
      <c r="F74" s="631" t="s">
        <v>8</v>
      </c>
      <c r="G74" s="691">
        <v>810</v>
      </c>
      <c r="H74" s="631">
        <f t="shared" si="4"/>
        <v>810</v>
      </c>
      <c r="I74" s="691">
        <f t="shared" si="3"/>
        <v>0</v>
      </c>
      <c r="P74" s="14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6"/>
      <c r="AJ74" s="126"/>
      <c r="AK74" s="126"/>
      <c r="AL74" s="126"/>
      <c r="AM74" s="127"/>
      <c r="AN74" s="127"/>
      <c r="AO74" s="127"/>
      <c r="AP74" s="127"/>
      <c r="AQ74" s="127"/>
      <c r="AR74" s="127"/>
      <c r="AS74" s="127"/>
      <c r="AT74" s="61"/>
      <c r="AU74" s="123"/>
      <c r="AV74" s="741"/>
      <c r="AW74" s="741"/>
      <c r="AX74" s="746"/>
      <c r="AY74" s="128"/>
      <c r="AZ74" s="129"/>
      <c r="BA74" s="129"/>
      <c r="BB74" s="129"/>
      <c r="BC74" s="61"/>
      <c r="BD74" s="61"/>
      <c r="BE74" s="123"/>
      <c r="BF74" s="19"/>
      <c r="BG74" s="61"/>
      <c r="BH74" s="123"/>
      <c r="BI74" s="123"/>
      <c r="BJ74" s="19"/>
      <c r="BK74" s="130"/>
      <c r="BL74" s="130"/>
      <c r="BM74" s="63"/>
      <c r="BN74" s="125"/>
      <c r="BO74" s="64"/>
      <c r="BP74" s="123"/>
      <c r="BQ74" s="123"/>
      <c r="BR74" s="61"/>
      <c r="BS74" s="123"/>
      <c r="BT74" s="61"/>
      <c r="BU74" s="123"/>
      <c r="BV74" s="123"/>
      <c r="BW74" s="123"/>
      <c r="BX74" s="61"/>
      <c r="BY74" s="123"/>
      <c r="BZ74" s="123"/>
      <c r="CA74" s="123"/>
      <c r="CB74" s="123"/>
      <c r="CC74" s="14"/>
      <c r="CD74" s="12"/>
      <c r="CE74" s="12"/>
      <c r="CF74" s="12"/>
      <c r="CG74" s="14"/>
      <c r="CH74" s="12"/>
      <c r="CI74" s="40"/>
      <c r="CJ74" s="181"/>
      <c r="CK74" s="13"/>
      <c r="CL74" s="752"/>
      <c r="CM74" s="12"/>
      <c r="CN74" s="12">
        <v>810</v>
      </c>
      <c r="CO74" s="13"/>
      <c r="CP74" s="12"/>
      <c r="CQ74" s="12"/>
      <c r="CR74" s="12"/>
      <c r="CS74" s="13"/>
      <c r="CT74" s="342"/>
      <c r="CX74" s="13"/>
      <c r="CY74" s="12"/>
      <c r="CZ74" s="12"/>
      <c r="DB74" s="18"/>
      <c r="DC74" s="17"/>
      <c r="DG74" s="162"/>
      <c r="DJ74" s="181"/>
      <c r="DK74" s="17"/>
      <c r="DO74" s="18"/>
      <c r="DS74" s="163"/>
      <c r="DT74" s="162"/>
      <c r="DX74" s="163"/>
      <c r="DY74" s="162"/>
      <c r="EC74" s="162"/>
      <c r="EF74" s="163"/>
      <c r="EK74" s="163"/>
      <c r="EL74" s="162"/>
      <c r="EO74" s="163"/>
      <c r="EP74" s="162"/>
      <c r="ET74" s="163"/>
      <c r="EU74" s="162"/>
      <c r="EX74" s="163"/>
      <c r="EY74" s="162"/>
      <c r="FB74" s="163"/>
    </row>
    <row r="75" spans="1:158" ht="22" hidden="1" customHeight="1" x14ac:dyDescent="0.2">
      <c r="A75" s="631">
        <v>4500230410</v>
      </c>
      <c r="B75" s="351" t="s">
        <v>140</v>
      </c>
      <c r="C75" s="351" t="s">
        <v>141</v>
      </c>
      <c r="D75" s="351"/>
      <c r="E75" s="352">
        <f>+E74</f>
        <v>46008</v>
      </c>
      <c r="F75" s="631" t="s">
        <v>8</v>
      </c>
      <c r="G75" s="691">
        <v>168</v>
      </c>
      <c r="H75" s="631">
        <f t="shared" si="4"/>
        <v>168</v>
      </c>
      <c r="I75" s="691">
        <f t="shared" si="3"/>
        <v>0</v>
      </c>
      <c r="P75" s="14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6"/>
      <c r="AJ75" s="126"/>
      <c r="AK75" s="126"/>
      <c r="AL75" s="126"/>
      <c r="AM75" s="127"/>
      <c r="AN75" s="127"/>
      <c r="AO75" s="127"/>
      <c r="AP75" s="127"/>
      <c r="AQ75" s="127"/>
      <c r="AR75" s="127"/>
      <c r="AS75" s="127"/>
      <c r="AT75" s="61"/>
      <c r="AU75" s="123"/>
      <c r="AV75" s="741"/>
      <c r="AW75" s="741"/>
      <c r="AX75" s="746"/>
      <c r="AY75" s="128"/>
      <c r="AZ75" s="129"/>
      <c r="BA75" s="129"/>
      <c r="BB75" s="129"/>
      <c r="BC75" s="61"/>
      <c r="BD75" s="61"/>
      <c r="BE75" s="123"/>
      <c r="BF75" s="19"/>
      <c r="BG75" s="61"/>
      <c r="BH75" s="123"/>
      <c r="BI75" s="123"/>
      <c r="BJ75" s="19"/>
      <c r="BK75" s="130"/>
      <c r="BL75" s="130"/>
      <c r="BM75" s="63"/>
      <c r="BN75" s="125"/>
      <c r="BO75" s="64"/>
      <c r="BP75" s="123"/>
      <c r="BQ75" s="123"/>
      <c r="BR75" s="61"/>
      <c r="BS75" s="123"/>
      <c r="BT75" s="61"/>
      <c r="BU75" s="123"/>
      <c r="BV75" s="123"/>
      <c r="BW75" s="123"/>
      <c r="BX75" s="61"/>
      <c r="BY75" s="123"/>
      <c r="BZ75" s="123"/>
      <c r="CA75" s="123"/>
      <c r="CB75" s="123"/>
      <c r="CC75" s="14"/>
      <c r="CD75" s="12"/>
      <c r="CE75" s="12"/>
      <c r="CF75" s="12"/>
      <c r="CG75" s="14"/>
      <c r="CH75" s="12"/>
      <c r="CI75" s="40"/>
      <c r="CJ75" s="137"/>
      <c r="CK75" s="753">
        <v>168</v>
      </c>
      <c r="CL75" s="14"/>
      <c r="CM75" s="12"/>
      <c r="CN75" s="12"/>
      <c r="CO75" s="13"/>
      <c r="CP75" s="12"/>
      <c r="CQ75" s="12"/>
      <c r="CR75" s="12"/>
      <c r="CS75" s="13"/>
      <c r="CT75" s="342"/>
      <c r="CX75" s="13"/>
      <c r="CY75" s="14"/>
      <c r="CZ75" s="12"/>
      <c r="DB75" s="18"/>
      <c r="DC75" s="17"/>
      <c r="DG75" s="162"/>
      <c r="DJ75" s="181"/>
      <c r="DK75" s="17"/>
      <c r="DO75" s="18"/>
      <c r="DS75" s="163"/>
      <c r="DT75" s="162"/>
      <c r="DX75" s="163"/>
      <c r="DY75" s="162"/>
      <c r="EC75" s="162"/>
      <c r="EF75" s="163"/>
      <c r="EK75" s="163"/>
      <c r="EL75" s="162"/>
      <c r="EO75" s="163"/>
      <c r="EP75" s="162"/>
      <c r="ET75" s="163"/>
      <c r="EU75" s="162"/>
      <c r="EX75" s="163"/>
      <c r="EY75" s="162"/>
      <c r="FB75" s="163"/>
    </row>
    <row r="76" spans="1:158" ht="22" customHeight="1" thickBot="1" x14ac:dyDescent="0.25">
      <c r="A76" s="11">
        <v>950</v>
      </c>
      <c r="B76" s="11" t="s">
        <v>142</v>
      </c>
      <c r="C76" s="11" t="s">
        <v>105</v>
      </c>
      <c r="D76" s="724">
        <v>45999</v>
      </c>
      <c r="E76" s="747">
        <v>46014</v>
      </c>
      <c r="F76" s="11" t="s">
        <v>74</v>
      </c>
      <c r="G76" s="711">
        <v>612</v>
      </c>
      <c r="H76" s="11">
        <f t="shared" si="4"/>
        <v>612</v>
      </c>
      <c r="I76" s="711">
        <f t="shared" si="3"/>
        <v>0</v>
      </c>
      <c r="P76" s="14"/>
      <c r="T76" s="123"/>
      <c r="U76" s="61"/>
      <c r="V76" s="123"/>
      <c r="W76" s="123"/>
      <c r="X76" s="19"/>
      <c r="Y76" s="123"/>
      <c r="Z76" s="123"/>
      <c r="AA76" s="61"/>
      <c r="AB76" s="123"/>
      <c r="AC76" s="61"/>
      <c r="AD76" s="123"/>
      <c r="AE76" s="123"/>
      <c r="AF76" s="19"/>
      <c r="AG76" s="123"/>
      <c r="AH76" s="123"/>
      <c r="AI76" s="124"/>
      <c r="AJ76" s="124"/>
      <c r="AK76" s="70"/>
      <c r="AL76" s="124"/>
      <c r="AM76" s="123"/>
      <c r="AN76" s="123"/>
      <c r="AO76" s="19"/>
      <c r="AP76" s="123"/>
      <c r="AQ76" s="123"/>
      <c r="AR76" s="123"/>
      <c r="AS76" s="123"/>
      <c r="AT76" s="61"/>
      <c r="AU76" s="123"/>
      <c r="AV76" s="741"/>
      <c r="AW76" s="741"/>
      <c r="AX76" s="108"/>
      <c r="AY76" s="63"/>
      <c r="AZ76" s="125"/>
      <c r="BA76" s="125"/>
      <c r="BB76" s="64"/>
      <c r="BC76" s="63"/>
      <c r="BD76" s="73"/>
      <c r="BE76" s="74"/>
      <c r="BF76" s="75"/>
      <c r="BG76" s="73"/>
      <c r="BH76" s="74"/>
      <c r="BI76" s="74"/>
      <c r="BJ76" s="75"/>
      <c r="BK76" s="74"/>
      <c r="BL76" s="74"/>
      <c r="BM76" s="73"/>
      <c r="BN76" s="74"/>
      <c r="BO76" s="75"/>
      <c r="BP76" s="74"/>
      <c r="BQ76" s="74"/>
      <c r="BR76" s="63"/>
      <c r="BS76" s="108"/>
      <c r="BT76" s="67"/>
      <c r="BU76" s="108"/>
      <c r="BV76" s="108"/>
      <c r="BW76" s="743"/>
      <c r="BX76" s="61"/>
      <c r="BY76" s="108"/>
      <c r="BZ76" s="108"/>
      <c r="CA76" s="108"/>
      <c r="CB76" s="123"/>
      <c r="CC76" s="745"/>
      <c r="CE76" s="12"/>
      <c r="CF76" s="12"/>
      <c r="CG76" s="17"/>
      <c r="CI76" s="12"/>
      <c r="CK76" s="18"/>
      <c r="CL76" s="17"/>
      <c r="CM76" s="12"/>
      <c r="CO76" s="13"/>
      <c r="CP76" s="12"/>
      <c r="CQ76" s="12"/>
      <c r="CR76" s="12"/>
      <c r="CS76" s="13">
        <v>612</v>
      </c>
      <c r="CT76" s="342"/>
      <c r="CU76" s="12"/>
      <c r="CV76" s="12"/>
      <c r="CW76" s="12"/>
      <c r="CX76" s="13"/>
      <c r="CY76" s="14"/>
      <c r="CZ76" s="12"/>
      <c r="DB76" s="18"/>
      <c r="DC76" s="17"/>
      <c r="DG76" s="162"/>
      <c r="DJ76" s="181"/>
      <c r="DK76" s="17"/>
      <c r="DO76" s="18"/>
      <c r="DS76" s="163"/>
      <c r="DT76" s="162"/>
      <c r="DX76" s="163"/>
      <c r="DY76" s="162"/>
      <c r="EC76" s="162"/>
      <c r="EF76" s="163"/>
      <c r="EK76" s="163"/>
      <c r="EL76" s="162"/>
      <c r="EO76" s="163"/>
      <c r="EP76" s="162"/>
      <c r="ET76" s="163"/>
      <c r="EU76" s="162"/>
      <c r="EX76" s="163"/>
      <c r="EY76" s="162"/>
      <c r="FB76" s="163"/>
    </row>
    <row r="77" spans="1:158" ht="22" customHeight="1" thickBot="1" x14ac:dyDescent="0.25">
      <c r="A77" s="11">
        <v>950</v>
      </c>
      <c r="B77" s="11" t="s">
        <v>143</v>
      </c>
      <c r="C77" s="11" t="s">
        <v>144</v>
      </c>
      <c r="D77" s="724">
        <v>45999</v>
      </c>
      <c r="E77" s="747">
        <v>46014</v>
      </c>
      <c r="F77" s="11" t="s">
        <v>74</v>
      </c>
      <c r="G77" s="711">
        <v>1254</v>
      </c>
      <c r="H77" s="11">
        <f t="shared" si="4"/>
        <v>1254</v>
      </c>
      <c r="I77" s="711">
        <f t="shared" si="3"/>
        <v>0</v>
      </c>
      <c r="P77" s="14"/>
      <c r="T77" s="123"/>
      <c r="U77" s="61"/>
      <c r="V77" s="123"/>
      <c r="W77" s="123"/>
      <c r="X77" s="19"/>
      <c r="Y77" s="123"/>
      <c r="Z77" s="123"/>
      <c r="AA77" s="61"/>
      <c r="AB77" s="123"/>
      <c r="AC77" s="61"/>
      <c r="AD77" s="123"/>
      <c r="AE77" s="123"/>
      <c r="AF77" s="19"/>
      <c r="AG77" s="123"/>
      <c r="AH77" s="123"/>
      <c r="AI77" s="124"/>
      <c r="AJ77" s="124"/>
      <c r="AK77" s="70"/>
      <c r="AL77" s="124"/>
      <c r="AM77" s="123"/>
      <c r="AN77" s="123"/>
      <c r="AO77" s="19"/>
      <c r="AP77" s="123"/>
      <c r="AQ77" s="123"/>
      <c r="AR77" s="123"/>
      <c r="AS77" s="123"/>
      <c r="AT77" s="61"/>
      <c r="AU77" s="123"/>
      <c r="AV77" s="741"/>
      <c r="AW77" s="741"/>
      <c r="AX77" s="108"/>
      <c r="AY77" s="63"/>
      <c r="AZ77" s="125"/>
      <c r="BA77" s="125"/>
      <c r="BB77" s="64"/>
      <c r="BC77" s="63"/>
      <c r="BD77" s="73"/>
      <c r="BE77" s="74"/>
      <c r="BF77" s="75"/>
      <c r="BG77" s="73"/>
      <c r="BH77" s="74"/>
      <c r="BI77" s="74"/>
      <c r="BJ77" s="75"/>
      <c r="BK77" s="74"/>
      <c r="BL77" s="74"/>
      <c r="BM77" s="73"/>
      <c r="BN77" s="74"/>
      <c r="BO77" s="75"/>
      <c r="BP77" s="74"/>
      <c r="BQ77" s="74"/>
      <c r="BR77" s="63"/>
      <c r="BS77" s="108"/>
      <c r="BT77" s="67"/>
      <c r="BU77" s="108"/>
      <c r="BV77" s="108"/>
      <c r="BW77" s="743"/>
      <c r="BX77" s="61"/>
      <c r="BY77" s="108"/>
      <c r="BZ77" s="108"/>
      <c r="CA77" s="108"/>
      <c r="CB77" s="123"/>
      <c r="CC77" s="745"/>
      <c r="CE77" s="12"/>
      <c r="CF77" s="12"/>
      <c r="CG77" s="17"/>
      <c r="CI77" s="12"/>
      <c r="CK77" s="18"/>
      <c r="CL77" s="17"/>
      <c r="CM77" s="12"/>
      <c r="CO77" s="271"/>
      <c r="CP77" s="12"/>
      <c r="CQ77" s="12"/>
      <c r="CR77" s="12"/>
      <c r="CS77" s="13"/>
      <c r="CT77" s="342"/>
      <c r="CU77" s="12">
        <v>1254</v>
      </c>
      <c r="CV77" s="12"/>
      <c r="CW77" s="12"/>
      <c r="CX77" s="13"/>
      <c r="CY77" s="14"/>
      <c r="CZ77" s="12"/>
      <c r="DB77" s="18"/>
      <c r="DC77" s="17"/>
      <c r="DG77" s="162"/>
      <c r="DJ77" s="181"/>
      <c r="DK77" s="17"/>
      <c r="DO77" s="18"/>
      <c r="DS77" s="163"/>
      <c r="DT77" s="162"/>
      <c r="DX77" s="163"/>
      <c r="DY77" s="162"/>
      <c r="EC77" s="162"/>
      <c r="EF77" s="163"/>
      <c r="EK77" s="163"/>
      <c r="EL77" s="162"/>
      <c r="EO77" s="163"/>
      <c r="EP77" s="162"/>
      <c r="ET77" s="163"/>
      <c r="EU77" s="162"/>
      <c r="EX77" s="163"/>
      <c r="EY77" s="162"/>
      <c r="FB77" s="163"/>
    </row>
    <row r="78" spans="1:158" ht="22" customHeight="1" thickBot="1" x14ac:dyDescent="0.25">
      <c r="A78" s="754">
        <v>949</v>
      </c>
      <c r="B78" s="65" t="s">
        <v>145</v>
      </c>
      <c r="C78" s="65" t="s">
        <v>144</v>
      </c>
      <c r="D78" s="65" t="s">
        <v>146</v>
      </c>
      <c r="E78" s="755">
        <v>46024</v>
      </c>
      <c r="F78" s="11" t="s">
        <v>74</v>
      </c>
      <c r="G78" s="711">
        <v>1566</v>
      </c>
      <c r="H78" s="11">
        <f t="shared" si="4"/>
        <v>1566</v>
      </c>
      <c r="I78" s="711">
        <f>G78-H78</f>
        <v>0</v>
      </c>
      <c r="P78" s="14"/>
      <c r="T78" s="123"/>
      <c r="U78" s="61"/>
      <c r="V78" s="123"/>
      <c r="W78" s="123"/>
      <c r="X78" s="19"/>
      <c r="Y78" s="123"/>
      <c r="Z78" s="123"/>
      <c r="AA78" s="61"/>
      <c r="AB78" s="123"/>
      <c r="AC78" s="61"/>
      <c r="AD78" s="123"/>
      <c r="AE78" s="123"/>
      <c r="AF78" s="19"/>
      <c r="AG78" s="123"/>
      <c r="AH78" s="123"/>
      <c r="AI78" s="124"/>
      <c r="AJ78" s="124"/>
      <c r="AK78" s="70"/>
      <c r="AL78" s="124"/>
      <c r="AM78" s="123"/>
      <c r="AN78" s="123"/>
      <c r="AO78" s="19"/>
      <c r="AP78" s="123"/>
      <c r="AQ78" s="123"/>
      <c r="AR78" s="123"/>
      <c r="AS78" s="123"/>
      <c r="AT78" s="61"/>
      <c r="AU78" s="123"/>
      <c r="AV78" s="741"/>
      <c r="AW78" s="741"/>
      <c r="AX78" s="108"/>
      <c r="AY78" s="63"/>
      <c r="AZ78" s="125"/>
      <c r="BA78" s="125"/>
      <c r="BB78" s="64"/>
      <c r="BC78" s="63"/>
      <c r="BD78" s="73"/>
      <c r="BE78" s="74"/>
      <c r="BF78" s="75"/>
      <c r="BG78" s="73"/>
      <c r="BH78" s="74"/>
      <c r="BI78" s="74"/>
      <c r="BJ78" s="75"/>
      <c r="BK78" s="74"/>
      <c r="BL78" s="74"/>
      <c r="BM78" s="73"/>
      <c r="BN78" s="74"/>
      <c r="BO78" s="75"/>
      <c r="BP78" s="74"/>
      <c r="BQ78" s="74"/>
      <c r="BR78" s="63"/>
      <c r="BS78" s="108"/>
      <c r="BT78" s="67"/>
      <c r="BU78" s="108"/>
      <c r="BV78" s="108"/>
      <c r="BW78" s="743"/>
      <c r="BX78" s="61"/>
      <c r="BY78" s="108"/>
      <c r="BZ78" s="108"/>
      <c r="CA78" s="108"/>
      <c r="CB78" s="123"/>
      <c r="CC78" s="745"/>
      <c r="CE78" s="12"/>
      <c r="CF78" s="12"/>
      <c r="CG78" s="17"/>
      <c r="CI78" s="12"/>
      <c r="CK78" s="18"/>
      <c r="CL78" s="17"/>
      <c r="CM78" s="12"/>
      <c r="CO78" s="18"/>
      <c r="CP78" s="12">
        <v>800</v>
      </c>
      <c r="CQ78" s="12">
        <v>766</v>
      </c>
      <c r="CR78" s="12"/>
      <c r="CS78" s="13"/>
      <c r="CT78" s="342"/>
      <c r="CU78" s="12"/>
      <c r="CV78" s="12"/>
      <c r="CW78" s="12"/>
      <c r="CX78" s="13"/>
      <c r="CY78" s="14"/>
      <c r="CZ78" s="12"/>
      <c r="DB78" s="18"/>
      <c r="DC78" s="17"/>
      <c r="DG78" s="162"/>
      <c r="DJ78" s="181"/>
      <c r="DK78" s="17"/>
      <c r="DO78" s="18"/>
      <c r="DS78" s="163"/>
      <c r="DT78" s="162"/>
      <c r="DX78" s="163"/>
      <c r="DY78" s="162"/>
      <c r="EC78" s="162"/>
      <c r="EF78" s="163"/>
      <c r="EK78" s="163"/>
      <c r="EL78" s="162"/>
      <c r="EO78" s="163"/>
      <c r="EP78" s="162"/>
      <c r="ET78" s="163"/>
      <c r="EU78" s="162"/>
      <c r="EX78" s="163"/>
      <c r="EY78" s="162"/>
      <c r="FB78" s="163"/>
    </row>
    <row r="79" spans="1:158" ht="22" customHeight="1" thickBot="1" x14ac:dyDescent="0.25">
      <c r="A79" s="756">
        <v>949</v>
      </c>
      <c r="B79" s="11" t="s">
        <v>147</v>
      </c>
      <c r="C79" s="11" t="s">
        <v>148</v>
      </c>
      <c r="D79" s="724">
        <v>45992</v>
      </c>
      <c r="E79" s="747">
        <v>46024</v>
      </c>
      <c r="F79" s="11" t="s">
        <v>4</v>
      </c>
      <c r="G79" s="711">
        <v>2568</v>
      </c>
      <c r="H79" s="11">
        <f t="shared" si="4"/>
        <v>2568</v>
      </c>
      <c r="I79" s="711">
        <f>G79-H79</f>
        <v>0</v>
      </c>
      <c r="J79" s="147"/>
      <c r="K79" s="147"/>
      <c r="L79" s="147"/>
      <c r="M79" s="147"/>
      <c r="N79" s="147"/>
      <c r="O79" s="147"/>
      <c r="P79" s="146"/>
      <c r="Q79" s="147"/>
      <c r="R79" s="147"/>
      <c r="S79" s="147"/>
      <c r="T79" s="149"/>
      <c r="U79" s="150"/>
      <c r="V79" s="149"/>
      <c r="W79" s="149"/>
      <c r="X79" s="151"/>
      <c r="Y79" s="149"/>
      <c r="Z79" s="149"/>
      <c r="AA79" s="150"/>
      <c r="AB79" s="149"/>
      <c r="AC79" s="150"/>
      <c r="AD79" s="149"/>
      <c r="AE79" s="149"/>
      <c r="AF79" s="151"/>
      <c r="AG79" s="149"/>
      <c r="AH79" s="149"/>
      <c r="AI79" s="130"/>
      <c r="AJ79" s="130"/>
      <c r="AK79" s="152"/>
      <c r="AL79" s="130"/>
      <c r="AM79" s="149"/>
      <c r="AN79" s="149"/>
      <c r="AO79" s="151"/>
      <c r="AP79" s="149"/>
      <c r="AQ79" s="149"/>
      <c r="AR79" s="149"/>
      <c r="AS79" s="149"/>
      <c r="AT79" s="150"/>
      <c r="AU79" s="149"/>
      <c r="AV79" s="153"/>
      <c r="AW79" s="153"/>
      <c r="AX79" s="125"/>
      <c r="AY79" s="63"/>
      <c r="AZ79" s="125"/>
      <c r="BA79" s="125"/>
      <c r="BB79" s="64"/>
      <c r="BC79" s="63"/>
      <c r="BD79" s="73"/>
      <c r="BE79" s="74"/>
      <c r="BF79" s="75"/>
      <c r="BG79" s="73"/>
      <c r="BH79" s="74"/>
      <c r="BI79" s="74"/>
      <c r="BJ79" s="75"/>
      <c r="BK79" s="74"/>
      <c r="BL79" s="74"/>
      <c r="BM79" s="73"/>
      <c r="BN79" s="74"/>
      <c r="BO79" s="75"/>
      <c r="BP79" s="74"/>
      <c r="BQ79" s="74"/>
      <c r="BR79" s="63"/>
      <c r="BS79" s="125"/>
      <c r="BT79" s="63"/>
      <c r="BU79" s="125"/>
      <c r="BV79" s="125"/>
      <c r="BW79" s="154"/>
      <c r="BX79" s="150"/>
      <c r="BY79" s="125"/>
      <c r="BZ79" s="125"/>
      <c r="CA79" s="125"/>
      <c r="CB79" s="149"/>
      <c r="CC79" s="155"/>
      <c r="CD79" s="143"/>
      <c r="CE79" s="147"/>
      <c r="CF79" s="147"/>
      <c r="CG79" s="156"/>
      <c r="CH79" s="143"/>
      <c r="CI79" s="147"/>
      <c r="CJ79" s="143"/>
      <c r="CK79" s="145"/>
      <c r="CL79" s="156"/>
      <c r="CM79" s="147"/>
      <c r="CN79" s="143"/>
      <c r="CO79" s="145"/>
      <c r="CP79" s="12"/>
      <c r="CQ79" s="12">
        <v>1602</v>
      </c>
      <c r="CR79" s="12"/>
      <c r="CS79" s="13">
        <v>966</v>
      </c>
      <c r="CT79" s="342"/>
      <c r="CU79" s="653"/>
      <c r="CV79" s="653"/>
      <c r="CW79" s="653"/>
      <c r="CX79" s="353"/>
      <c r="CY79" s="354"/>
      <c r="CZ79" s="227"/>
      <c r="DA79" s="227"/>
      <c r="DB79" s="353"/>
      <c r="DC79" s="17"/>
      <c r="DG79" s="162"/>
      <c r="DJ79" s="181"/>
      <c r="DK79" s="17"/>
      <c r="DO79" s="18"/>
      <c r="DS79" s="163"/>
      <c r="DT79" s="162"/>
      <c r="DX79" s="163"/>
      <c r="DY79" s="162"/>
      <c r="EC79" s="162"/>
      <c r="EF79" s="163"/>
      <c r="EK79" s="163"/>
      <c r="EL79" s="162"/>
      <c r="EO79" s="163"/>
      <c r="EP79" s="162"/>
      <c r="ET79" s="163"/>
      <c r="EU79" s="162"/>
      <c r="EX79" s="163"/>
      <c r="EY79" s="162"/>
      <c r="FB79" s="163"/>
    </row>
    <row r="80" spans="1:158" ht="22" customHeight="1" thickBot="1" x14ac:dyDescent="0.25">
      <c r="A80" s="11">
        <v>979</v>
      </c>
      <c r="B80" s="11" t="s">
        <v>149</v>
      </c>
      <c r="C80" s="11" t="s">
        <v>148</v>
      </c>
      <c r="D80" s="724">
        <v>46008</v>
      </c>
      <c r="E80" s="747">
        <v>46040</v>
      </c>
      <c r="F80" s="11" t="s">
        <v>74</v>
      </c>
      <c r="G80" s="65">
        <v>864</v>
      </c>
      <c r="H80" s="11">
        <f t="shared" si="4"/>
        <v>864</v>
      </c>
      <c r="I80" s="711">
        <f t="shared" si="3"/>
        <v>0</v>
      </c>
      <c r="P80" s="14"/>
      <c r="T80" s="123"/>
      <c r="U80" s="61"/>
      <c r="V80" s="123"/>
      <c r="W80" s="123"/>
      <c r="X80" s="19"/>
      <c r="Y80" s="123"/>
      <c r="Z80" s="123"/>
      <c r="AA80" s="61"/>
      <c r="AB80" s="123"/>
      <c r="AC80" s="61"/>
      <c r="AD80" s="123"/>
      <c r="AE80" s="123"/>
      <c r="AF80" s="19"/>
      <c r="AG80" s="123"/>
      <c r="AH80" s="123"/>
      <c r="AI80" s="124"/>
      <c r="AJ80" s="124"/>
      <c r="AK80" s="70"/>
      <c r="AL80" s="124"/>
      <c r="AM80" s="123"/>
      <c r="AN80" s="123"/>
      <c r="AO80" s="19"/>
      <c r="AP80" s="123"/>
      <c r="AQ80" s="123"/>
      <c r="AR80" s="123"/>
      <c r="AS80" s="123"/>
      <c r="AT80" s="61"/>
      <c r="AU80" s="123"/>
      <c r="AV80" s="741"/>
      <c r="AW80" s="741"/>
      <c r="AX80" s="108"/>
      <c r="AY80" s="63"/>
      <c r="AZ80" s="125"/>
      <c r="BA80" s="125"/>
      <c r="BB80" s="64"/>
      <c r="BC80" s="63"/>
      <c r="BD80" s="73"/>
      <c r="BE80" s="74"/>
      <c r="BF80" s="75"/>
      <c r="BG80" s="73"/>
      <c r="BH80" s="74"/>
      <c r="BI80" s="74"/>
      <c r="BJ80" s="75"/>
      <c r="BK80" s="74"/>
      <c r="BL80" s="74"/>
      <c r="BM80" s="73"/>
      <c r="BN80" s="74"/>
      <c r="BO80" s="75"/>
      <c r="BP80" s="74"/>
      <c r="BQ80" s="74"/>
      <c r="BR80" s="63"/>
      <c r="BS80" s="108"/>
      <c r="BT80" s="67"/>
      <c r="BU80" s="108"/>
      <c r="BV80" s="108"/>
      <c r="BW80" s="743"/>
      <c r="BX80" s="61"/>
      <c r="BY80" s="108"/>
      <c r="BZ80" s="108"/>
      <c r="CA80" s="108"/>
      <c r="CB80" s="123"/>
      <c r="CC80" s="14"/>
      <c r="CE80" s="12"/>
      <c r="CF80" s="12"/>
      <c r="CG80" s="17"/>
      <c r="CH80" s="181"/>
      <c r="CI80" s="12"/>
      <c r="CJ80" s="181"/>
      <c r="CK80" s="729"/>
      <c r="CL80" s="752"/>
      <c r="CO80" s="18"/>
      <c r="CP80" s="12"/>
      <c r="CQ80" s="12"/>
      <c r="CR80" s="12"/>
      <c r="CS80" s="13"/>
      <c r="CT80" s="342"/>
      <c r="CU80" s="757"/>
      <c r="CV80" s="757">
        <v>864</v>
      </c>
      <c r="CW80" s="757"/>
      <c r="CX80" s="353"/>
      <c r="CY80" s="758"/>
      <c r="CZ80" s="227"/>
      <c r="DA80" s="757"/>
      <c r="DB80" s="759"/>
      <c r="DC80" s="752"/>
      <c r="DD80" s="137"/>
      <c r="DG80" s="162"/>
      <c r="DJ80" s="181"/>
      <c r="DK80" s="17"/>
      <c r="DO80" s="18"/>
      <c r="DS80" s="163"/>
      <c r="DT80" s="162"/>
      <c r="DX80" s="163"/>
      <c r="DY80" s="162"/>
      <c r="EC80" s="162"/>
      <c r="EF80" s="163"/>
      <c r="EK80" s="163"/>
      <c r="EL80" s="162"/>
      <c r="EO80" s="163"/>
      <c r="EP80" s="162"/>
      <c r="ET80" s="163"/>
      <c r="EU80" s="162"/>
      <c r="EX80" s="163"/>
      <c r="EY80" s="162"/>
      <c r="FB80" s="163"/>
    </row>
    <row r="81" spans="1:158" ht="22" customHeight="1" thickBot="1" x14ac:dyDescent="0.25">
      <c r="A81" s="760">
        <v>979</v>
      </c>
      <c r="B81" s="761" t="s">
        <v>150</v>
      </c>
      <c r="C81" s="761" t="s">
        <v>105</v>
      </c>
      <c r="D81" s="761" t="s">
        <v>151</v>
      </c>
      <c r="E81" s="762">
        <v>46040</v>
      </c>
      <c r="F81" s="11" t="s">
        <v>74</v>
      </c>
      <c r="G81" s="65">
        <v>11352</v>
      </c>
      <c r="H81" s="11">
        <f t="shared" si="4"/>
        <v>11352</v>
      </c>
      <c r="I81" s="711">
        <f t="shared" si="3"/>
        <v>0</v>
      </c>
      <c r="P81" s="14"/>
      <c r="T81" s="123"/>
      <c r="U81" s="61"/>
      <c r="V81" s="123"/>
      <c r="W81" s="123"/>
      <c r="X81" s="19"/>
      <c r="Y81" s="123"/>
      <c r="Z81" s="123"/>
      <c r="AA81" s="61"/>
      <c r="AB81" s="123"/>
      <c r="AC81" s="61"/>
      <c r="AD81" s="123"/>
      <c r="AE81" s="123"/>
      <c r="AF81" s="19"/>
      <c r="AG81" s="123"/>
      <c r="AH81" s="123"/>
      <c r="AI81" s="124"/>
      <c r="AJ81" s="124"/>
      <c r="AK81" s="70"/>
      <c r="AL81" s="124"/>
      <c r="AM81" s="123"/>
      <c r="AN81" s="123"/>
      <c r="AO81" s="19"/>
      <c r="AP81" s="123"/>
      <c r="AQ81" s="123"/>
      <c r="AR81" s="123"/>
      <c r="AS81" s="123"/>
      <c r="AT81" s="61"/>
      <c r="AU81" s="123"/>
      <c r="AV81" s="741"/>
      <c r="AW81" s="741"/>
      <c r="AX81" s="108"/>
      <c r="AY81" s="63"/>
      <c r="AZ81" s="125"/>
      <c r="BA81" s="125"/>
      <c r="BB81" s="64"/>
      <c r="BC81" s="63"/>
      <c r="BD81" s="73"/>
      <c r="BE81" s="74"/>
      <c r="BF81" s="75"/>
      <c r="BG81" s="73"/>
      <c r="BH81" s="74"/>
      <c r="BI81" s="74"/>
      <c r="BJ81" s="75"/>
      <c r="BK81" s="74"/>
      <c r="BL81" s="74"/>
      <c r="BM81" s="73"/>
      <c r="BN81" s="74"/>
      <c r="BO81" s="75"/>
      <c r="BP81" s="74"/>
      <c r="BQ81" s="74"/>
      <c r="BR81" s="63"/>
      <c r="BS81" s="108"/>
      <c r="BT81" s="67"/>
      <c r="BU81" s="108"/>
      <c r="BV81" s="108"/>
      <c r="BW81" s="743"/>
      <c r="BX81" s="61"/>
      <c r="BY81" s="108"/>
      <c r="BZ81" s="108"/>
      <c r="CA81" s="108"/>
      <c r="CB81" s="123"/>
      <c r="CC81" s="14"/>
      <c r="CE81" s="12"/>
      <c r="CF81" s="12"/>
      <c r="CG81" s="17"/>
      <c r="CH81" s="181"/>
      <c r="CI81" s="12"/>
      <c r="CJ81" s="181"/>
      <c r="CK81" s="729"/>
      <c r="CL81" s="752"/>
      <c r="CO81" s="18"/>
      <c r="CP81" s="12"/>
      <c r="CQ81" s="12"/>
      <c r="CR81" s="147"/>
      <c r="CS81" s="13"/>
      <c r="CT81" s="342"/>
      <c r="CU81" s="653"/>
      <c r="CV81" s="653">
        <v>1700</v>
      </c>
      <c r="CW81" s="653">
        <v>2500</v>
      </c>
      <c r="CX81" s="753">
        <v>2000</v>
      </c>
      <c r="CY81" s="758">
        <v>1200</v>
      </c>
      <c r="CZ81" s="653">
        <v>1900</v>
      </c>
      <c r="DA81" s="653">
        <v>500</v>
      </c>
      <c r="DB81" s="753">
        <v>1552</v>
      </c>
      <c r="DC81" s="752"/>
      <c r="DD81" s="12"/>
      <c r="DE81" s="12"/>
      <c r="DF81" s="12"/>
      <c r="DG81" s="763"/>
      <c r="DH81" s="12"/>
      <c r="DJ81" s="181"/>
      <c r="DK81" s="17"/>
      <c r="DO81" s="18"/>
      <c r="DS81" s="163"/>
      <c r="DT81" s="162"/>
      <c r="DX81" s="163"/>
      <c r="DY81" s="162"/>
      <c r="EC81" s="162"/>
      <c r="EF81" s="163"/>
      <c r="EK81" s="163"/>
      <c r="EL81" s="162"/>
      <c r="EO81" s="163"/>
      <c r="EP81" s="162"/>
      <c r="ET81" s="163"/>
      <c r="EU81" s="162"/>
      <c r="EX81" s="163"/>
      <c r="EY81" s="162"/>
      <c r="FB81" s="163"/>
    </row>
    <row r="82" spans="1:158" ht="22" customHeight="1" thickBot="1" x14ac:dyDescent="0.25">
      <c r="A82" s="11"/>
      <c r="B82" s="11" t="s">
        <v>152</v>
      </c>
      <c r="C82" s="11" t="s">
        <v>153</v>
      </c>
      <c r="D82" s="724">
        <v>46038</v>
      </c>
      <c r="E82" s="764">
        <v>46032</v>
      </c>
      <c r="F82" s="11" t="s">
        <v>72</v>
      </c>
      <c r="G82" s="11">
        <v>480</v>
      </c>
      <c r="H82" s="11">
        <f t="shared" si="4"/>
        <v>480</v>
      </c>
      <c r="I82" s="711">
        <f t="shared" si="3"/>
        <v>0</v>
      </c>
      <c r="P82" s="14"/>
      <c r="T82" s="123"/>
      <c r="U82" s="61"/>
      <c r="V82" s="123"/>
      <c r="W82" s="123"/>
      <c r="X82" s="19"/>
      <c r="Y82" s="123"/>
      <c r="Z82" s="123"/>
      <c r="AA82" s="61"/>
      <c r="AB82" s="123"/>
      <c r="AC82" s="61"/>
      <c r="AD82" s="123"/>
      <c r="AE82" s="123"/>
      <c r="AF82" s="19"/>
      <c r="AG82" s="123"/>
      <c r="AH82" s="123"/>
      <c r="AI82" s="124"/>
      <c r="AJ82" s="124"/>
      <c r="AK82" s="70"/>
      <c r="AL82" s="124"/>
      <c r="AM82" s="123"/>
      <c r="AN82" s="123"/>
      <c r="AO82" s="19"/>
      <c r="AP82" s="123"/>
      <c r="AQ82" s="123"/>
      <c r="AR82" s="123"/>
      <c r="AS82" s="123"/>
      <c r="AT82" s="61"/>
      <c r="AU82" s="123"/>
      <c r="AV82" s="741"/>
      <c r="AW82" s="741"/>
      <c r="AX82" s="108"/>
      <c r="AY82" s="63"/>
      <c r="AZ82" s="125"/>
      <c r="BA82" s="125"/>
      <c r="BB82" s="64"/>
      <c r="BC82" s="63"/>
      <c r="BD82" s="73"/>
      <c r="BE82" s="74"/>
      <c r="BF82" s="75"/>
      <c r="BG82" s="73"/>
      <c r="BH82" s="74"/>
      <c r="BI82" s="74"/>
      <c r="BJ82" s="75"/>
      <c r="BK82" s="74"/>
      <c r="BL82" s="74"/>
      <c r="BM82" s="73"/>
      <c r="BN82" s="74"/>
      <c r="BO82" s="75"/>
      <c r="BP82" s="74"/>
      <c r="BQ82" s="74"/>
      <c r="BR82" s="63"/>
      <c r="BS82" s="108"/>
      <c r="BT82" s="67"/>
      <c r="BU82" s="108"/>
      <c r="BV82" s="108"/>
      <c r="BW82" s="743"/>
      <c r="BX82" s="61"/>
      <c r="BY82" s="108"/>
      <c r="BZ82" s="108"/>
      <c r="CA82" s="108"/>
      <c r="CB82" s="123"/>
      <c r="CC82" s="14"/>
      <c r="CE82" s="12"/>
      <c r="CF82" s="12"/>
      <c r="CG82" s="17"/>
      <c r="CH82" s="181"/>
      <c r="CI82" s="12"/>
      <c r="CJ82" s="181"/>
      <c r="CK82" s="729"/>
      <c r="CL82" s="752"/>
      <c r="CO82" s="18"/>
      <c r="CS82" s="18"/>
      <c r="CT82" s="342"/>
      <c r="CU82" s="355"/>
      <c r="CV82" s="757"/>
      <c r="CW82" s="356"/>
      <c r="CX82" s="357"/>
      <c r="CY82" s="758">
        <v>480</v>
      </c>
      <c r="CZ82" s="757"/>
      <c r="DA82" s="757"/>
      <c r="DB82" s="759"/>
      <c r="DC82" s="17"/>
      <c r="DG82" s="162"/>
      <c r="DJ82" s="181"/>
      <c r="DK82" s="17"/>
      <c r="DO82" s="18"/>
      <c r="DS82" s="163"/>
      <c r="DT82" s="162"/>
      <c r="DX82" s="163"/>
      <c r="DY82" s="162"/>
      <c r="EC82" s="162"/>
      <c r="EF82" s="163"/>
      <c r="EK82" s="163"/>
      <c r="EL82" s="162"/>
      <c r="EO82" s="163"/>
      <c r="EP82" s="162"/>
      <c r="ET82" s="163"/>
      <c r="EU82" s="162"/>
      <c r="EX82" s="163"/>
      <c r="EY82" s="162"/>
      <c r="FB82" s="163"/>
    </row>
    <row r="83" spans="1:158" ht="22" customHeight="1" x14ac:dyDescent="0.2">
      <c r="A83" s="11"/>
      <c r="B83" s="11" t="s">
        <v>154</v>
      </c>
      <c r="C83" s="11" t="s">
        <v>155</v>
      </c>
      <c r="D83" s="724">
        <v>46038</v>
      </c>
      <c r="E83" s="764">
        <v>46032</v>
      </c>
      <c r="F83" s="11" t="s">
        <v>72</v>
      </c>
      <c r="G83" s="11">
        <v>600</v>
      </c>
      <c r="H83" s="11">
        <f t="shared" si="4"/>
        <v>600</v>
      </c>
      <c r="I83" s="711">
        <f>G83-H83</f>
        <v>0</v>
      </c>
      <c r="P83" s="14"/>
      <c r="T83" s="123"/>
      <c r="U83" s="61"/>
      <c r="V83" s="123"/>
      <c r="W83" s="123"/>
      <c r="X83" s="19"/>
      <c r="Y83" s="123"/>
      <c r="Z83" s="123"/>
      <c r="AA83" s="61"/>
      <c r="AB83" s="123"/>
      <c r="AC83" s="61"/>
      <c r="AD83" s="123"/>
      <c r="AE83" s="123"/>
      <c r="AF83" s="19"/>
      <c r="AG83" s="123"/>
      <c r="AH83" s="123"/>
      <c r="AI83" s="124"/>
      <c r="AJ83" s="124"/>
      <c r="AK83" s="124"/>
      <c r="AL83" s="124"/>
      <c r="AM83" s="123"/>
      <c r="AN83" s="123"/>
      <c r="AO83" s="123"/>
      <c r="AP83" s="123"/>
      <c r="AQ83" s="123"/>
      <c r="AR83" s="123"/>
      <c r="AS83" s="123"/>
      <c r="AT83" s="61"/>
      <c r="AU83" s="123"/>
      <c r="AV83" s="741"/>
      <c r="AW83" s="741"/>
      <c r="AX83" s="108"/>
      <c r="AY83" s="125"/>
      <c r="AZ83" s="125"/>
      <c r="BA83" s="125"/>
      <c r="BB83" s="125"/>
      <c r="BC83" s="63"/>
      <c r="BD83" s="63"/>
      <c r="BE83" s="125"/>
      <c r="BF83" s="64"/>
      <c r="BG83" s="63"/>
      <c r="BH83" s="125"/>
      <c r="BI83" s="125"/>
      <c r="BJ83" s="64"/>
      <c r="BK83" s="125"/>
      <c r="BL83" s="125"/>
      <c r="BM83" s="63"/>
      <c r="BN83" s="125"/>
      <c r="BO83" s="64"/>
      <c r="BP83" s="125"/>
      <c r="BQ83" s="125"/>
      <c r="BR83" s="63"/>
      <c r="BS83" s="108"/>
      <c r="BT83" s="67"/>
      <c r="BU83" s="108"/>
      <c r="BV83" s="108"/>
      <c r="BW83" s="743"/>
      <c r="BX83" s="61"/>
      <c r="BY83" s="108"/>
      <c r="BZ83" s="108"/>
      <c r="CA83" s="108"/>
      <c r="CB83" s="123"/>
      <c r="CC83" s="14"/>
      <c r="CE83" s="12"/>
      <c r="CF83" s="12"/>
      <c r="CG83" s="17"/>
      <c r="CH83" s="181"/>
      <c r="CI83" s="12"/>
      <c r="CJ83" s="181"/>
      <c r="CK83" s="729"/>
      <c r="CL83" s="752"/>
      <c r="CO83" s="18"/>
      <c r="CS83" s="18"/>
      <c r="CT83" s="342"/>
      <c r="CU83" s="355"/>
      <c r="CV83" s="757"/>
      <c r="CW83" s="356"/>
      <c r="CX83" s="357"/>
      <c r="CY83" s="758">
        <v>600</v>
      </c>
      <c r="CZ83" s="757"/>
      <c r="DA83" s="757"/>
      <c r="DB83" s="759"/>
      <c r="DC83" s="17"/>
      <c r="DG83" s="162"/>
      <c r="DJ83" s="181"/>
      <c r="DK83" s="17"/>
      <c r="DO83" s="18"/>
      <c r="DS83" s="163"/>
      <c r="DT83" s="162"/>
      <c r="DX83" s="163"/>
      <c r="DY83" s="162"/>
      <c r="EC83" s="162"/>
      <c r="EF83" s="163"/>
      <c r="EK83" s="163"/>
      <c r="EL83" s="162"/>
      <c r="EO83" s="163"/>
      <c r="EP83" s="162"/>
      <c r="ET83" s="163"/>
      <c r="EU83" s="162"/>
      <c r="EX83" s="163"/>
      <c r="EY83" s="162"/>
      <c r="FB83" s="163"/>
    </row>
    <row r="84" spans="1:158" ht="22" customHeight="1" x14ac:dyDescent="0.2">
      <c r="A84" s="756">
        <v>4500230404</v>
      </c>
      <c r="B84" s="72" t="s">
        <v>156</v>
      </c>
      <c r="C84" s="429" t="s">
        <v>157</v>
      </c>
      <c r="D84" s="429"/>
      <c r="E84" s="430">
        <v>45982</v>
      </c>
      <c r="F84" s="11" t="s">
        <v>8</v>
      </c>
      <c r="G84" s="711">
        <v>2604</v>
      </c>
      <c r="H84" s="11">
        <f t="shared" si="4"/>
        <v>2604</v>
      </c>
      <c r="I84" s="711">
        <f t="shared" si="3"/>
        <v>0</v>
      </c>
      <c r="P84" s="14"/>
      <c r="T84" s="123"/>
      <c r="U84" s="61"/>
      <c r="V84" s="123"/>
      <c r="W84" s="123"/>
      <c r="X84" s="19"/>
      <c r="Y84" s="123"/>
      <c r="Z84" s="123"/>
      <c r="AA84" s="61"/>
      <c r="AB84" s="123"/>
      <c r="AC84" s="61"/>
      <c r="AD84" s="123"/>
      <c r="AE84" s="123"/>
      <c r="AF84" s="19"/>
      <c r="AG84" s="123"/>
      <c r="AH84" s="123"/>
      <c r="AI84" s="126"/>
      <c r="AJ84" s="126"/>
      <c r="AK84" s="126"/>
      <c r="AL84" s="126"/>
      <c r="AM84" s="127"/>
      <c r="AN84" s="127"/>
      <c r="AO84" s="127"/>
      <c r="AP84" s="127"/>
      <c r="AQ84" s="127"/>
      <c r="AR84" s="127"/>
      <c r="AS84" s="127"/>
      <c r="AT84" s="61"/>
      <c r="AU84" s="123"/>
      <c r="AV84" s="741"/>
      <c r="AW84" s="741"/>
      <c r="AX84" s="746"/>
      <c r="AY84" s="128"/>
      <c r="AZ84" s="129"/>
      <c r="BA84" s="129"/>
      <c r="BB84" s="129"/>
      <c r="BC84" s="61"/>
      <c r="BD84" s="61"/>
      <c r="BE84" s="123"/>
      <c r="BF84" s="19"/>
      <c r="BG84" s="61"/>
      <c r="BH84" s="123"/>
      <c r="BI84" s="123"/>
      <c r="BJ84" s="19"/>
      <c r="BK84" s="130"/>
      <c r="BL84" s="130"/>
      <c r="BM84" s="63"/>
      <c r="BN84" s="125"/>
      <c r="BO84" s="64"/>
      <c r="BP84" s="123"/>
      <c r="BQ84" s="123"/>
      <c r="BR84" s="61"/>
      <c r="BS84" s="123"/>
      <c r="BT84" s="61"/>
      <c r="BU84" s="123"/>
      <c r="BV84" s="123"/>
      <c r="BW84" s="123"/>
      <c r="BX84" s="61"/>
      <c r="BY84" s="123"/>
      <c r="BZ84" s="123"/>
      <c r="CA84" s="123"/>
      <c r="CB84" s="123"/>
      <c r="CC84" s="14"/>
      <c r="CD84" s="12"/>
      <c r="CE84" s="12"/>
      <c r="CF84" s="12"/>
      <c r="CG84" s="14"/>
      <c r="CH84" s="12"/>
      <c r="CI84" s="40"/>
      <c r="CJ84" s="12"/>
      <c r="CK84" s="13"/>
      <c r="CL84" s="17"/>
      <c r="CN84" s="12"/>
      <c r="CO84" s="13">
        <v>1275</v>
      </c>
      <c r="CP84" s="12">
        <v>1329</v>
      </c>
      <c r="CQ84" s="12"/>
      <c r="CR84" s="12"/>
      <c r="CS84" s="18"/>
      <c r="CT84" s="342"/>
      <c r="CX84" s="12"/>
      <c r="CY84" s="14"/>
      <c r="CZ84" s="12"/>
      <c r="DA84" s="12"/>
      <c r="DB84" s="13"/>
      <c r="DC84" s="80"/>
      <c r="DD84" s="15"/>
      <c r="DE84" s="15"/>
      <c r="DF84" s="15"/>
      <c r="DG84" s="164"/>
      <c r="DH84" s="137"/>
      <c r="DJ84" s="181"/>
      <c r="DK84" s="17"/>
      <c r="DO84" s="18"/>
      <c r="DS84" s="163"/>
      <c r="DT84" s="162"/>
      <c r="DX84" s="163"/>
      <c r="DY84" s="162"/>
      <c r="EC84" s="162"/>
      <c r="EF84" s="163"/>
      <c r="EK84" s="163"/>
      <c r="EL84" s="162"/>
      <c r="EO84" s="163"/>
      <c r="EP84" s="162"/>
      <c r="ET84" s="163"/>
      <c r="EU84" s="162"/>
      <c r="EX84" s="163"/>
      <c r="EY84" s="162"/>
      <c r="FB84" s="163"/>
    </row>
    <row r="85" spans="1:158" ht="22" hidden="1" customHeight="1" x14ac:dyDescent="0.2">
      <c r="A85" s="631">
        <v>4500230410</v>
      </c>
      <c r="B85" s="351" t="s">
        <v>158</v>
      </c>
      <c r="C85" s="351" t="s">
        <v>159</v>
      </c>
      <c r="D85" s="351"/>
      <c r="E85" s="352">
        <v>46008</v>
      </c>
      <c r="F85" s="631" t="s">
        <v>8</v>
      </c>
      <c r="G85" s="691">
        <v>684</v>
      </c>
      <c r="H85" s="631">
        <f>SUM(O85:FB85)</f>
        <v>684</v>
      </c>
      <c r="I85" s="691">
        <f>G85-H85</f>
        <v>0</v>
      </c>
      <c r="P85" s="14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6"/>
      <c r="AJ85" s="126"/>
      <c r="AK85" s="126"/>
      <c r="AL85" s="126"/>
      <c r="AM85" s="127"/>
      <c r="AN85" s="127"/>
      <c r="AO85" s="127"/>
      <c r="AP85" s="127"/>
      <c r="AQ85" s="127"/>
      <c r="AR85" s="127"/>
      <c r="AS85" s="127"/>
      <c r="AT85" s="61"/>
      <c r="AU85" s="123"/>
      <c r="AV85" s="741"/>
      <c r="AW85" s="741"/>
      <c r="AX85" s="746"/>
      <c r="AY85" s="128"/>
      <c r="AZ85" s="129"/>
      <c r="BA85" s="129"/>
      <c r="BB85" s="129"/>
      <c r="BC85" s="61"/>
      <c r="BD85" s="61"/>
      <c r="BE85" s="123"/>
      <c r="BF85" s="19"/>
      <c r="BG85" s="61"/>
      <c r="BH85" s="123"/>
      <c r="BI85" s="123"/>
      <c r="BJ85" s="19"/>
      <c r="BK85" s="130"/>
      <c r="BL85" s="130"/>
      <c r="BM85" s="63"/>
      <c r="BN85" s="125"/>
      <c r="BO85" s="64"/>
      <c r="BP85" s="123"/>
      <c r="BQ85" s="123"/>
      <c r="BR85" s="61"/>
      <c r="BS85" s="123"/>
      <c r="BT85" s="61"/>
      <c r="BU85" s="123"/>
      <c r="BV85" s="123"/>
      <c r="BW85" s="123"/>
      <c r="BX85" s="61"/>
      <c r="BY85" s="123"/>
      <c r="BZ85" s="123"/>
      <c r="CA85" s="123"/>
      <c r="CB85" s="123"/>
      <c r="CC85" s="14"/>
      <c r="CD85" s="12"/>
      <c r="CE85" s="12"/>
      <c r="CF85" s="12"/>
      <c r="CG85" s="14"/>
      <c r="CH85" s="12"/>
      <c r="CI85" s="40"/>
      <c r="CJ85" s="12"/>
      <c r="CK85" s="753">
        <v>684</v>
      </c>
      <c r="CL85" s="14"/>
      <c r="CM85" s="12"/>
      <c r="CN85" s="12"/>
      <c r="CO85" s="13"/>
      <c r="CP85" s="12"/>
      <c r="CQ85" s="12"/>
      <c r="CS85" s="18"/>
      <c r="CT85" s="342"/>
      <c r="CX85" s="18"/>
      <c r="CY85" s="752"/>
      <c r="CZ85" s="12"/>
      <c r="DA85" s="12"/>
      <c r="DB85" s="13"/>
      <c r="DC85" s="14"/>
      <c r="DD85" s="12"/>
      <c r="DE85" s="12"/>
      <c r="DF85" s="12"/>
      <c r="DG85" s="164"/>
      <c r="DH85" s="137"/>
      <c r="DJ85" s="181"/>
      <c r="DK85" s="17"/>
      <c r="DO85" s="18"/>
      <c r="DS85" s="163"/>
      <c r="DT85" s="162"/>
      <c r="DX85" s="163"/>
      <c r="DY85" s="162"/>
      <c r="EC85" s="162"/>
      <c r="EF85" s="163"/>
      <c r="EK85" s="163"/>
      <c r="EL85" s="162"/>
      <c r="EO85" s="163"/>
      <c r="EP85" s="162"/>
      <c r="ET85" s="163"/>
      <c r="EU85" s="162"/>
      <c r="EX85" s="163"/>
      <c r="EY85" s="162"/>
      <c r="FB85" s="163"/>
    </row>
    <row r="86" spans="1:158" ht="22" hidden="1" customHeight="1" x14ac:dyDescent="0.2">
      <c r="A86" s="631">
        <v>4500230410</v>
      </c>
      <c r="B86" s="351" t="s">
        <v>160</v>
      </c>
      <c r="C86" s="351" t="s">
        <v>141</v>
      </c>
      <c r="D86" s="351"/>
      <c r="E86" s="352">
        <v>45700</v>
      </c>
      <c r="F86" s="631" t="s">
        <v>8</v>
      </c>
      <c r="G86" s="691">
        <v>1038</v>
      </c>
      <c r="H86" s="631">
        <f t="shared" si="4"/>
        <v>1038</v>
      </c>
      <c r="I86" s="691">
        <f t="shared" si="3"/>
        <v>0</v>
      </c>
      <c r="P86" s="14"/>
      <c r="T86" s="123"/>
      <c r="U86" s="61"/>
      <c r="V86" s="123"/>
      <c r="W86" s="123"/>
      <c r="X86" s="19"/>
      <c r="Y86" s="123"/>
      <c r="Z86" s="123"/>
      <c r="AA86" s="61"/>
      <c r="AB86" s="123"/>
      <c r="AC86" s="61"/>
      <c r="AD86" s="123"/>
      <c r="AE86" s="123"/>
      <c r="AF86" s="19"/>
      <c r="AG86" s="123"/>
      <c r="AH86" s="123"/>
      <c r="AI86" s="126"/>
      <c r="AJ86" s="126"/>
      <c r="AK86" s="126"/>
      <c r="AL86" s="126"/>
      <c r="AM86" s="127"/>
      <c r="AN86" s="127"/>
      <c r="AO86" s="127"/>
      <c r="AP86" s="127"/>
      <c r="AQ86" s="127"/>
      <c r="AR86" s="127"/>
      <c r="AS86" s="127"/>
      <c r="AT86" s="61"/>
      <c r="AU86" s="123"/>
      <c r="AV86" s="741"/>
      <c r="AW86" s="741"/>
      <c r="AX86" s="746"/>
      <c r="AY86" s="128"/>
      <c r="AZ86" s="129"/>
      <c r="BA86" s="129"/>
      <c r="BB86" s="129"/>
      <c r="BC86" s="61"/>
      <c r="BD86" s="61"/>
      <c r="BE86" s="123"/>
      <c r="BF86" s="19"/>
      <c r="BG86" s="61"/>
      <c r="BH86" s="123"/>
      <c r="BI86" s="123"/>
      <c r="BJ86" s="19"/>
      <c r="BK86" s="130"/>
      <c r="BL86" s="130"/>
      <c r="BM86" s="63"/>
      <c r="BN86" s="125"/>
      <c r="BO86" s="64"/>
      <c r="BP86" s="123"/>
      <c r="BQ86" s="123"/>
      <c r="BR86" s="61"/>
      <c r="BS86" s="123"/>
      <c r="BT86" s="61"/>
      <c r="BU86" s="123"/>
      <c r="BV86" s="123"/>
      <c r="BW86" s="123"/>
      <c r="BX86" s="61"/>
      <c r="BY86" s="123"/>
      <c r="BZ86" s="123"/>
      <c r="CA86" s="123"/>
      <c r="CB86" s="123"/>
      <c r="CC86" s="14"/>
      <c r="CD86" s="12"/>
      <c r="CE86" s="12"/>
      <c r="CF86" s="12"/>
      <c r="CG86" s="14"/>
      <c r="CH86" s="12"/>
      <c r="CI86" s="40"/>
      <c r="CJ86" s="12"/>
      <c r="CK86" s="753">
        <v>598</v>
      </c>
      <c r="CL86" s="758">
        <v>440</v>
      </c>
      <c r="CM86" s="12"/>
      <c r="CN86" s="12"/>
      <c r="CO86" s="13"/>
      <c r="CP86" s="12"/>
      <c r="CQ86" s="12"/>
      <c r="CS86" s="18"/>
      <c r="CT86" s="342"/>
      <c r="CX86" s="18"/>
      <c r="CY86" s="12"/>
      <c r="CZ86" s="12"/>
      <c r="DA86" s="12"/>
      <c r="DB86" s="13"/>
      <c r="DC86" s="14"/>
      <c r="DD86" s="12"/>
      <c r="DE86" s="12"/>
      <c r="DF86" s="12"/>
      <c r="DG86" s="164"/>
      <c r="DH86" s="137"/>
      <c r="DJ86" s="181"/>
      <c r="DK86" s="17"/>
      <c r="DO86" s="18"/>
      <c r="DS86" s="163"/>
      <c r="DT86" s="162"/>
      <c r="DX86" s="163"/>
      <c r="DY86" s="162"/>
      <c r="EC86" s="162"/>
      <c r="EF86" s="163"/>
      <c r="EK86" s="163"/>
      <c r="EL86" s="162"/>
      <c r="EO86" s="163"/>
      <c r="EP86" s="162"/>
      <c r="ET86" s="163"/>
      <c r="EU86" s="162"/>
      <c r="EX86" s="163"/>
      <c r="EY86" s="162"/>
      <c r="FB86" s="163"/>
    </row>
    <row r="87" spans="1:158" ht="22" customHeight="1" thickBot="1" x14ac:dyDescent="0.25">
      <c r="A87" s="11">
        <v>339472</v>
      </c>
      <c r="B87" s="11" t="s">
        <v>161</v>
      </c>
      <c r="C87" s="246" t="s">
        <v>107</v>
      </c>
      <c r="D87" s="341">
        <v>46029</v>
      </c>
      <c r="E87" s="765">
        <v>46016</v>
      </c>
      <c r="F87" s="11" t="s">
        <v>15</v>
      </c>
      <c r="G87" s="711">
        <v>2502</v>
      </c>
      <c r="H87" s="11">
        <f t="shared" si="4"/>
        <v>2502</v>
      </c>
      <c r="I87" s="711">
        <f t="shared" si="3"/>
        <v>0</v>
      </c>
      <c r="P87" s="14"/>
      <c r="T87" s="123"/>
      <c r="U87" s="61"/>
      <c r="V87" s="123"/>
      <c r="W87" s="123"/>
      <c r="X87" s="19"/>
      <c r="Y87" s="123"/>
      <c r="Z87" s="123"/>
      <c r="AA87" s="61"/>
      <c r="AB87" s="123"/>
      <c r="AC87" s="61"/>
      <c r="AD87" s="123"/>
      <c r="AE87" s="123"/>
      <c r="AF87" s="19"/>
      <c r="AG87" s="123"/>
      <c r="AH87" s="123"/>
      <c r="AI87" s="124"/>
      <c r="AJ87" s="124"/>
      <c r="AK87" s="70"/>
      <c r="AL87" s="124"/>
      <c r="AM87" s="123"/>
      <c r="AN87" s="123"/>
      <c r="AO87" s="19"/>
      <c r="AP87" s="123"/>
      <c r="AQ87" s="123"/>
      <c r="AR87" s="123"/>
      <c r="AS87" s="123"/>
      <c r="AT87" s="61"/>
      <c r="AU87" s="123"/>
      <c r="AV87" s="741"/>
      <c r="AW87" s="741"/>
      <c r="AX87" s="108"/>
      <c r="AY87" s="63"/>
      <c r="AZ87" s="125"/>
      <c r="BA87" s="125"/>
      <c r="BB87" s="64"/>
      <c r="BC87" s="63"/>
      <c r="BD87" s="73"/>
      <c r="BE87" s="74"/>
      <c r="BF87" s="75"/>
      <c r="BG87" s="73"/>
      <c r="BH87" s="74"/>
      <c r="BI87" s="74"/>
      <c r="BJ87" s="75"/>
      <c r="BK87" s="74"/>
      <c r="BL87" s="74"/>
      <c r="BM87" s="73"/>
      <c r="BN87" s="74"/>
      <c r="BO87" s="75"/>
      <c r="BP87" s="74"/>
      <c r="BQ87" s="74"/>
      <c r="BR87" s="63"/>
      <c r="BS87" s="108"/>
      <c r="BT87" s="67"/>
      <c r="BU87" s="108"/>
      <c r="BV87" s="108"/>
      <c r="BW87" s="743"/>
      <c r="BX87" s="61"/>
      <c r="BY87" s="108"/>
      <c r="BZ87" s="108"/>
      <c r="CA87" s="108"/>
      <c r="CB87" s="123"/>
      <c r="CC87" s="745"/>
      <c r="CE87" s="12"/>
      <c r="CF87" s="12"/>
      <c r="CG87" s="17"/>
      <c r="CI87" s="12"/>
      <c r="CK87" s="18"/>
      <c r="CL87" s="17"/>
      <c r="CM87" s="12"/>
      <c r="CO87" s="18"/>
      <c r="CP87" s="766"/>
      <c r="CQ87" s="766"/>
      <c r="CR87" s="766"/>
      <c r="CS87" s="13"/>
      <c r="CT87" s="767"/>
      <c r="CU87" s="12"/>
      <c r="CV87" s="147"/>
      <c r="CW87" s="147"/>
      <c r="CX87" s="148"/>
      <c r="CY87" s="14"/>
      <c r="CZ87" s="12"/>
      <c r="DA87" s="147">
        <v>750</v>
      </c>
      <c r="DB87" s="148"/>
      <c r="DC87" s="146"/>
      <c r="DD87" s="147"/>
      <c r="DE87" s="147"/>
      <c r="DF87" s="147">
        <v>1000</v>
      </c>
      <c r="DG87" s="173"/>
      <c r="DH87" s="144"/>
      <c r="DI87" s="144"/>
      <c r="DJ87" s="181"/>
      <c r="DK87" s="146">
        <v>752</v>
      </c>
      <c r="DO87" s="18"/>
      <c r="DS87" s="163"/>
      <c r="DT87" s="162"/>
      <c r="DX87" s="163"/>
      <c r="DY87" s="162"/>
      <c r="EC87" s="162"/>
      <c r="EF87" s="163"/>
      <c r="EK87" s="163"/>
      <c r="EL87" s="162"/>
      <c r="EO87" s="163"/>
      <c r="EP87" s="162"/>
      <c r="ET87" s="163"/>
      <c r="EU87" s="162"/>
      <c r="EX87" s="163"/>
      <c r="EY87" s="162"/>
      <c r="FB87" s="163"/>
    </row>
    <row r="88" spans="1:158" ht="22" customHeight="1" thickBot="1" x14ac:dyDescent="0.25">
      <c r="A88" s="11"/>
      <c r="B88" s="11" t="s">
        <v>162</v>
      </c>
      <c r="C88" s="11" t="s">
        <v>29</v>
      </c>
      <c r="D88" s="11" t="s">
        <v>163</v>
      </c>
      <c r="E88" s="765">
        <v>46043</v>
      </c>
      <c r="F88" s="11" t="s">
        <v>29</v>
      </c>
      <c r="G88" s="11">
        <v>3164</v>
      </c>
      <c r="H88" s="11">
        <f t="shared" si="4"/>
        <v>3164</v>
      </c>
      <c r="I88" s="711">
        <f t="shared" si="3"/>
        <v>0</v>
      </c>
      <c r="P88" s="14"/>
      <c r="T88" s="123"/>
      <c r="U88" s="61"/>
      <c r="V88" s="123"/>
      <c r="W88" s="123"/>
      <c r="X88" s="19"/>
      <c r="Y88" s="123"/>
      <c r="Z88" s="123"/>
      <c r="AA88" s="61"/>
      <c r="AB88" s="123"/>
      <c r="AC88" s="61"/>
      <c r="AD88" s="123"/>
      <c r="AE88" s="123"/>
      <c r="AF88" s="19"/>
      <c r="AG88" s="123"/>
      <c r="AH88" s="123"/>
      <c r="AI88" s="124"/>
      <c r="AJ88" s="124"/>
      <c r="AK88" s="70"/>
      <c r="AL88" s="124"/>
      <c r="AM88" s="123"/>
      <c r="AN88" s="123"/>
      <c r="AO88" s="19"/>
      <c r="AP88" s="123"/>
      <c r="AQ88" s="123"/>
      <c r="AR88" s="123"/>
      <c r="AS88" s="123"/>
      <c r="AT88" s="61"/>
      <c r="AU88" s="123"/>
      <c r="AV88" s="123"/>
      <c r="AW88" s="123"/>
      <c r="AX88" s="109"/>
      <c r="AY88" s="264"/>
      <c r="AZ88" s="265"/>
      <c r="BA88" s="265"/>
      <c r="BB88" s="266"/>
      <c r="BC88" s="264"/>
      <c r="BD88" s="267"/>
      <c r="BE88" s="268"/>
      <c r="BF88" s="269"/>
      <c r="BG88" s="267"/>
      <c r="BH88" s="268"/>
      <c r="BI88" s="268"/>
      <c r="BJ88" s="269"/>
      <c r="BK88" s="268"/>
      <c r="BL88" s="268"/>
      <c r="BM88" s="267"/>
      <c r="BN88" s="268"/>
      <c r="BO88" s="269"/>
      <c r="BP88" s="268"/>
      <c r="BQ88" s="268"/>
      <c r="BR88" s="264"/>
      <c r="BS88" s="109"/>
      <c r="BT88" s="270"/>
      <c r="BU88" s="109"/>
      <c r="BV88" s="109"/>
      <c r="BW88" s="743"/>
      <c r="BX88" s="61"/>
      <c r="BY88" s="109"/>
      <c r="BZ88" s="109"/>
      <c r="CA88" s="109"/>
      <c r="CB88" s="123"/>
      <c r="CC88" s="14"/>
      <c r="CD88" s="137"/>
      <c r="CE88" s="12"/>
      <c r="CF88" s="12"/>
      <c r="CG88" s="247"/>
      <c r="CH88" s="181"/>
      <c r="CI88" s="12"/>
      <c r="CJ88" s="181"/>
      <c r="CK88" s="729"/>
      <c r="CL88" s="752"/>
      <c r="CM88" s="137"/>
      <c r="CN88" s="137"/>
      <c r="CO88" s="271"/>
      <c r="CP88" s="12"/>
      <c r="CQ88" s="12"/>
      <c r="CR88" s="12"/>
      <c r="CS88" s="13"/>
      <c r="CT88" s="767"/>
      <c r="CU88" s="12"/>
      <c r="CV88" s="12"/>
      <c r="CW88" s="147"/>
      <c r="CX88" s="148"/>
      <c r="CY88" s="146"/>
      <c r="CZ88" s="147">
        <v>400</v>
      </c>
      <c r="DA88" s="147">
        <v>1000</v>
      </c>
      <c r="DB88" s="148"/>
      <c r="DC88" s="146"/>
      <c r="DD88" s="147"/>
      <c r="DE88" s="147"/>
      <c r="DF88" s="147">
        <v>500</v>
      </c>
      <c r="DG88" s="173">
        <v>500</v>
      </c>
      <c r="DH88" s="144"/>
      <c r="DI88" s="144"/>
      <c r="DJ88" s="181"/>
      <c r="DK88" s="247">
        <v>764</v>
      </c>
      <c r="DO88" s="18"/>
      <c r="DS88" s="163"/>
      <c r="DT88" s="162"/>
      <c r="DX88" s="163"/>
      <c r="DY88" s="162"/>
      <c r="EC88" s="162"/>
      <c r="EF88" s="163"/>
      <c r="EK88" s="163"/>
      <c r="EL88" s="162"/>
      <c r="EO88" s="163"/>
      <c r="EP88" s="162"/>
      <c r="ET88" s="163"/>
      <c r="EU88" s="162"/>
      <c r="EX88" s="163"/>
      <c r="EY88" s="162"/>
      <c r="FB88" s="163"/>
    </row>
    <row r="89" spans="1:158" ht="22" customHeight="1" thickBot="1" x14ac:dyDescent="0.25">
      <c r="A89" s="1193">
        <v>1047</v>
      </c>
      <c r="B89" s="246" t="s">
        <v>164</v>
      </c>
      <c r="C89" s="246" t="s">
        <v>105</v>
      </c>
      <c r="D89" s="371">
        <v>46075</v>
      </c>
      <c r="E89" s="1195">
        <v>45705</v>
      </c>
      <c r="F89" s="246" t="s">
        <v>74</v>
      </c>
      <c r="G89" s="246">
        <v>2676</v>
      </c>
      <c r="H89" s="11">
        <f t="shared" si="4"/>
        <v>2676</v>
      </c>
      <c r="I89" s="329">
        <f t="shared" si="3"/>
        <v>0</v>
      </c>
      <c r="P89" s="14"/>
      <c r="T89" s="123"/>
      <c r="U89" s="61"/>
      <c r="V89" s="123"/>
      <c r="W89" s="123"/>
      <c r="X89" s="19"/>
      <c r="Y89" s="123"/>
      <c r="Z89" s="123"/>
      <c r="AA89" s="61"/>
      <c r="AB89" s="123"/>
      <c r="AC89" s="61"/>
      <c r="AD89" s="123"/>
      <c r="AE89" s="123"/>
      <c r="AF89" s="19"/>
      <c r="AG89" s="123"/>
      <c r="AH89" s="123"/>
      <c r="AI89" s="124"/>
      <c r="AJ89" s="124"/>
      <c r="AK89" s="70"/>
      <c r="AL89" s="124"/>
      <c r="AM89" s="123"/>
      <c r="AN89" s="123"/>
      <c r="AO89" s="19"/>
      <c r="AP89" s="123"/>
      <c r="AQ89" s="123"/>
      <c r="AR89" s="123"/>
      <c r="AS89" s="123"/>
      <c r="AT89" s="61"/>
      <c r="AU89" s="123"/>
      <c r="AV89" s="123"/>
      <c r="AW89" s="123"/>
      <c r="AX89" s="109"/>
      <c r="AY89" s="264"/>
      <c r="AZ89" s="265"/>
      <c r="BA89" s="265"/>
      <c r="BB89" s="266"/>
      <c r="BC89" s="264"/>
      <c r="BD89" s="267"/>
      <c r="BE89" s="268"/>
      <c r="BF89" s="269"/>
      <c r="BG89" s="267"/>
      <c r="BH89" s="268"/>
      <c r="BI89" s="268"/>
      <c r="BJ89" s="269"/>
      <c r="BK89" s="268"/>
      <c r="BL89" s="268"/>
      <c r="BM89" s="267"/>
      <c r="BN89" s="268"/>
      <c r="BO89" s="269"/>
      <c r="BP89" s="268"/>
      <c r="BQ89" s="268"/>
      <c r="BR89" s="264"/>
      <c r="BS89" s="109"/>
      <c r="BT89" s="270"/>
      <c r="BU89" s="109"/>
      <c r="BV89" s="109"/>
      <c r="BW89" s="743"/>
      <c r="BX89" s="61"/>
      <c r="BY89" s="109"/>
      <c r="BZ89" s="109"/>
      <c r="CA89" s="109"/>
      <c r="CB89" s="123"/>
      <c r="CC89" s="14"/>
      <c r="CD89" s="137"/>
      <c r="CE89" s="12"/>
      <c r="CF89" s="12"/>
      <c r="CG89" s="247"/>
      <c r="CH89" s="181"/>
      <c r="CI89" s="12"/>
      <c r="CJ89" s="181"/>
      <c r="CK89" s="729"/>
      <c r="CL89" s="752"/>
      <c r="CM89" s="137"/>
      <c r="CN89" s="137"/>
      <c r="CO89" s="271"/>
      <c r="CP89" s="137"/>
      <c r="CQ89" s="137"/>
      <c r="CR89" s="137"/>
      <c r="CS89" s="271"/>
      <c r="CT89" s="343"/>
      <c r="CU89" s="137"/>
      <c r="CV89" s="181"/>
      <c r="CW89" s="181"/>
      <c r="CX89" s="271"/>
      <c r="CY89" s="247"/>
      <c r="CZ89" s="137"/>
      <c r="DA89" s="181"/>
      <c r="DB89" s="759">
        <v>500</v>
      </c>
      <c r="DC89" s="758">
        <v>2176</v>
      </c>
      <c r="DD89" s="653"/>
      <c r="DE89" s="12"/>
      <c r="DF89" s="181"/>
      <c r="DG89" s="708"/>
      <c r="DH89" s="181"/>
      <c r="DI89" s="181"/>
      <c r="DJ89" s="181"/>
      <c r="DK89" s="14"/>
      <c r="DL89" s="12"/>
      <c r="DM89" s="12"/>
      <c r="DN89" s="12"/>
      <c r="DO89" s="13"/>
      <c r="DP89" s="12"/>
      <c r="DQ89" s="12"/>
      <c r="DR89" s="12"/>
      <c r="DS89" s="768"/>
      <c r="DT89" s="763"/>
      <c r="DX89" s="163"/>
      <c r="DY89" s="162"/>
      <c r="EC89" s="162"/>
      <c r="EF89" s="163"/>
      <c r="EK89" s="163"/>
      <c r="EL89" s="162"/>
      <c r="EO89" s="163"/>
      <c r="EP89" s="162"/>
      <c r="ET89" s="163"/>
      <c r="EU89" s="162"/>
      <c r="EX89" s="163"/>
      <c r="EY89" s="162"/>
      <c r="FB89" s="163"/>
    </row>
    <row r="90" spans="1:158" ht="22" customHeight="1" thickBot="1" x14ac:dyDescent="0.25">
      <c r="A90" s="1194"/>
      <c r="B90" s="246" t="s">
        <v>165</v>
      </c>
      <c r="C90" s="246" t="s">
        <v>148</v>
      </c>
      <c r="D90" s="341">
        <v>46082</v>
      </c>
      <c r="E90" s="1195"/>
      <c r="F90" s="246" t="s">
        <v>74</v>
      </c>
      <c r="G90" s="246">
        <v>1512</v>
      </c>
      <c r="H90" s="11">
        <f t="shared" si="4"/>
        <v>1512</v>
      </c>
      <c r="I90" s="329">
        <f t="shared" si="3"/>
        <v>0</v>
      </c>
      <c r="P90" s="14"/>
      <c r="T90" s="123"/>
      <c r="U90" s="61"/>
      <c r="V90" s="123"/>
      <c r="W90" s="123"/>
      <c r="X90" s="19"/>
      <c r="Y90" s="123"/>
      <c r="Z90" s="123"/>
      <c r="AA90" s="61"/>
      <c r="AB90" s="123"/>
      <c r="AC90" s="61"/>
      <c r="AD90" s="123"/>
      <c r="AE90" s="123"/>
      <c r="AF90" s="19"/>
      <c r="AG90" s="123"/>
      <c r="AH90" s="123"/>
      <c r="AI90" s="124"/>
      <c r="AJ90" s="124"/>
      <c r="AK90" s="70"/>
      <c r="AL90" s="124"/>
      <c r="AM90" s="123"/>
      <c r="AN90" s="123"/>
      <c r="AO90" s="19"/>
      <c r="AP90" s="123"/>
      <c r="AQ90" s="123"/>
      <c r="AR90" s="123"/>
      <c r="AS90" s="123"/>
      <c r="AT90" s="61"/>
      <c r="AU90" s="123"/>
      <c r="AV90" s="123"/>
      <c r="AW90" s="123"/>
      <c r="AX90" s="109"/>
      <c r="AY90" s="264"/>
      <c r="AZ90" s="265"/>
      <c r="BA90" s="265"/>
      <c r="BB90" s="266"/>
      <c r="BC90" s="264"/>
      <c r="BD90" s="267"/>
      <c r="BE90" s="268"/>
      <c r="BF90" s="269"/>
      <c r="BG90" s="267"/>
      <c r="BH90" s="268"/>
      <c r="BI90" s="268"/>
      <c r="BJ90" s="269"/>
      <c r="BK90" s="268"/>
      <c r="BL90" s="268"/>
      <c r="BM90" s="267"/>
      <c r="BN90" s="268"/>
      <c r="BO90" s="269"/>
      <c r="BP90" s="268"/>
      <c r="BQ90" s="268"/>
      <c r="BR90" s="264"/>
      <c r="BS90" s="109"/>
      <c r="BT90" s="270"/>
      <c r="BU90" s="109"/>
      <c r="BV90" s="109"/>
      <c r="BW90" s="743"/>
      <c r="BX90" s="61"/>
      <c r="BY90" s="109"/>
      <c r="BZ90" s="109"/>
      <c r="CA90" s="109"/>
      <c r="CB90" s="123"/>
      <c r="CC90" s="14"/>
      <c r="CD90" s="137"/>
      <c r="CE90" s="12"/>
      <c r="CF90" s="12"/>
      <c r="CG90" s="247"/>
      <c r="CH90" s="181"/>
      <c r="CI90" s="12"/>
      <c r="CJ90" s="181"/>
      <c r="CK90" s="729"/>
      <c r="CL90" s="752"/>
      <c r="CM90" s="137"/>
      <c r="CN90" s="137"/>
      <c r="CO90" s="271"/>
      <c r="CP90" s="137"/>
      <c r="CQ90" s="137"/>
      <c r="CR90" s="137"/>
      <c r="CS90" s="271"/>
      <c r="CT90" s="343"/>
      <c r="CU90" s="137"/>
      <c r="CV90" s="181"/>
      <c r="CW90" s="181"/>
      <c r="CX90" s="271"/>
      <c r="CY90" s="247"/>
      <c r="CZ90" s="137"/>
      <c r="DA90" s="181"/>
      <c r="DB90" s="759"/>
      <c r="DC90" s="758">
        <v>600</v>
      </c>
      <c r="DD90" s="653">
        <v>912</v>
      </c>
      <c r="DE90" s="12"/>
      <c r="DF90" s="181"/>
      <c r="DG90" s="708"/>
      <c r="DH90" s="181"/>
      <c r="DI90" s="181"/>
      <c r="DJ90" s="181"/>
      <c r="DK90" s="14"/>
      <c r="DL90" s="12"/>
      <c r="DM90" s="12"/>
      <c r="DN90" s="12"/>
      <c r="DO90" s="13"/>
      <c r="DP90" s="12"/>
      <c r="DQ90" s="12"/>
      <c r="DR90" s="12"/>
      <c r="DS90" s="768"/>
      <c r="DT90" s="763"/>
      <c r="DX90" s="163"/>
      <c r="DY90" s="162"/>
      <c r="EC90" s="162"/>
      <c r="EF90" s="163"/>
      <c r="EK90" s="163"/>
      <c r="EL90" s="162"/>
      <c r="EO90" s="163"/>
      <c r="EP90" s="162"/>
      <c r="ET90" s="163"/>
      <c r="EU90" s="162"/>
      <c r="EX90" s="163"/>
      <c r="EY90" s="162"/>
      <c r="FB90" s="163"/>
    </row>
    <row r="91" spans="1:158" ht="22" customHeight="1" thickBot="1" x14ac:dyDescent="0.25">
      <c r="A91" s="1196">
        <v>1048</v>
      </c>
      <c r="B91" s="246" t="s">
        <v>166</v>
      </c>
      <c r="C91" s="246" t="s">
        <v>167</v>
      </c>
      <c r="D91" s="372">
        <v>46082</v>
      </c>
      <c r="E91" s="1195"/>
      <c r="F91" s="246" t="s">
        <v>74</v>
      </c>
      <c r="G91" s="246">
        <v>612</v>
      </c>
      <c r="H91" s="11">
        <f t="shared" si="4"/>
        <v>612</v>
      </c>
      <c r="I91" s="329">
        <f t="shared" si="3"/>
        <v>0</v>
      </c>
      <c r="P91" s="14"/>
      <c r="T91" s="123"/>
      <c r="U91" s="61"/>
      <c r="V91" s="123"/>
      <c r="W91" s="123"/>
      <c r="X91" s="19"/>
      <c r="Y91" s="123"/>
      <c r="Z91" s="123"/>
      <c r="AA91" s="61"/>
      <c r="AB91" s="123"/>
      <c r="AC91" s="61"/>
      <c r="AD91" s="123"/>
      <c r="AE91" s="123"/>
      <c r="AF91" s="19"/>
      <c r="AG91" s="123"/>
      <c r="AH91" s="123"/>
      <c r="AI91" s="124"/>
      <c r="AJ91" s="124"/>
      <c r="AK91" s="70"/>
      <c r="AL91" s="124"/>
      <c r="AM91" s="123"/>
      <c r="AN91" s="123"/>
      <c r="AO91" s="19"/>
      <c r="AP91" s="123"/>
      <c r="AQ91" s="123"/>
      <c r="AR91" s="123"/>
      <c r="AS91" s="123"/>
      <c r="AT91" s="61"/>
      <c r="AU91" s="123"/>
      <c r="AV91" s="123"/>
      <c r="AW91" s="123"/>
      <c r="AX91" s="109"/>
      <c r="AY91" s="264"/>
      <c r="AZ91" s="265"/>
      <c r="BA91" s="265"/>
      <c r="BB91" s="266"/>
      <c r="BC91" s="264"/>
      <c r="BD91" s="267"/>
      <c r="BE91" s="268"/>
      <c r="BF91" s="269"/>
      <c r="BG91" s="267"/>
      <c r="BH91" s="268"/>
      <c r="BI91" s="268"/>
      <c r="BJ91" s="269"/>
      <c r="BK91" s="268"/>
      <c r="BL91" s="268"/>
      <c r="BM91" s="267"/>
      <c r="BN91" s="268"/>
      <c r="BO91" s="269"/>
      <c r="BP91" s="268"/>
      <c r="BQ91" s="268"/>
      <c r="BR91" s="264"/>
      <c r="BS91" s="109"/>
      <c r="BT91" s="270"/>
      <c r="BU91" s="109"/>
      <c r="BV91" s="109"/>
      <c r="BW91" s="743"/>
      <c r="BX91" s="61"/>
      <c r="BY91" s="109"/>
      <c r="BZ91" s="109"/>
      <c r="CA91" s="109"/>
      <c r="CB91" s="123"/>
      <c r="CC91" s="14"/>
      <c r="CD91" s="137"/>
      <c r="CE91" s="12"/>
      <c r="CF91" s="12"/>
      <c r="CG91" s="247"/>
      <c r="CH91" s="181"/>
      <c r="CI91" s="12"/>
      <c r="CJ91" s="181"/>
      <c r="CK91" s="729"/>
      <c r="CL91" s="752"/>
      <c r="CM91" s="137"/>
      <c r="CN91" s="137"/>
      <c r="CO91" s="271"/>
      <c r="CP91" s="137"/>
      <c r="CQ91" s="137"/>
      <c r="CR91" s="137"/>
      <c r="CS91" s="271"/>
      <c r="CT91" s="343"/>
      <c r="CU91" s="137"/>
      <c r="CV91" s="181"/>
      <c r="CW91" s="181"/>
      <c r="CX91" s="271"/>
      <c r="CY91" s="247"/>
      <c r="CZ91" s="137"/>
      <c r="DA91" s="181"/>
      <c r="DB91" s="759"/>
      <c r="DC91" s="758"/>
      <c r="DD91" s="653">
        <v>612</v>
      </c>
      <c r="DE91" s="12"/>
      <c r="DF91" s="181"/>
      <c r="DG91" s="708"/>
      <c r="DH91" s="181"/>
      <c r="DI91" s="181"/>
      <c r="DJ91" s="181"/>
      <c r="DK91" s="14"/>
      <c r="DL91" s="12"/>
      <c r="DM91" s="12"/>
      <c r="DN91" s="12"/>
      <c r="DO91" s="13"/>
      <c r="DP91" s="12"/>
      <c r="DQ91" s="12"/>
      <c r="DR91" s="12"/>
      <c r="DS91" s="768"/>
      <c r="DT91" s="763"/>
      <c r="DX91" s="163"/>
      <c r="DY91" s="162"/>
      <c r="EC91" s="162"/>
      <c r="EF91" s="163"/>
      <c r="EK91" s="163"/>
      <c r="EL91" s="162"/>
      <c r="EO91" s="163"/>
      <c r="EP91" s="162"/>
      <c r="ET91" s="163"/>
      <c r="EU91" s="162"/>
      <c r="EX91" s="163"/>
      <c r="EY91" s="162"/>
      <c r="FB91" s="163"/>
    </row>
    <row r="92" spans="1:158" ht="22" customHeight="1" thickBot="1" x14ac:dyDescent="0.25">
      <c r="A92" s="1194"/>
      <c r="B92" s="246" t="s">
        <v>168</v>
      </c>
      <c r="C92" s="246" t="s">
        <v>169</v>
      </c>
      <c r="D92" s="372">
        <v>46082</v>
      </c>
      <c r="E92" s="1195"/>
      <c r="F92" s="246" t="s">
        <v>74</v>
      </c>
      <c r="G92" s="246">
        <v>606</v>
      </c>
      <c r="H92" s="11">
        <f t="shared" si="4"/>
        <v>606</v>
      </c>
      <c r="I92" s="329">
        <f t="shared" si="3"/>
        <v>0</v>
      </c>
      <c r="P92" s="14"/>
      <c r="T92" s="123"/>
      <c r="U92" s="61"/>
      <c r="V92" s="123"/>
      <c r="W92" s="123"/>
      <c r="X92" s="19"/>
      <c r="Y92" s="123"/>
      <c r="Z92" s="123"/>
      <c r="AA92" s="61"/>
      <c r="AB92" s="123"/>
      <c r="AC92" s="61"/>
      <c r="AD92" s="123"/>
      <c r="AE92" s="123"/>
      <c r="AF92" s="19"/>
      <c r="AG92" s="123"/>
      <c r="AH92" s="123"/>
      <c r="AI92" s="124"/>
      <c r="AJ92" s="124"/>
      <c r="AK92" s="70"/>
      <c r="AL92" s="124"/>
      <c r="AM92" s="123"/>
      <c r="AN92" s="123"/>
      <c r="AO92" s="19"/>
      <c r="AP92" s="123"/>
      <c r="AQ92" s="123"/>
      <c r="AR92" s="123"/>
      <c r="AS92" s="123"/>
      <c r="AT92" s="61"/>
      <c r="AU92" s="123"/>
      <c r="AV92" s="123"/>
      <c r="AW92" s="123"/>
      <c r="AX92" s="109"/>
      <c r="AY92" s="264"/>
      <c r="AZ92" s="265"/>
      <c r="BA92" s="265"/>
      <c r="BB92" s="266"/>
      <c r="BC92" s="264"/>
      <c r="BD92" s="267"/>
      <c r="BE92" s="268"/>
      <c r="BF92" s="269"/>
      <c r="BG92" s="267"/>
      <c r="BH92" s="268"/>
      <c r="BI92" s="268"/>
      <c r="BJ92" s="269"/>
      <c r="BK92" s="268"/>
      <c r="BL92" s="268"/>
      <c r="BM92" s="267"/>
      <c r="BN92" s="268"/>
      <c r="BO92" s="269"/>
      <c r="BP92" s="268"/>
      <c r="BQ92" s="268"/>
      <c r="BR92" s="264"/>
      <c r="BS92" s="109"/>
      <c r="BT92" s="270"/>
      <c r="BU92" s="109"/>
      <c r="BV92" s="109"/>
      <c r="BW92" s="743"/>
      <c r="BX92" s="61"/>
      <c r="BY92" s="109"/>
      <c r="BZ92" s="109"/>
      <c r="CA92" s="109"/>
      <c r="CB92" s="123"/>
      <c r="CC92" s="14"/>
      <c r="CD92" s="137"/>
      <c r="CE92" s="12"/>
      <c r="CF92" s="12"/>
      <c r="CG92" s="247"/>
      <c r="CH92" s="181"/>
      <c r="CI92" s="12"/>
      <c r="CJ92" s="181"/>
      <c r="CK92" s="729"/>
      <c r="CL92" s="752"/>
      <c r="CM92" s="137"/>
      <c r="CN92" s="137"/>
      <c r="CO92" s="271"/>
      <c r="CP92" s="137"/>
      <c r="CQ92" s="137"/>
      <c r="CR92" s="137"/>
      <c r="CS92" s="271"/>
      <c r="CT92" s="343"/>
      <c r="CU92" s="137"/>
      <c r="CV92" s="181"/>
      <c r="CW92" s="181"/>
      <c r="CX92" s="271"/>
      <c r="CY92" s="247"/>
      <c r="CZ92" s="137"/>
      <c r="DA92" s="181"/>
      <c r="DB92" s="759"/>
      <c r="DC92" s="758"/>
      <c r="DD92" s="653">
        <v>606</v>
      </c>
      <c r="DE92" s="12"/>
      <c r="DF92" s="181"/>
      <c r="DG92" s="162"/>
      <c r="DH92" s="181"/>
      <c r="DI92" s="181"/>
      <c r="DJ92" s="181"/>
      <c r="DK92" s="14"/>
      <c r="DL92" s="12"/>
      <c r="DM92" s="12"/>
      <c r="DN92" s="12"/>
      <c r="DO92" s="13"/>
      <c r="DP92" s="12"/>
      <c r="DQ92" s="12"/>
      <c r="DR92" s="12"/>
      <c r="DS92" s="768"/>
      <c r="DT92" s="763"/>
      <c r="DX92" s="163"/>
      <c r="DY92" s="162"/>
      <c r="EC92" s="162"/>
      <c r="EF92" s="163"/>
      <c r="EK92" s="163"/>
      <c r="EL92" s="162"/>
      <c r="EO92" s="163"/>
      <c r="EP92" s="162"/>
      <c r="ET92" s="163"/>
      <c r="EU92" s="162"/>
      <c r="EX92" s="163"/>
      <c r="EY92" s="162"/>
      <c r="FB92" s="163"/>
    </row>
    <row r="93" spans="1:158" ht="22" customHeight="1" thickBot="1" x14ac:dyDescent="0.25">
      <c r="A93" s="246">
        <v>1049</v>
      </c>
      <c r="B93" s="246" t="s">
        <v>170</v>
      </c>
      <c r="C93" s="246" t="s">
        <v>171</v>
      </c>
      <c r="D93" s="373">
        <v>46082</v>
      </c>
      <c r="E93" s="1195"/>
      <c r="F93" s="246" t="s">
        <v>74</v>
      </c>
      <c r="G93" s="246">
        <v>600</v>
      </c>
      <c r="H93" s="11">
        <f t="shared" si="4"/>
        <v>600</v>
      </c>
      <c r="I93" s="329">
        <f t="shared" si="3"/>
        <v>0</v>
      </c>
      <c r="P93" s="14"/>
      <c r="T93" s="123"/>
      <c r="U93" s="61"/>
      <c r="V93" s="123"/>
      <c r="W93" s="123"/>
      <c r="X93" s="19"/>
      <c r="Y93" s="123"/>
      <c r="Z93" s="123"/>
      <c r="AA93" s="61"/>
      <c r="AB93" s="123"/>
      <c r="AC93" s="61"/>
      <c r="AD93" s="123"/>
      <c r="AE93" s="123"/>
      <c r="AF93" s="19"/>
      <c r="AG93" s="123"/>
      <c r="AH93" s="123"/>
      <c r="AI93" s="124"/>
      <c r="AJ93" s="124"/>
      <c r="AK93" s="70"/>
      <c r="AL93" s="124"/>
      <c r="AM93" s="123"/>
      <c r="AN93" s="123"/>
      <c r="AO93" s="19"/>
      <c r="AP93" s="123"/>
      <c r="AQ93" s="123"/>
      <c r="AR93" s="123"/>
      <c r="AS93" s="123"/>
      <c r="AT93" s="61"/>
      <c r="AU93" s="123"/>
      <c r="AV93" s="123"/>
      <c r="AW93" s="123"/>
      <c r="AX93" s="109"/>
      <c r="AY93" s="264"/>
      <c r="AZ93" s="265"/>
      <c r="BA93" s="265"/>
      <c r="BB93" s="266"/>
      <c r="BC93" s="264"/>
      <c r="BD93" s="267"/>
      <c r="BE93" s="268"/>
      <c r="BF93" s="269"/>
      <c r="BG93" s="267"/>
      <c r="BH93" s="268"/>
      <c r="BI93" s="268"/>
      <c r="BJ93" s="269"/>
      <c r="BK93" s="268"/>
      <c r="BL93" s="268"/>
      <c r="BM93" s="267"/>
      <c r="BN93" s="268"/>
      <c r="BO93" s="269"/>
      <c r="BP93" s="268"/>
      <c r="BQ93" s="268"/>
      <c r="BR93" s="264"/>
      <c r="BS93" s="109"/>
      <c r="BT93" s="270"/>
      <c r="BU93" s="109"/>
      <c r="BV93" s="109"/>
      <c r="BW93" s="743"/>
      <c r="BX93" s="61"/>
      <c r="BY93" s="109"/>
      <c r="BZ93" s="109"/>
      <c r="CA93" s="109"/>
      <c r="CB93" s="123"/>
      <c r="CC93" s="14"/>
      <c r="CD93" s="137"/>
      <c r="CE93" s="12"/>
      <c r="CF93" s="12"/>
      <c r="CG93" s="247"/>
      <c r="CH93" s="181"/>
      <c r="CI93" s="12"/>
      <c r="CJ93" s="181"/>
      <c r="CK93" s="729"/>
      <c r="CL93" s="752"/>
      <c r="CM93" s="137"/>
      <c r="CN93" s="137"/>
      <c r="CO93" s="271"/>
      <c r="CP93" s="137"/>
      <c r="CQ93" s="137"/>
      <c r="CR93" s="137"/>
      <c r="CS93" s="271"/>
      <c r="CT93" s="343"/>
      <c r="CU93" s="137"/>
      <c r="CV93" s="181"/>
      <c r="CW93" s="181"/>
      <c r="CX93" s="271"/>
      <c r="CY93" s="247"/>
      <c r="CZ93" s="137"/>
      <c r="DA93" s="181"/>
      <c r="DB93" s="759"/>
      <c r="DC93" s="758"/>
      <c r="DD93" s="653">
        <v>600</v>
      </c>
      <c r="DE93" s="12"/>
      <c r="DF93" s="181"/>
      <c r="DG93" s="769"/>
      <c r="DH93" s="181"/>
      <c r="DI93" s="181"/>
      <c r="DJ93" s="181"/>
      <c r="DK93" s="14"/>
      <c r="DL93" s="12"/>
      <c r="DM93" s="12"/>
      <c r="DN93" s="12"/>
      <c r="DO93" s="13"/>
      <c r="DP93" s="12"/>
      <c r="DQ93" s="12"/>
      <c r="DR93" s="12"/>
      <c r="DS93" s="768"/>
      <c r="DT93" s="763"/>
      <c r="DX93" s="163"/>
      <c r="DY93" s="162"/>
      <c r="EC93" s="162"/>
      <c r="EF93" s="163"/>
      <c r="EK93" s="163"/>
      <c r="EL93" s="162"/>
      <c r="EO93" s="163"/>
      <c r="EP93" s="162"/>
      <c r="ET93" s="163"/>
      <c r="EU93" s="162"/>
      <c r="EX93" s="163"/>
      <c r="EY93" s="162"/>
      <c r="FB93" s="163"/>
    </row>
    <row r="94" spans="1:158" ht="22" customHeight="1" thickBot="1" x14ac:dyDescent="0.25">
      <c r="A94" s="246" t="s">
        <v>172</v>
      </c>
      <c r="B94" s="246" t="s">
        <v>173</v>
      </c>
      <c r="C94" s="246" t="s">
        <v>107</v>
      </c>
      <c r="D94" s="341">
        <v>46064</v>
      </c>
      <c r="E94" s="770"/>
      <c r="F94" s="246" t="s">
        <v>108</v>
      </c>
      <c r="G94" s="246">
        <v>2310</v>
      </c>
      <c r="H94" s="11">
        <f t="shared" si="4"/>
        <v>2310</v>
      </c>
      <c r="I94" s="329">
        <f t="shared" si="3"/>
        <v>0</v>
      </c>
      <c r="P94" s="14"/>
      <c r="T94" s="123"/>
      <c r="U94" s="61"/>
      <c r="V94" s="123"/>
      <c r="W94" s="123"/>
      <c r="X94" s="19"/>
      <c r="Y94" s="123"/>
      <c r="Z94" s="123"/>
      <c r="AA94" s="61"/>
      <c r="AB94" s="123"/>
      <c r="AC94" s="61"/>
      <c r="AD94" s="123"/>
      <c r="AE94" s="123"/>
      <c r="AF94" s="19"/>
      <c r="AG94" s="123"/>
      <c r="AH94" s="123"/>
      <c r="AI94" s="124"/>
      <c r="AJ94" s="124"/>
      <c r="AK94" s="70"/>
      <c r="AL94" s="124"/>
      <c r="AM94" s="123"/>
      <c r="AN94" s="123"/>
      <c r="AO94" s="19"/>
      <c r="AP94" s="123"/>
      <c r="AQ94" s="123"/>
      <c r="AR94" s="123"/>
      <c r="AS94" s="123"/>
      <c r="AT94" s="61"/>
      <c r="AU94" s="123"/>
      <c r="AV94" s="123"/>
      <c r="AW94" s="123"/>
      <c r="AX94" s="109"/>
      <c r="AY94" s="264"/>
      <c r="AZ94" s="265"/>
      <c r="BA94" s="265"/>
      <c r="BB94" s="266"/>
      <c r="BC94" s="264"/>
      <c r="BD94" s="267"/>
      <c r="BE94" s="268"/>
      <c r="BF94" s="269"/>
      <c r="BG94" s="267"/>
      <c r="BH94" s="268"/>
      <c r="BI94" s="268"/>
      <c r="BJ94" s="269"/>
      <c r="BK94" s="268"/>
      <c r="BL94" s="268"/>
      <c r="BM94" s="267"/>
      <c r="BN94" s="268"/>
      <c r="BO94" s="269"/>
      <c r="BP94" s="268"/>
      <c r="BQ94" s="268"/>
      <c r="BR94" s="264"/>
      <c r="BS94" s="109"/>
      <c r="BT94" s="270"/>
      <c r="BU94" s="109"/>
      <c r="BV94" s="109"/>
      <c r="BW94" s="743"/>
      <c r="BX94" s="61"/>
      <c r="BY94" s="109"/>
      <c r="BZ94" s="109"/>
      <c r="CA94" s="109"/>
      <c r="CB94" s="123"/>
      <c r="CC94" s="14"/>
      <c r="CD94" s="137"/>
      <c r="CE94" s="12"/>
      <c r="CF94" s="12"/>
      <c r="CG94" s="247"/>
      <c r="CH94" s="181"/>
      <c r="CI94" s="12"/>
      <c r="CJ94" s="181"/>
      <c r="CK94" s="729"/>
      <c r="CL94" s="752"/>
      <c r="CM94" s="137"/>
      <c r="CN94" s="137"/>
      <c r="CO94" s="271"/>
      <c r="CP94" s="137"/>
      <c r="CQ94" s="137"/>
      <c r="CR94" s="137"/>
      <c r="CS94" s="271"/>
      <c r="CT94" s="343"/>
      <c r="CU94" s="137"/>
      <c r="CV94" s="181"/>
      <c r="CW94" s="181"/>
      <c r="CX94" s="271"/>
      <c r="CY94" s="247"/>
      <c r="CZ94" s="137"/>
      <c r="DA94" s="181"/>
      <c r="DB94" s="729"/>
      <c r="DC94" s="14"/>
      <c r="DD94" s="12"/>
      <c r="DE94" s="12"/>
      <c r="DF94" s="181"/>
      <c r="DG94" s="769"/>
      <c r="DH94" s="181"/>
      <c r="DI94" s="181"/>
      <c r="DJ94" s="181"/>
      <c r="DK94" s="14"/>
      <c r="DL94" s="12"/>
      <c r="DM94" s="12"/>
      <c r="DN94" s="147">
        <v>2000</v>
      </c>
      <c r="DO94" s="148">
        <v>310</v>
      </c>
      <c r="DP94" s="12"/>
      <c r="DQ94" s="12"/>
      <c r="DR94" s="12"/>
      <c r="DS94" s="768"/>
      <c r="DT94" s="763"/>
      <c r="DX94" s="163"/>
      <c r="DY94" s="162"/>
      <c r="EC94" s="162"/>
      <c r="EF94" s="163"/>
      <c r="EK94" s="163"/>
      <c r="EL94" s="162"/>
      <c r="EO94" s="163"/>
      <c r="EP94" s="162"/>
      <c r="ET94" s="163"/>
      <c r="EU94" s="162"/>
      <c r="EX94" s="163"/>
      <c r="EY94" s="162"/>
      <c r="FB94" s="163"/>
    </row>
    <row r="95" spans="1:158" ht="22" customHeight="1" thickBot="1" x14ac:dyDescent="0.25">
      <c r="A95" s="246" t="s">
        <v>174</v>
      </c>
      <c r="B95" s="246" t="s">
        <v>175</v>
      </c>
      <c r="C95" s="246" t="s">
        <v>107</v>
      </c>
      <c r="D95" s="341">
        <v>46095</v>
      </c>
      <c r="E95" s="771"/>
      <c r="F95" s="246" t="s">
        <v>108</v>
      </c>
      <c r="G95" s="246">
        <v>1938</v>
      </c>
      <c r="H95" s="11">
        <f t="shared" si="4"/>
        <v>1938</v>
      </c>
      <c r="I95" s="329">
        <f t="shared" si="3"/>
        <v>0</v>
      </c>
      <c r="P95" s="14"/>
      <c r="T95" s="123"/>
      <c r="U95" s="61"/>
      <c r="V95" s="123"/>
      <c r="W95" s="123"/>
      <c r="X95" s="19"/>
      <c r="Y95" s="123"/>
      <c r="Z95" s="123"/>
      <c r="AA95" s="61"/>
      <c r="AB95" s="123"/>
      <c r="AC95" s="61"/>
      <c r="AD95" s="123"/>
      <c r="AE95" s="123"/>
      <c r="AF95" s="19"/>
      <c r="AG95" s="123"/>
      <c r="AH95" s="123"/>
      <c r="AI95" s="124"/>
      <c r="AJ95" s="124"/>
      <c r="AK95" s="70"/>
      <c r="AL95" s="124"/>
      <c r="AM95" s="123"/>
      <c r="AN95" s="123"/>
      <c r="AO95" s="19"/>
      <c r="AP95" s="123"/>
      <c r="AQ95" s="123"/>
      <c r="AR95" s="123"/>
      <c r="AS95" s="123"/>
      <c r="AT95" s="61"/>
      <c r="AU95" s="123"/>
      <c r="AV95" s="123"/>
      <c r="AW95" s="123"/>
      <c r="AX95" s="109"/>
      <c r="AY95" s="264"/>
      <c r="AZ95" s="265"/>
      <c r="BA95" s="265"/>
      <c r="BB95" s="266"/>
      <c r="BC95" s="264"/>
      <c r="BD95" s="267"/>
      <c r="BE95" s="268"/>
      <c r="BF95" s="269"/>
      <c r="BG95" s="267"/>
      <c r="BH95" s="268"/>
      <c r="BI95" s="268"/>
      <c r="BJ95" s="269"/>
      <c r="BK95" s="268"/>
      <c r="BL95" s="268"/>
      <c r="BM95" s="267"/>
      <c r="BN95" s="268"/>
      <c r="BO95" s="269"/>
      <c r="BP95" s="268"/>
      <c r="BQ95" s="268"/>
      <c r="BR95" s="264"/>
      <c r="BS95" s="109"/>
      <c r="BT95" s="270"/>
      <c r="BU95" s="109"/>
      <c r="BV95" s="109"/>
      <c r="BW95" s="743"/>
      <c r="BX95" s="61"/>
      <c r="BY95" s="109"/>
      <c r="BZ95" s="109"/>
      <c r="CA95" s="109"/>
      <c r="CB95" s="123"/>
      <c r="CC95" s="14"/>
      <c r="CD95" s="137"/>
      <c r="CE95" s="12"/>
      <c r="CF95" s="12"/>
      <c r="CG95" s="247"/>
      <c r="CH95" s="181"/>
      <c r="CI95" s="12"/>
      <c r="CJ95" s="181"/>
      <c r="CK95" s="729"/>
      <c r="CL95" s="752"/>
      <c r="CM95" s="137"/>
      <c r="CN95" s="137"/>
      <c r="CO95" s="271"/>
      <c r="CP95" s="137"/>
      <c r="CQ95" s="137"/>
      <c r="CR95" s="137"/>
      <c r="CS95" s="271"/>
      <c r="CT95" s="343"/>
      <c r="CU95" s="137"/>
      <c r="CV95" s="181"/>
      <c r="CW95" s="181"/>
      <c r="CX95" s="271"/>
      <c r="CY95" s="247"/>
      <c r="CZ95" s="137"/>
      <c r="DA95" s="181"/>
      <c r="DB95" s="729"/>
      <c r="DC95" s="14"/>
      <c r="DD95" s="12"/>
      <c r="DE95" s="12"/>
      <c r="DF95" s="181"/>
      <c r="DG95" s="769"/>
      <c r="DH95" s="181"/>
      <c r="DI95" s="181"/>
      <c r="DJ95" s="181"/>
      <c r="DK95" s="14"/>
      <c r="DL95" s="12"/>
      <c r="DM95" s="12"/>
      <c r="DN95" s="12"/>
      <c r="DO95" s="13"/>
      <c r="DP95" s="12"/>
      <c r="DQ95" s="12"/>
      <c r="DR95" s="12"/>
      <c r="DS95" s="370">
        <v>1938</v>
      </c>
      <c r="DT95" s="763"/>
      <c r="DX95" s="163"/>
      <c r="DY95" s="162"/>
      <c r="EC95" s="162"/>
      <c r="EF95" s="163"/>
      <c r="EK95" s="163"/>
      <c r="EL95" s="162"/>
      <c r="EO95" s="163"/>
      <c r="EP95" s="162"/>
      <c r="ET95" s="163"/>
      <c r="EU95" s="162"/>
      <c r="EX95" s="163"/>
      <c r="EY95" s="162"/>
      <c r="FB95" s="163"/>
    </row>
    <row r="96" spans="1:158" ht="21" customHeight="1" thickBot="1" x14ac:dyDescent="0.25">
      <c r="A96" s="1194">
        <v>1080</v>
      </c>
      <c r="B96" s="246" t="s">
        <v>176</v>
      </c>
      <c r="C96" s="246" t="s">
        <v>177</v>
      </c>
      <c r="D96" s="341">
        <v>46090</v>
      </c>
      <c r="E96" s="1197">
        <v>46099</v>
      </c>
      <c r="F96" s="331" t="s">
        <v>74</v>
      </c>
      <c r="G96" s="709">
        <v>624</v>
      </c>
      <c r="H96" s="11">
        <f t="shared" si="4"/>
        <v>624</v>
      </c>
      <c r="I96" s="706">
        <f t="shared" si="3"/>
        <v>0</v>
      </c>
      <c r="P96" s="14"/>
      <c r="T96" s="123"/>
      <c r="U96" s="61"/>
      <c r="V96" s="123"/>
      <c r="W96" s="123"/>
      <c r="X96" s="19"/>
      <c r="Y96" s="123"/>
      <c r="Z96" s="123"/>
      <c r="AA96" s="61"/>
      <c r="AB96" s="123"/>
      <c r="AC96" s="61"/>
      <c r="AD96" s="123"/>
      <c r="AE96" s="123"/>
      <c r="AF96" s="19"/>
      <c r="AG96" s="123"/>
      <c r="AH96" s="123"/>
      <c r="AI96" s="124"/>
      <c r="AJ96" s="124"/>
      <c r="AK96" s="70"/>
      <c r="AL96" s="124"/>
      <c r="AM96" s="123"/>
      <c r="AN96" s="123"/>
      <c r="AO96" s="19"/>
      <c r="AP96" s="123"/>
      <c r="AQ96" s="123"/>
      <c r="AR96" s="123"/>
      <c r="AS96" s="123"/>
      <c r="AT96" s="61"/>
      <c r="AU96" s="123"/>
      <c r="AV96" s="741"/>
      <c r="AW96" s="741"/>
      <c r="AX96" s="108"/>
      <c r="AY96" s="63"/>
      <c r="AZ96" s="125"/>
      <c r="BA96" s="125"/>
      <c r="BB96" s="64"/>
      <c r="BC96" s="63"/>
      <c r="BD96" s="73"/>
      <c r="BE96" s="74"/>
      <c r="BF96" s="75"/>
      <c r="BG96" s="73"/>
      <c r="BH96" s="74"/>
      <c r="BI96" s="74"/>
      <c r="BJ96" s="75"/>
      <c r="BK96" s="74"/>
      <c r="BL96" s="74"/>
      <c r="BM96" s="73"/>
      <c r="BN96" s="74"/>
      <c r="BO96" s="75"/>
      <c r="BP96" s="74"/>
      <c r="BQ96" s="74"/>
      <c r="BR96" s="63"/>
      <c r="BS96" s="108"/>
      <c r="BT96" s="67"/>
      <c r="BU96" s="108"/>
      <c r="BV96" s="108"/>
      <c r="BW96" s="743"/>
      <c r="BX96" s="61"/>
      <c r="BY96" s="108"/>
      <c r="BZ96" s="108"/>
      <c r="CA96" s="108"/>
      <c r="CB96" s="123"/>
      <c r="CC96" s="14"/>
      <c r="CE96" s="12"/>
      <c r="CF96" s="12"/>
      <c r="CG96" s="17"/>
      <c r="CH96" s="181"/>
      <c r="CI96" s="12"/>
      <c r="CJ96" s="181"/>
      <c r="CK96" s="729"/>
      <c r="CL96" s="752"/>
      <c r="CO96" s="18"/>
      <c r="CS96" s="18"/>
      <c r="CT96" s="342"/>
      <c r="CV96" s="181"/>
      <c r="CW96" s="181"/>
      <c r="CX96" s="18"/>
      <c r="CY96" s="247"/>
      <c r="DA96" s="181"/>
      <c r="DB96" s="729"/>
      <c r="DC96" s="17"/>
      <c r="DE96" s="12">
        <v>624</v>
      </c>
      <c r="DF96" s="653"/>
      <c r="DG96" s="772"/>
      <c r="DH96" s="757"/>
      <c r="DI96" s="181"/>
      <c r="DJ96" s="181"/>
      <c r="DK96" s="14"/>
      <c r="DL96" s="12"/>
      <c r="DM96" s="12"/>
      <c r="DN96" s="12"/>
      <c r="DO96" s="13"/>
      <c r="DP96" s="12"/>
      <c r="DQ96" s="12"/>
      <c r="DR96" s="12"/>
      <c r="DS96" s="768"/>
      <c r="DT96" s="763"/>
      <c r="DX96" s="163"/>
      <c r="DY96" s="162"/>
      <c r="EC96" s="162"/>
      <c r="EF96" s="163"/>
      <c r="EK96" s="163"/>
      <c r="EL96" s="162"/>
      <c r="EO96" s="163"/>
      <c r="EP96" s="162"/>
      <c r="ET96" s="163"/>
      <c r="EU96" s="162"/>
      <c r="EX96" s="163"/>
      <c r="EY96" s="162"/>
      <c r="FB96" s="163"/>
    </row>
    <row r="97" spans="1:158" ht="21" customHeight="1" thickBot="1" x14ac:dyDescent="0.25">
      <c r="A97" s="1194"/>
      <c r="B97" s="246" t="s">
        <v>178</v>
      </c>
      <c r="C97" s="246" t="s">
        <v>144</v>
      </c>
      <c r="D97" s="341">
        <v>46090</v>
      </c>
      <c r="E97" s="1198"/>
      <c r="F97" s="331" t="s">
        <v>74</v>
      </c>
      <c r="G97" s="709">
        <v>648</v>
      </c>
      <c r="H97" s="11">
        <f t="shared" si="4"/>
        <v>648</v>
      </c>
      <c r="I97" s="706">
        <f t="shared" si="3"/>
        <v>0</v>
      </c>
      <c r="P97" s="14"/>
      <c r="T97" s="123"/>
      <c r="U97" s="61"/>
      <c r="V97" s="123"/>
      <c r="W97" s="123"/>
      <c r="X97" s="19"/>
      <c r="Y97" s="123"/>
      <c r="Z97" s="123"/>
      <c r="AA97" s="61"/>
      <c r="AB97" s="123"/>
      <c r="AC97" s="61"/>
      <c r="AD97" s="123"/>
      <c r="AE97" s="123"/>
      <c r="AF97" s="19"/>
      <c r="AG97" s="123"/>
      <c r="AH97" s="123"/>
      <c r="AI97" s="124"/>
      <c r="AJ97" s="124"/>
      <c r="AK97" s="70"/>
      <c r="AL97" s="124"/>
      <c r="AM97" s="123"/>
      <c r="AN97" s="123"/>
      <c r="AO97" s="19"/>
      <c r="AP97" s="123"/>
      <c r="AQ97" s="123"/>
      <c r="AR97" s="123"/>
      <c r="AS97" s="123"/>
      <c r="AT97" s="61"/>
      <c r="AU97" s="123"/>
      <c r="AV97" s="741"/>
      <c r="AW97" s="741"/>
      <c r="AX97" s="108"/>
      <c r="AY97" s="63"/>
      <c r="AZ97" s="125"/>
      <c r="BA97" s="125"/>
      <c r="BB97" s="64"/>
      <c r="BC97" s="63"/>
      <c r="BD97" s="73"/>
      <c r="BE97" s="74"/>
      <c r="BF97" s="75"/>
      <c r="BG97" s="73"/>
      <c r="BH97" s="74"/>
      <c r="BI97" s="74"/>
      <c r="BJ97" s="75"/>
      <c r="BK97" s="74"/>
      <c r="BL97" s="74"/>
      <c r="BM97" s="73"/>
      <c r="BN97" s="74"/>
      <c r="BO97" s="75"/>
      <c r="BP97" s="74"/>
      <c r="BQ97" s="74"/>
      <c r="BR97" s="63"/>
      <c r="BS97" s="108"/>
      <c r="BT97" s="67"/>
      <c r="BU97" s="108"/>
      <c r="BV97" s="108"/>
      <c r="BW97" s="743"/>
      <c r="BX97" s="61"/>
      <c r="BY97" s="108"/>
      <c r="BZ97" s="108"/>
      <c r="CA97" s="108"/>
      <c r="CB97" s="123"/>
      <c r="CC97" s="14"/>
      <c r="CE97" s="12"/>
      <c r="CF97" s="12"/>
      <c r="CG97" s="17"/>
      <c r="CH97" s="181"/>
      <c r="CI97" s="12"/>
      <c r="CJ97" s="181"/>
      <c r="CK97" s="729"/>
      <c r="CL97" s="752"/>
      <c r="CO97" s="18"/>
      <c r="CS97" s="18"/>
      <c r="CT97" s="342"/>
      <c r="CV97" s="181"/>
      <c r="CW97" s="181"/>
      <c r="CX97" s="18"/>
      <c r="CY97" s="247"/>
      <c r="DA97" s="181"/>
      <c r="DB97" s="729"/>
      <c r="DC97" s="17"/>
      <c r="DE97" s="12">
        <v>648</v>
      </c>
      <c r="DF97" s="653"/>
      <c r="DG97" s="772"/>
      <c r="DH97" s="757"/>
      <c r="DI97" s="181"/>
      <c r="DJ97" s="181"/>
      <c r="DK97" s="14"/>
      <c r="DL97" s="12"/>
      <c r="DM97" s="12"/>
      <c r="DN97" s="12"/>
      <c r="DO97" s="13"/>
      <c r="DP97" s="12"/>
      <c r="DQ97" s="12"/>
      <c r="DR97" s="12"/>
      <c r="DS97" s="768"/>
      <c r="DT97" s="763"/>
      <c r="DX97" s="163"/>
      <c r="DY97" s="162"/>
      <c r="EC97" s="162"/>
      <c r="EF97" s="163"/>
      <c r="EK97" s="163"/>
      <c r="EL97" s="162"/>
      <c r="EO97" s="163"/>
      <c r="EP97" s="162"/>
      <c r="ET97" s="163"/>
      <c r="EU97" s="162"/>
      <c r="EX97" s="163"/>
      <c r="EY97" s="162"/>
      <c r="FB97" s="163"/>
    </row>
    <row r="98" spans="1:158" ht="21" customHeight="1" thickBot="1" x14ac:dyDescent="0.25">
      <c r="A98" s="1194">
        <v>1081</v>
      </c>
      <c r="B98" s="246" t="s">
        <v>179</v>
      </c>
      <c r="C98" s="246" t="s">
        <v>167</v>
      </c>
      <c r="D98" s="341">
        <v>46090</v>
      </c>
      <c r="E98" s="1198"/>
      <c r="F98" s="331" t="s">
        <v>74</v>
      </c>
      <c r="G98" s="709">
        <v>654</v>
      </c>
      <c r="H98" s="11">
        <f>SUM(O98:FB98)</f>
        <v>654</v>
      </c>
      <c r="I98" s="706">
        <f t="shared" si="3"/>
        <v>0</v>
      </c>
      <c r="P98" s="14"/>
      <c r="T98" s="123"/>
      <c r="U98" s="61"/>
      <c r="V98" s="123"/>
      <c r="W98" s="123"/>
      <c r="X98" s="19"/>
      <c r="Y98" s="123"/>
      <c r="Z98" s="123"/>
      <c r="AA98" s="61"/>
      <c r="AB98" s="123"/>
      <c r="AC98" s="61"/>
      <c r="AD98" s="123"/>
      <c r="AE98" s="123"/>
      <c r="AF98" s="19"/>
      <c r="AG98" s="123"/>
      <c r="AH98" s="123"/>
      <c r="AI98" s="124"/>
      <c r="AJ98" s="124"/>
      <c r="AK98" s="70"/>
      <c r="AL98" s="124"/>
      <c r="AM98" s="123"/>
      <c r="AN98" s="123"/>
      <c r="AO98" s="19"/>
      <c r="AP98" s="123"/>
      <c r="AQ98" s="123"/>
      <c r="AR98" s="123"/>
      <c r="AS98" s="123"/>
      <c r="AT98" s="61"/>
      <c r="AU98" s="123"/>
      <c r="AV98" s="741"/>
      <c r="AW98" s="741"/>
      <c r="AX98" s="108"/>
      <c r="AY98" s="63"/>
      <c r="AZ98" s="125"/>
      <c r="BA98" s="125"/>
      <c r="BB98" s="64"/>
      <c r="BC98" s="63"/>
      <c r="BD98" s="73"/>
      <c r="BE98" s="74"/>
      <c r="BF98" s="75"/>
      <c r="BG98" s="73"/>
      <c r="BH98" s="74"/>
      <c r="BI98" s="74"/>
      <c r="BJ98" s="75"/>
      <c r="BK98" s="74"/>
      <c r="BL98" s="74"/>
      <c r="BM98" s="73"/>
      <c r="BN98" s="74"/>
      <c r="BO98" s="75"/>
      <c r="BP98" s="74"/>
      <c r="BQ98" s="74"/>
      <c r="BR98" s="63"/>
      <c r="BS98" s="108"/>
      <c r="BT98" s="67"/>
      <c r="BU98" s="108"/>
      <c r="BV98" s="108"/>
      <c r="BW98" s="743"/>
      <c r="BX98" s="61"/>
      <c r="BY98" s="108"/>
      <c r="BZ98" s="108"/>
      <c r="CA98" s="108"/>
      <c r="CB98" s="123"/>
      <c r="CC98" s="14"/>
      <c r="CE98" s="12"/>
      <c r="CF98" s="12"/>
      <c r="CG98" s="17"/>
      <c r="CH98" s="181"/>
      <c r="CI98" s="12"/>
      <c r="CJ98" s="181"/>
      <c r="CK98" s="729"/>
      <c r="CL98" s="752"/>
      <c r="CO98" s="18"/>
      <c r="CS98" s="18"/>
      <c r="CT98" s="342"/>
      <c r="CV98" s="181"/>
      <c r="CW98" s="181"/>
      <c r="CX98" s="18"/>
      <c r="CY98" s="247"/>
      <c r="DA98" s="181"/>
      <c r="DB98" s="729"/>
      <c r="DC98" s="17"/>
      <c r="DE98" s="12">
        <v>654</v>
      </c>
      <c r="DF98" s="653"/>
      <c r="DG98" s="772"/>
      <c r="DH98" s="757"/>
      <c r="DI98" s="181"/>
      <c r="DJ98" s="181"/>
      <c r="DK98" s="14"/>
      <c r="DL98" s="12"/>
      <c r="DM98" s="12"/>
      <c r="DN98" s="12"/>
      <c r="DO98" s="13"/>
      <c r="DP98" s="12"/>
      <c r="DQ98" s="12"/>
      <c r="DR98" s="12"/>
      <c r="DS98" s="768"/>
      <c r="DT98" s="763"/>
      <c r="DX98" s="163"/>
      <c r="DY98" s="162"/>
      <c r="EC98" s="162"/>
      <c r="EF98" s="163"/>
      <c r="EK98" s="163"/>
      <c r="EL98" s="162"/>
      <c r="EO98" s="163"/>
      <c r="EP98" s="162"/>
      <c r="ET98" s="163"/>
      <c r="EU98" s="162"/>
      <c r="EX98" s="163"/>
      <c r="EY98" s="162"/>
      <c r="FB98" s="163"/>
    </row>
    <row r="99" spans="1:158" ht="21" customHeight="1" thickBot="1" x14ac:dyDescent="0.25">
      <c r="A99" s="1194"/>
      <c r="B99" s="246" t="s">
        <v>180</v>
      </c>
      <c r="C99" s="246" t="s">
        <v>181</v>
      </c>
      <c r="D99" s="341">
        <v>46090</v>
      </c>
      <c r="E99" s="1198"/>
      <c r="F99" s="331" t="s">
        <v>74</v>
      </c>
      <c r="G99" s="709">
        <v>642</v>
      </c>
      <c r="H99" s="11">
        <f t="shared" si="4"/>
        <v>642</v>
      </c>
      <c r="I99" s="706">
        <f t="shared" si="3"/>
        <v>0</v>
      </c>
      <c r="P99" s="14"/>
      <c r="T99" s="123"/>
      <c r="U99" s="61"/>
      <c r="V99" s="123"/>
      <c r="W99" s="123"/>
      <c r="X99" s="19"/>
      <c r="Y99" s="123"/>
      <c r="Z99" s="123"/>
      <c r="AA99" s="61"/>
      <c r="AB99" s="123"/>
      <c r="AC99" s="61"/>
      <c r="AD99" s="123"/>
      <c r="AE99" s="123"/>
      <c r="AF99" s="19"/>
      <c r="AG99" s="123"/>
      <c r="AH99" s="123"/>
      <c r="AI99" s="124"/>
      <c r="AJ99" s="124"/>
      <c r="AK99" s="70"/>
      <c r="AL99" s="124"/>
      <c r="AM99" s="123"/>
      <c r="AN99" s="123"/>
      <c r="AO99" s="19"/>
      <c r="AP99" s="123"/>
      <c r="AQ99" s="123"/>
      <c r="AR99" s="123"/>
      <c r="AS99" s="123"/>
      <c r="AT99" s="61"/>
      <c r="AU99" s="123"/>
      <c r="AV99" s="741"/>
      <c r="AW99" s="741"/>
      <c r="AX99" s="108"/>
      <c r="AY99" s="63"/>
      <c r="AZ99" s="125"/>
      <c r="BA99" s="125"/>
      <c r="BB99" s="64"/>
      <c r="BC99" s="63"/>
      <c r="BD99" s="73"/>
      <c r="BE99" s="74"/>
      <c r="BF99" s="75"/>
      <c r="BG99" s="73"/>
      <c r="BH99" s="74"/>
      <c r="BI99" s="74"/>
      <c r="BJ99" s="75"/>
      <c r="BK99" s="74"/>
      <c r="BL99" s="74"/>
      <c r="BM99" s="73"/>
      <c r="BN99" s="74"/>
      <c r="BO99" s="75"/>
      <c r="BP99" s="74"/>
      <c r="BQ99" s="74"/>
      <c r="BR99" s="63"/>
      <c r="BS99" s="108"/>
      <c r="BT99" s="67"/>
      <c r="BU99" s="108"/>
      <c r="BV99" s="108"/>
      <c r="BW99" s="743"/>
      <c r="BX99" s="61"/>
      <c r="BY99" s="108"/>
      <c r="BZ99" s="108"/>
      <c r="CA99" s="108"/>
      <c r="CB99" s="123"/>
      <c r="CC99" s="14"/>
      <c r="CE99" s="12"/>
      <c r="CF99" s="12"/>
      <c r="CG99" s="17"/>
      <c r="CH99" s="181"/>
      <c r="CI99" s="12"/>
      <c r="CJ99" s="181"/>
      <c r="CK99" s="729"/>
      <c r="CL99" s="752"/>
      <c r="CO99" s="18"/>
      <c r="CS99" s="18"/>
      <c r="CT99" s="342"/>
      <c r="CV99" s="181"/>
      <c r="CW99" s="181"/>
      <c r="CX99" s="18"/>
      <c r="CY99" s="247"/>
      <c r="DA99" s="181"/>
      <c r="DB99" s="729"/>
      <c r="DC99" s="17"/>
      <c r="DE99" s="12">
        <v>642</v>
      </c>
      <c r="DF99" s="653"/>
      <c r="DG99" s="772"/>
      <c r="DH99" s="757"/>
      <c r="DI99" s="181"/>
      <c r="DJ99" s="181"/>
      <c r="DK99" s="14"/>
      <c r="DL99" s="12"/>
      <c r="DM99" s="12"/>
      <c r="DN99" s="12"/>
      <c r="DO99" s="13"/>
      <c r="DP99" s="12"/>
      <c r="DQ99" s="12"/>
      <c r="DR99" s="12"/>
      <c r="DS99" s="768"/>
      <c r="DT99" s="763"/>
      <c r="DX99" s="163"/>
      <c r="DY99" s="162"/>
      <c r="EC99" s="162"/>
      <c r="EF99" s="163"/>
      <c r="EK99" s="163"/>
      <c r="EL99" s="162"/>
      <c r="EO99" s="163"/>
      <c r="EP99" s="162"/>
      <c r="ET99" s="163"/>
      <c r="EU99" s="162"/>
      <c r="EX99" s="163"/>
      <c r="EY99" s="162"/>
      <c r="FB99" s="163"/>
    </row>
    <row r="100" spans="1:158" ht="21" customHeight="1" thickBot="1" x14ac:dyDescent="0.25">
      <c r="A100" s="246">
        <v>1083</v>
      </c>
      <c r="B100" s="246" t="s">
        <v>182</v>
      </c>
      <c r="C100" s="246" t="s">
        <v>171</v>
      </c>
      <c r="D100" s="341">
        <v>46099</v>
      </c>
      <c r="E100" s="1198"/>
      <c r="F100" s="331" t="s">
        <v>74</v>
      </c>
      <c r="G100" s="709">
        <v>2508</v>
      </c>
      <c r="H100" s="11">
        <f t="shared" si="4"/>
        <v>2508</v>
      </c>
      <c r="I100" s="706">
        <f t="shared" si="3"/>
        <v>0</v>
      </c>
      <c r="P100" s="14"/>
      <c r="T100" s="123"/>
      <c r="U100" s="61"/>
      <c r="V100" s="123"/>
      <c r="W100" s="123"/>
      <c r="X100" s="19"/>
      <c r="Y100" s="123"/>
      <c r="Z100" s="123"/>
      <c r="AA100" s="61"/>
      <c r="AB100" s="123"/>
      <c r="AC100" s="61"/>
      <c r="AD100" s="123"/>
      <c r="AE100" s="123"/>
      <c r="AF100" s="19"/>
      <c r="AG100" s="123"/>
      <c r="AH100" s="123"/>
      <c r="AI100" s="124"/>
      <c r="AJ100" s="124"/>
      <c r="AK100" s="70"/>
      <c r="AL100" s="124"/>
      <c r="AM100" s="123"/>
      <c r="AN100" s="123"/>
      <c r="AO100" s="19"/>
      <c r="AP100" s="123"/>
      <c r="AQ100" s="123"/>
      <c r="AR100" s="123"/>
      <c r="AS100" s="123"/>
      <c r="AT100" s="61"/>
      <c r="AU100" s="123"/>
      <c r="AV100" s="741"/>
      <c r="AW100" s="741"/>
      <c r="AX100" s="108"/>
      <c r="AY100" s="63"/>
      <c r="AZ100" s="125"/>
      <c r="BA100" s="125"/>
      <c r="BB100" s="64"/>
      <c r="BC100" s="63"/>
      <c r="BD100" s="73"/>
      <c r="BE100" s="74"/>
      <c r="BF100" s="75"/>
      <c r="BG100" s="73"/>
      <c r="BH100" s="74"/>
      <c r="BI100" s="74"/>
      <c r="BJ100" s="75"/>
      <c r="BK100" s="74"/>
      <c r="BL100" s="74"/>
      <c r="BM100" s="73"/>
      <c r="BN100" s="74"/>
      <c r="BO100" s="75"/>
      <c r="BP100" s="74"/>
      <c r="BQ100" s="74"/>
      <c r="BR100" s="63"/>
      <c r="BS100" s="108"/>
      <c r="BT100" s="67"/>
      <c r="BU100" s="108"/>
      <c r="BV100" s="108"/>
      <c r="BW100" s="743"/>
      <c r="BX100" s="61"/>
      <c r="BY100" s="108"/>
      <c r="BZ100" s="108"/>
      <c r="CA100" s="108"/>
      <c r="CB100" s="123"/>
      <c r="CC100" s="14"/>
      <c r="CE100" s="12"/>
      <c r="CF100" s="12"/>
      <c r="CG100" s="17"/>
      <c r="CH100" s="181"/>
      <c r="CI100" s="12"/>
      <c r="CJ100" s="181"/>
      <c r="CK100" s="729"/>
      <c r="CL100" s="752"/>
      <c r="CO100" s="18"/>
      <c r="CS100" s="18"/>
      <c r="CT100" s="342"/>
      <c r="CV100" s="181"/>
      <c r="CW100" s="181"/>
      <c r="CX100" s="18"/>
      <c r="CY100" s="247"/>
      <c r="DA100" s="181"/>
      <c r="DB100" s="729"/>
      <c r="DC100" s="17"/>
      <c r="DE100" s="12"/>
      <c r="DF100" s="653"/>
      <c r="DG100" s="772">
        <v>2100</v>
      </c>
      <c r="DH100" s="757">
        <v>408</v>
      </c>
      <c r="DI100" s="181"/>
      <c r="DJ100" s="181"/>
      <c r="DK100" s="14"/>
      <c r="DL100" s="12"/>
      <c r="DM100" s="12"/>
      <c r="DN100" s="12"/>
      <c r="DO100" s="13"/>
      <c r="DP100" s="12"/>
      <c r="DQ100" s="12"/>
      <c r="DR100" s="12"/>
      <c r="DS100" s="768"/>
      <c r="DT100" s="763"/>
      <c r="DX100" s="163"/>
      <c r="DY100" s="162"/>
      <c r="EC100" s="162"/>
      <c r="EF100" s="163"/>
      <c r="EK100" s="163"/>
      <c r="EL100" s="162"/>
      <c r="EO100" s="163"/>
      <c r="EP100" s="162"/>
      <c r="ET100" s="163"/>
      <c r="EU100" s="162"/>
      <c r="EX100" s="163"/>
      <c r="EY100" s="162"/>
      <c r="FB100" s="163"/>
    </row>
    <row r="101" spans="1:158" ht="21" customHeight="1" thickBot="1" x14ac:dyDescent="0.25">
      <c r="A101" s="246">
        <v>1082</v>
      </c>
      <c r="B101" s="246" t="s">
        <v>183</v>
      </c>
      <c r="C101" s="246" t="s">
        <v>95</v>
      </c>
      <c r="D101" s="341">
        <v>46090</v>
      </c>
      <c r="E101" s="1198"/>
      <c r="F101" s="331" t="s">
        <v>74</v>
      </c>
      <c r="G101" s="709">
        <v>930</v>
      </c>
      <c r="H101" s="11">
        <f t="shared" si="4"/>
        <v>930</v>
      </c>
      <c r="I101" s="706">
        <f t="shared" si="3"/>
        <v>0</v>
      </c>
      <c r="P101" s="14"/>
      <c r="T101" s="123"/>
      <c r="U101" s="61"/>
      <c r="V101" s="123"/>
      <c r="W101" s="123"/>
      <c r="X101" s="19"/>
      <c r="Y101" s="123"/>
      <c r="Z101" s="123"/>
      <c r="AA101" s="61"/>
      <c r="AB101" s="123"/>
      <c r="AC101" s="61"/>
      <c r="AD101" s="123"/>
      <c r="AE101" s="123"/>
      <c r="AF101" s="19"/>
      <c r="AG101" s="123"/>
      <c r="AH101" s="123"/>
      <c r="AI101" s="124"/>
      <c r="AJ101" s="124"/>
      <c r="AK101" s="70"/>
      <c r="AL101" s="124"/>
      <c r="AM101" s="123"/>
      <c r="AN101" s="123"/>
      <c r="AO101" s="19"/>
      <c r="AP101" s="123"/>
      <c r="AQ101" s="123"/>
      <c r="AR101" s="123"/>
      <c r="AS101" s="123"/>
      <c r="AT101" s="61"/>
      <c r="AU101" s="123"/>
      <c r="AV101" s="741"/>
      <c r="AW101" s="741"/>
      <c r="AX101" s="108"/>
      <c r="AY101" s="63"/>
      <c r="AZ101" s="125"/>
      <c r="BA101" s="125"/>
      <c r="BB101" s="64"/>
      <c r="BC101" s="63"/>
      <c r="BD101" s="73"/>
      <c r="BE101" s="74"/>
      <c r="BF101" s="75"/>
      <c r="BG101" s="73"/>
      <c r="BH101" s="74"/>
      <c r="BI101" s="74"/>
      <c r="BJ101" s="75"/>
      <c r="BK101" s="74"/>
      <c r="BL101" s="74"/>
      <c r="BM101" s="73"/>
      <c r="BN101" s="74"/>
      <c r="BO101" s="75"/>
      <c r="BP101" s="74"/>
      <c r="BQ101" s="74"/>
      <c r="BR101" s="63"/>
      <c r="BS101" s="108"/>
      <c r="BT101" s="67"/>
      <c r="BU101" s="108"/>
      <c r="BV101" s="108"/>
      <c r="BW101" s="743"/>
      <c r="BX101" s="61"/>
      <c r="BY101" s="108"/>
      <c r="BZ101" s="108"/>
      <c r="CA101" s="108"/>
      <c r="CB101" s="123"/>
      <c r="CC101" s="14"/>
      <c r="CE101" s="12"/>
      <c r="CF101" s="12"/>
      <c r="CG101" s="17"/>
      <c r="CH101" s="181"/>
      <c r="CI101" s="12"/>
      <c r="CJ101" s="181"/>
      <c r="CK101" s="729"/>
      <c r="CL101" s="752"/>
      <c r="CO101" s="18"/>
      <c r="CS101" s="18"/>
      <c r="CT101" s="342"/>
      <c r="CV101" s="181"/>
      <c r="CW101" s="181"/>
      <c r="CX101" s="18"/>
      <c r="CY101" s="247"/>
      <c r="DA101" s="181"/>
      <c r="DB101" s="729"/>
      <c r="DC101" s="17"/>
      <c r="DE101" s="12">
        <v>250</v>
      </c>
      <c r="DF101" s="653">
        <v>680</v>
      </c>
      <c r="DG101" s="772"/>
      <c r="DH101" s="757"/>
      <c r="DI101" s="181"/>
      <c r="DJ101" s="181"/>
      <c r="DK101" s="14"/>
      <c r="DL101" s="12"/>
      <c r="DM101" s="12"/>
      <c r="DN101" s="12"/>
      <c r="DO101" s="13"/>
      <c r="DP101" s="12"/>
      <c r="DQ101" s="12"/>
      <c r="DR101" s="12"/>
      <c r="DS101" s="768"/>
      <c r="DT101" s="763"/>
      <c r="DX101" s="163"/>
      <c r="DY101" s="162"/>
      <c r="EC101" s="162"/>
      <c r="EF101" s="163"/>
      <c r="EK101" s="163"/>
      <c r="EL101" s="162"/>
      <c r="EO101" s="163"/>
      <c r="EP101" s="162"/>
      <c r="ET101" s="163"/>
      <c r="EU101" s="162"/>
      <c r="EX101" s="163"/>
      <c r="EY101" s="162"/>
      <c r="FB101" s="163"/>
    </row>
    <row r="102" spans="1:158" ht="21" customHeight="1" thickBot="1" x14ac:dyDescent="0.25">
      <c r="A102" s="246">
        <v>1123</v>
      </c>
      <c r="B102" s="246" t="s">
        <v>184</v>
      </c>
      <c r="C102" s="246" t="s">
        <v>105</v>
      </c>
      <c r="D102" s="341">
        <v>46099</v>
      </c>
      <c r="E102" s="1183">
        <v>46113</v>
      </c>
      <c r="F102" s="331" t="s">
        <v>74</v>
      </c>
      <c r="G102" s="709">
        <v>684</v>
      </c>
      <c r="H102" s="11">
        <f t="shared" si="4"/>
        <v>684</v>
      </c>
      <c r="I102" s="706">
        <f t="shared" si="3"/>
        <v>0</v>
      </c>
      <c r="P102" s="14"/>
      <c r="T102" s="123"/>
      <c r="U102" s="61"/>
      <c r="V102" s="123"/>
      <c r="W102" s="123"/>
      <c r="X102" s="19"/>
      <c r="Y102" s="123"/>
      <c r="Z102" s="123"/>
      <c r="AA102" s="61"/>
      <c r="AB102" s="123"/>
      <c r="AC102" s="61"/>
      <c r="AD102" s="123"/>
      <c r="AE102" s="123"/>
      <c r="AF102" s="19"/>
      <c r="AG102" s="123"/>
      <c r="AH102" s="123"/>
      <c r="AI102" s="124"/>
      <c r="AJ102" s="124"/>
      <c r="AK102" s="70"/>
      <c r="AL102" s="124"/>
      <c r="AM102" s="123"/>
      <c r="AN102" s="123"/>
      <c r="AO102" s="19"/>
      <c r="AP102" s="123"/>
      <c r="AQ102" s="123"/>
      <c r="AR102" s="123"/>
      <c r="AS102" s="123"/>
      <c r="AT102" s="61"/>
      <c r="AU102" s="123"/>
      <c r="AV102" s="741"/>
      <c r="AW102" s="741"/>
      <c r="AX102" s="108"/>
      <c r="AY102" s="63"/>
      <c r="AZ102" s="125"/>
      <c r="BA102" s="125"/>
      <c r="BB102" s="64"/>
      <c r="BC102" s="63"/>
      <c r="BD102" s="73"/>
      <c r="BE102" s="74"/>
      <c r="BF102" s="75"/>
      <c r="BG102" s="73"/>
      <c r="BH102" s="74"/>
      <c r="BI102" s="74"/>
      <c r="BJ102" s="75"/>
      <c r="BK102" s="74"/>
      <c r="BL102" s="74"/>
      <c r="BM102" s="73"/>
      <c r="BN102" s="74"/>
      <c r="BO102" s="75"/>
      <c r="BP102" s="74"/>
      <c r="BQ102" s="74"/>
      <c r="BR102" s="63"/>
      <c r="BS102" s="108"/>
      <c r="BT102" s="67"/>
      <c r="BU102" s="108"/>
      <c r="BV102" s="108"/>
      <c r="BW102" s="743"/>
      <c r="BX102" s="61"/>
      <c r="BY102" s="108"/>
      <c r="BZ102" s="108"/>
      <c r="CA102" s="108"/>
      <c r="CB102" s="123"/>
      <c r="CC102" s="14"/>
      <c r="CE102" s="12"/>
      <c r="CF102" s="12"/>
      <c r="CG102" s="17"/>
      <c r="CH102" s="181"/>
      <c r="CI102" s="12"/>
      <c r="CJ102" s="181"/>
      <c r="CK102" s="729"/>
      <c r="CL102" s="752"/>
      <c r="CO102" s="18"/>
      <c r="CS102" s="18"/>
      <c r="CT102" s="342"/>
      <c r="CV102" s="181"/>
      <c r="CW102" s="181"/>
      <c r="CX102" s="18"/>
      <c r="CY102" s="247"/>
      <c r="DA102" s="181"/>
      <c r="DB102" s="729"/>
      <c r="DC102" s="17"/>
      <c r="DE102" s="12"/>
      <c r="DF102" s="12"/>
      <c r="DG102" s="763"/>
      <c r="DH102" s="687">
        <v>684</v>
      </c>
      <c r="DI102" s="687"/>
      <c r="DJ102" s="687"/>
      <c r="DK102" s="14"/>
      <c r="DL102" s="12"/>
      <c r="DM102" s="12"/>
      <c r="DN102" s="12"/>
      <c r="DO102" s="13"/>
      <c r="DP102" s="12"/>
      <c r="DQ102" s="12"/>
      <c r="DR102" s="12"/>
      <c r="DS102" s="768"/>
      <c r="DT102" s="763"/>
      <c r="DX102" s="163"/>
      <c r="DY102" s="162"/>
      <c r="EC102" s="162"/>
      <c r="EF102" s="163"/>
      <c r="EK102" s="163"/>
      <c r="EL102" s="162"/>
      <c r="EO102" s="163"/>
      <c r="EP102" s="162"/>
      <c r="ET102" s="163"/>
      <c r="EU102" s="162"/>
      <c r="EX102" s="163"/>
      <c r="EY102" s="162"/>
      <c r="FB102" s="163"/>
    </row>
    <row r="103" spans="1:158" ht="21" customHeight="1" thickBot="1" x14ac:dyDescent="0.25">
      <c r="A103" s="246">
        <v>1123</v>
      </c>
      <c r="B103" s="246" t="s">
        <v>185</v>
      </c>
      <c r="C103" s="246" t="s">
        <v>148</v>
      </c>
      <c r="D103" s="341">
        <v>46099</v>
      </c>
      <c r="E103" s="1184"/>
      <c r="F103" s="331" t="s">
        <v>74</v>
      </c>
      <c r="G103" s="709">
        <v>684</v>
      </c>
      <c r="H103" s="11">
        <f t="shared" si="4"/>
        <v>684</v>
      </c>
      <c r="I103" s="706">
        <f t="shared" si="3"/>
        <v>0</v>
      </c>
      <c r="P103" s="14"/>
      <c r="T103" s="123"/>
      <c r="U103" s="61"/>
      <c r="V103" s="123"/>
      <c r="W103" s="123"/>
      <c r="X103" s="19"/>
      <c r="Y103" s="123"/>
      <c r="Z103" s="123"/>
      <c r="AA103" s="61"/>
      <c r="AB103" s="123"/>
      <c r="AC103" s="61"/>
      <c r="AD103" s="123"/>
      <c r="AE103" s="123"/>
      <c r="AF103" s="19"/>
      <c r="AG103" s="123"/>
      <c r="AH103" s="123"/>
      <c r="AI103" s="124"/>
      <c r="AJ103" s="124"/>
      <c r="AK103" s="70"/>
      <c r="AL103" s="124"/>
      <c r="AM103" s="123"/>
      <c r="AN103" s="123"/>
      <c r="AO103" s="19"/>
      <c r="AP103" s="123"/>
      <c r="AQ103" s="123"/>
      <c r="AR103" s="123"/>
      <c r="AS103" s="123"/>
      <c r="AT103" s="61"/>
      <c r="AU103" s="123"/>
      <c r="AV103" s="741"/>
      <c r="AW103" s="741"/>
      <c r="AX103" s="108"/>
      <c r="AY103" s="63"/>
      <c r="AZ103" s="125"/>
      <c r="BA103" s="125"/>
      <c r="BB103" s="64"/>
      <c r="BC103" s="63"/>
      <c r="BD103" s="73"/>
      <c r="BE103" s="74"/>
      <c r="BF103" s="75"/>
      <c r="BG103" s="73"/>
      <c r="BH103" s="74"/>
      <c r="BI103" s="74"/>
      <c r="BJ103" s="75"/>
      <c r="BK103" s="74"/>
      <c r="BL103" s="74"/>
      <c r="BM103" s="73"/>
      <c r="BN103" s="74"/>
      <c r="BO103" s="75"/>
      <c r="BP103" s="74"/>
      <c r="BQ103" s="74"/>
      <c r="BR103" s="63"/>
      <c r="BS103" s="108"/>
      <c r="BT103" s="67"/>
      <c r="BU103" s="108"/>
      <c r="BV103" s="108"/>
      <c r="BW103" s="743"/>
      <c r="BX103" s="61"/>
      <c r="BY103" s="108"/>
      <c r="BZ103" s="108"/>
      <c r="CA103" s="108"/>
      <c r="CB103" s="123"/>
      <c r="CC103" s="14"/>
      <c r="CE103" s="12"/>
      <c r="CF103" s="12"/>
      <c r="CG103" s="17"/>
      <c r="CH103" s="181"/>
      <c r="CI103" s="12"/>
      <c r="CJ103" s="181"/>
      <c r="CK103" s="729"/>
      <c r="CL103" s="752"/>
      <c r="CO103" s="18"/>
      <c r="CS103" s="18"/>
      <c r="CT103" s="342"/>
      <c r="CV103" s="181"/>
      <c r="CW103" s="181"/>
      <c r="CX103" s="18"/>
      <c r="CY103" s="247"/>
      <c r="DA103" s="181"/>
      <c r="DB103" s="729"/>
      <c r="DC103" s="17"/>
      <c r="DE103" s="12"/>
      <c r="DG103" s="763"/>
      <c r="DH103" s="687">
        <v>684</v>
      </c>
      <c r="DI103" s="687"/>
      <c r="DJ103" s="687"/>
      <c r="DK103" s="14"/>
      <c r="DL103" s="12"/>
      <c r="DM103" s="12"/>
      <c r="DN103" s="12"/>
      <c r="DO103" s="13"/>
      <c r="DP103" s="12"/>
      <c r="DQ103" s="12"/>
      <c r="DR103" s="12"/>
      <c r="DS103" s="768"/>
      <c r="DT103" s="763"/>
      <c r="DX103" s="163"/>
      <c r="DY103" s="162"/>
      <c r="EC103" s="162"/>
      <c r="EF103" s="163"/>
      <c r="EK103" s="163"/>
      <c r="EL103" s="162"/>
      <c r="EO103" s="163"/>
      <c r="EP103" s="162"/>
      <c r="ET103" s="163"/>
      <c r="EU103" s="162"/>
      <c r="EX103" s="163"/>
      <c r="EY103" s="162"/>
      <c r="FB103" s="163"/>
    </row>
    <row r="104" spans="1:158" ht="21" customHeight="1" thickBot="1" x14ac:dyDescent="0.25">
      <c r="A104" s="246">
        <v>1124</v>
      </c>
      <c r="B104" s="246" t="s">
        <v>186</v>
      </c>
      <c r="C104" s="246" t="s">
        <v>167</v>
      </c>
      <c r="D104" s="341">
        <v>46099</v>
      </c>
      <c r="E104" s="1184"/>
      <c r="F104" s="331" t="s">
        <v>74</v>
      </c>
      <c r="G104" s="709">
        <v>684</v>
      </c>
      <c r="H104" s="11">
        <f t="shared" si="4"/>
        <v>684</v>
      </c>
      <c r="I104" s="706">
        <f t="shared" si="3"/>
        <v>0</v>
      </c>
      <c r="P104" s="14"/>
      <c r="T104" s="123"/>
      <c r="U104" s="61"/>
      <c r="V104" s="123"/>
      <c r="W104" s="123"/>
      <c r="X104" s="19"/>
      <c r="Y104" s="123"/>
      <c r="Z104" s="123"/>
      <c r="AA104" s="61"/>
      <c r="AB104" s="123"/>
      <c r="AC104" s="61"/>
      <c r="AD104" s="123"/>
      <c r="AE104" s="123"/>
      <c r="AF104" s="19"/>
      <c r="AG104" s="123"/>
      <c r="AH104" s="123"/>
      <c r="AI104" s="124"/>
      <c r="AJ104" s="124"/>
      <c r="AK104" s="70"/>
      <c r="AL104" s="124"/>
      <c r="AM104" s="123"/>
      <c r="AN104" s="123"/>
      <c r="AO104" s="19"/>
      <c r="AP104" s="123"/>
      <c r="AQ104" s="123"/>
      <c r="AR104" s="123"/>
      <c r="AS104" s="123"/>
      <c r="AT104" s="61"/>
      <c r="AU104" s="123"/>
      <c r="AV104" s="741"/>
      <c r="AW104" s="741"/>
      <c r="AX104" s="108"/>
      <c r="AY104" s="63"/>
      <c r="AZ104" s="125"/>
      <c r="BA104" s="125"/>
      <c r="BB104" s="64"/>
      <c r="BC104" s="63"/>
      <c r="BD104" s="73"/>
      <c r="BE104" s="74"/>
      <c r="BF104" s="75"/>
      <c r="BG104" s="73"/>
      <c r="BH104" s="74"/>
      <c r="BI104" s="74"/>
      <c r="BJ104" s="75"/>
      <c r="BK104" s="74"/>
      <c r="BL104" s="74"/>
      <c r="BM104" s="73"/>
      <c r="BN104" s="74"/>
      <c r="BO104" s="75"/>
      <c r="BP104" s="74"/>
      <c r="BQ104" s="74"/>
      <c r="BR104" s="63"/>
      <c r="BS104" s="108"/>
      <c r="BT104" s="67"/>
      <c r="BU104" s="108"/>
      <c r="BV104" s="108"/>
      <c r="BW104" s="743"/>
      <c r="BX104" s="61"/>
      <c r="BY104" s="108"/>
      <c r="BZ104" s="108"/>
      <c r="CA104" s="108"/>
      <c r="CB104" s="123"/>
      <c r="CC104" s="14"/>
      <c r="CE104" s="12"/>
      <c r="CF104" s="12"/>
      <c r="CG104" s="17"/>
      <c r="CH104" s="181"/>
      <c r="CI104" s="12"/>
      <c r="CJ104" s="181"/>
      <c r="CK104" s="729"/>
      <c r="CL104" s="752"/>
      <c r="CO104" s="18"/>
      <c r="CS104" s="18"/>
      <c r="CT104" s="342"/>
      <c r="CV104" s="181"/>
      <c r="CW104" s="181"/>
      <c r="CX104" s="18"/>
      <c r="CY104" s="247"/>
      <c r="DA104" s="181"/>
      <c r="DB104" s="729"/>
      <c r="DC104" s="17"/>
      <c r="DE104" s="12"/>
      <c r="DG104" s="763"/>
      <c r="DH104" s="687">
        <v>684</v>
      </c>
      <c r="DI104" s="687"/>
      <c r="DJ104" s="687"/>
      <c r="DK104" s="14"/>
      <c r="DL104" s="12"/>
      <c r="DM104" s="12"/>
      <c r="DN104" s="12"/>
      <c r="DO104" s="13"/>
      <c r="DP104" s="12"/>
      <c r="DQ104" s="12"/>
      <c r="DR104" s="12"/>
      <c r="DS104" s="768"/>
      <c r="DT104" s="763"/>
      <c r="DX104" s="163"/>
      <c r="DY104" s="162"/>
      <c r="EC104" s="162"/>
      <c r="EF104" s="163"/>
      <c r="EK104" s="163"/>
      <c r="EL104" s="162"/>
      <c r="EO104" s="163"/>
      <c r="EP104" s="162"/>
      <c r="ET104" s="163"/>
      <c r="EU104" s="162"/>
      <c r="EX104" s="163"/>
      <c r="EY104" s="162"/>
      <c r="FB104" s="163"/>
    </row>
    <row r="105" spans="1:158" ht="21" customHeight="1" thickBot="1" x14ac:dyDescent="0.25">
      <c r="A105" s="246">
        <v>1124</v>
      </c>
      <c r="B105" s="246" t="s">
        <v>187</v>
      </c>
      <c r="C105" s="246" t="s">
        <v>169</v>
      </c>
      <c r="D105" s="341">
        <v>46099</v>
      </c>
      <c r="E105" s="1184"/>
      <c r="F105" s="331" t="s">
        <v>74</v>
      </c>
      <c r="G105" s="709">
        <v>624</v>
      </c>
      <c r="H105" s="11">
        <f t="shared" si="4"/>
        <v>624</v>
      </c>
      <c r="I105" s="706">
        <f t="shared" si="3"/>
        <v>0</v>
      </c>
      <c r="P105" s="14"/>
      <c r="T105" s="123"/>
      <c r="U105" s="61"/>
      <c r="V105" s="123"/>
      <c r="W105" s="123"/>
      <c r="X105" s="19"/>
      <c r="Y105" s="123"/>
      <c r="Z105" s="123"/>
      <c r="AA105" s="61"/>
      <c r="AB105" s="123"/>
      <c r="AC105" s="61"/>
      <c r="AD105" s="123"/>
      <c r="AE105" s="123"/>
      <c r="AF105" s="19"/>
      <c r="AG105" s="123"/>
      <c r="AH105" s="123"/>
      <c r="AI105" s="124"/>
      <c r="AJ105" s="124"/>
      <c r="AK105" s="70"/>
      <c r="AL105" s="124"/>
      <c r="AM105" s="123"/>
      <c r="AN105" s="123"/>
      <c r="AO105" s="19"/>
      <c r="AP105" s="123"/>
      <c r="AQ105" s="123"/>
      <c r="AR105" s="123"/>
      <c r="AS105" s="123"/>
      <c r="AT105" s="61"/>
      <c r="AU105" s="123"/>
      <c r="AV105" s="741"/>
      <c r="AW105" s="741"/>
      <c r="AX105" s="108"/>
      <c r="AY105" s="63"/>
      <c r="AZ105" s="125"/>
      <c r="BA105" s="125"/>
      <c r="BB105" s="64"/>
      <c r="BC105" s="63"/>
      <c r="BD105" s="73"/>
      <c r="BE105" s="74"/>
      <c r="BF105" s="75"/>
      <c r="BG105" s="73"/>
      <c r="BH105" s="74"/>
      <c r="BI105" s="74"/>
      <c r="BJ105" s="75"/>
      <c r="BK105" s="74"/>
      <c r="BL105" s="74"/>
      <c r="BM105" s="73"/>
      <c r="BN105" s="74"/>
      <c r="BO105" s="75"/>
      <c r="BP105" s="74"/>
      <c r="BQ105" s="74"/>
      <c r="BR105" s="63"/>
      <c r="BS105" s="108"/>
      <c r="BT105" s="67"/>
      <c r="BU105" s="108"/>
      <c r="BV105" s="108"/>
      <c r="BW105" s="743"/>
      <c r="BX105" s="61"/>
      <c r="BY105" s="108"/>
      <c r="BZ105" s="108"/>
      <c r="CA105" s="108"/>
      <c r="CB105" s="123"/>
      <c r="CC105" s="14"/>
      <c r="CE105" s="12"/>
      <c r="CF105" s="12"/>
      <c r="CG105" s="17"/>
      <c r="CH105" s="181"/>
      <c r="CI105" s="12"/>
      <c r="CJ105" s="181"/>
      <c r="CK105" s="729"/>
      <c r="CL105" s="752"/>
      <c r="CO105" s="18"/>
      <c r="CS105" s="18"/>
      <c r="CT105" s="342"/>
      <c r="CV105" s="181"/>
      <c r="CW105" s="181"/>
      <c r="CX105" s="18"/>
      <c r="CY105" s="247"/>
      <c r="DA105" s="181"/>
      <c r="DB105" s="729"/>
      <c r="DC105" s="17"/>
      <c r="DE105" s="12"/>
      <c r="DG105" s="164"/>
      <c r="DH105" s="687">
        <v>290</v>
      </c>
      <c r="DI105" s="687">
        <v>334</v>
      </c>
      <c r="DJ105" s="687"/>
      <c r="DK105" s="14"/>
      <c r="DL105" s="12"/>
      <c r="DM105" s="12"/>
      <c r="DN105" s="12"/>
      <c r="DO105" s="13"/>
      <c r="DP105" s="12"/>
      <c r="DQ105" s="12"/>
      <c r="DR105" s="12"/>
      <c r="DS105" s="768"/>
      <c r="DT105" s="763"/>
      <c r="DX105" s="163"/>
      <c r="DY105" s="162"/>
      <c r="EC105" s="162"/>
      <c r="EF105" s="163"/>
      <c r="EK105" s="163"/>
      <c r="EL105" s="162"/>
      <c r="EO105" s="163"/>
      <c r="EP105" s="162"/>
      <c r="ET105" s="163"/>
      <c r="EU105" s="162"/>
      <c r="EX105" s="163"/>
      <c r="EY105" s="162"/>
      <c r="FB105" s="163"/>
    </row>
    <row r="106" spans="1:158" ht="21" customHeight="1" thickBot="1" x14ac:dyDescent="0.25">
      <c r="A106" s="246">
        <v>1125</v>
      </c>
      <c r="B106" s="246" t="s">
        <v>188</v>
      </c>
      <c r="C106" s="246" t="s">
        <v>95</v>
      </c>
      <c r="D106" s="341">
        <v>46099</v>
      </c>
      <c r="E106" s="1184"/>
      <c r="F106" s="331" t="s">
        <v>74</v>
      </c>
      <c r="G106" s="709">
        <v>696</v>
      </c>
      <c r="H106" s="11">
        <f t="shared" si="4"/>
        <v>696</v>
      </c>
      <c r="I106" s="706">
        <f t="shared" si="3"/>
        <v>0</v>
      </c>
      <c r="P106" s="14"/>
      <c r="T106" s="123"/>
      <c r="U106" s="61"/>
      <c r="V106" s="123"/>
      <c r="W106" s="123"/>
      <c r="X106" s="19"/>
      <c r="Y106" s="123"/>
      <c r="Z106" s="123"/>
      <c r="AA106" s="61"/>
      <c r="AB106" s="123"/>
      <c r="AC106" s="61"/>
      <c r="AD106" s="123"/>
      <c r="AE106" s="123"/>
      <c r="AF106" s="19"/>
      <c r="AG106" s="123"/>
      <c r="AH106" s="123"/>
      <c r="AI106" s="124"/>
      <c r="AJ106" s="124"/>
      <c r="AK106" s="70"/>
      <c r="AL106" s="124"/>
      <c r="AM106" s="123"/>
      <c r="AN106" s="123"/>
      <c r="AO106" s="19"/>
      <c r="AP106" s="123"/>
      <c r="AQ106" s="123"/>
      <c r="AR106" s="123"/>
      <c r="AS106" s="123"/>
      <c r="AT106" s="61"/>
      <c r="AU106" s="123"/>
      <c r="AV106" s="741"/>
      <c r="AW106" s="741"/>
      <c r="AX106" s="108"/>
      <c r="AY106" s="63"/>
      <c r="AZ106" s="125"/>
      <c r="BA106" s="125"/>
      <c r="BB106" s="64"/>
      <c r="BC106" s="63"/>
      <c r="BD106" s="73"/>
      <c r="BE106" s="74"/>
      <c r="BF106" s="75"/>
      <c r="BG106" s="73"/>
      <c r="BH106" s="74"/>
      <c r="BI106" s="74"/>
      <c r="BJ106" s="75"/>
      <c r="BK106" s="74"/>
      <c r="BL106" s="74"/>
      <c r="BM106" s="73"/>
      <c r="BN106" s="74"/>
      <c r="BO106" s="75"/>
      <c r="BP106" s="74"/>
      <c r="BQ106" s="74"/>
      <c r="BR106" s="63"/>
      <c r="BS106" s="108"/>
      <c r="BT106" s="67"/>
      <c r="BU106" s="108"/>
      <c r="BV106" s="108"/>
      <c r="BW106" s="743"/>
      <c r="BX106" s="61"/>
      <c r="BY106" s="108"/>
      <c r="BZ106" s="108"/>
      <c r="CA106" s="108"/>
      <c r="CB106" s="123"/>
      <c r="CC106" s="14"/>
      <c r="CE106" s="12"/>
      <c r="CF106" s="12"/>
      <c r="CG106" s="17"/>
      <c r="CH106" s="181"/>
      <c r="CI106" s="12"/>
      <c r="CJ106" s="181"/>
      <c r="CK106" s="729"/>
      <c r="CL106" s="752"/>
      <c r="CO106" s="18"/>
      <c r="CS106" s="18"/>
      <c r="CT106" s="342"/>
      <c r="CV106" s="181"/>
      <c r="CW106" s="181"/>
      <c r="CX106" s="18"/>
      <c r="CY106" s="247"/>
      <c r="DA106" s="181"/>
      <c r="DB106" s="729"/>
      <c r="DC106" s="17"/>
      <c r="DE106" s="12"/>
      <c r="DG106" s="164"/>
      <c r="DH106" s="687"/>
      <c r="DI106" s="687">
        <v>696</v>
      </c>
      <c r="DJ106" s="687"/>
      <c r="DK106" s="14"/>
      <c r="DL106" s="12"/>
      <c r="DM106" s="12"/>
      <c r="DN106" s="12"/>
      <c r="DO106" s="13"/>
      <c r="DP106" s="12"/>
      <c r="DQ106" s="12"/>
      <c r="DR106" s="12"/>
      <c r="DS106" s="768"/>
      <c r="DT106" s="763"/>
      <c r="DX106" s="163"/>
      <c r="DY106" s="162"/>
      <c r="EC106" s="162"/>
      <c r="EF106" s="163"/>
      <c r="EK106" s="163"/>
      <c r="EL106" s="162"/>
      <c r="EO106" s="163"/>
      <c r="EP106" s="162"/>
      <c r="ET106" s="163"/>
      <c r="EU106" s="162"/>
      <c r="EX106" s="163"/>
      <c r="EY106" s="162"/>
      <c r="FB106" s="163"/>
    </row>
    <row r="107" spans="1:158" ht="21" customHeight="1" thickBot="1" x14ac:dyDescent="0.25">
      <c r="A107" s="246">
        <v>1126</v>
      </c>
      <c r="B107" s="246" t="s">
        <v>189</v>
      </c>
      <c r="C107" s="246" t="s">
        <v>171</v>
      </c>
      <c r="D107" s="341">
        <v>46099</v>
      </c>
      <c r="E107" s="1185"/>
      <c r="F107" s="331" t="s">
        <v>74</v>
      </c>
      <c r="G107" s="709">
        <v>2628</v>
      </c>
      <c r="H107" s="11">
        <f t="shared" si="4"/>
        <v>2628</v>
      </c>
      <c r="I107" s="706">
        <f t="shared" si="3"/>
        <v>0</v>
      </c>
      <c r="P107" s="14"/>
      <c r="T107" s="123"/>
      <c r="U107" s="61"/>
      <c r="V107" s="123"/>
      <c r="W107" s="123"/>
      <c r="X107" s="19"/>
      <c r="Y107" s="123"/>
      <c r="Z107" s="123"/>
      <c r="AA107" s="61"/>
      <c r="AB107" s="123"/>
      <c r="AC107" s="61"/>
      <c r="AD107" s="123"/>
      <c r="AE107" s="123"/>
      <c r="AF107" s="19"/>
      <c r="AG107" s="123"/>
      <c r="AH107" s="123"/>
      <c r="AI107" s="124"/>
      <c r="AJ107" s="124"/>
      <c r="AK107" s="70"/>
      <c r="AL107" s="124"/>
      <c r="AM107" s="123"/>
      <c r="AN107" s="123"/>
      <c r="AO107" s="19"/>
      <c r="AP107" s="123"/>
      <c r="AQ107" s="123"/>
      <c r="AR107" s="123"/>
      <c r="AS107" s="123"/>
      <c r="AT107" s="61"/>
      <c r="AU107" s="123"/>
      <c r="AV107" s="741"/>
      <c r="AW107" s="741"/>
      <c r="AX107" s="108"/>
      <c r="AY107" s="63"/>
      <c r="AZ107" s="125"/>
      <c r="BA107" s="125"/>
      <c r="BB107" s="64"/>
      <c r="BC107" s="63"/>
      <c r="BD107" s="73"/>
      <c r="BE107" s="74"/>
      <c r="BF107" s="75"/>
      <c r="BG107" s="73"/>
      <c r="BH107" s="74"/>
      <c r="BI107" s="74"/>
      <c r="BJ107" s="75"/>
      <c r="BK107" s="74"/>
      <c r="BL107" s="74"/>
      <c r="BM107" s="73"/>
      <c r="BN107" s="74"/>
      <c r="BO107" s="75"/>
      <c r="BP107" s="74"/>
      <c r="BQ107" s="74"/>
      <c r="BR107" s="63"/>
      <c r="BS107" s="108"/>
      <c r="BT107" s="67"/>
      <c r="BU107" s="108"/>
      <c r="BV107" s="108"/>
      <c r="BW107" s="743"/>
      <c r="BX107" s="61"/>
      <c r="BY107" s="108"/>
      <c r="BZ107" s="108"/>
      <c r="CA107" s="108"/>
      <c r="CB107" s="123"/>
      <c r="CC107" s="14"/>
      <c r="CE107" s="12"/>
      <c r="CF107" s="12"/>
      <c r="CG107" s="17"/>
      <c r="CH107" s="181"/>
      <c r="CI107" s="12"/>
      <c r="CJ107" s="181"/>
      <c r="CK107" s="729"/>
      <c r="CL107" s="752"/>
      <c r="CO107" s="18"/>
      <c r="CS107" s="18"/>
      <c r="CT107" s="342"/>
      <c r="CV107" s="181"/>
      <c r="CW107" s="181"/>
      <c r="CX107" s="18"/>
      <c r="CY107" s="247"/>
      <c r="DA107" s="181"/>
      <c r="DB107" s="729"/>
      <c r="DC107" s="17"/>
      <c r="DE107" s="12"/>
      <c r="DG107" s="164"/>
      <c r="DH107" s="687"/>
      <c r="DI107" s="687">
        <v>1720</v>
      </c>
      <c r="DJ107" s="687">
        <v>908</v>
      </c>
      <c r="DK107" s="14"/>
      <c r="DL107" s="12"/>
      <c r="DM107" s="12"/>
      <c r="DN107" s="12"/>
      <c r="DO107" s="13"/>
      <c r="DP107" s="12"/>
      <c r="DQ107" s="12"/>
      <c r="DR107" s="12"/>
      <c r="DS107" s="768"/>
      <c r="DT107" s="763"/>
      <c r="DX107" s="163"/>
      <c r="DY107" s="162"/>
      <c r="EC107" s="162"/>
      <c r="EF107" s="163"/>
      <c r="EK107" s="163"/>
      <c r="EL107" s="162"/>
      <c r="EO107" s="163"/>
      <c r="EP107" s="162"/>
      <c r="ET107" s="163"/>
      <c r="EU107" s="162"/>
      <c r="EX107" s="163"/>
      <c r="EY107" s="162"/>
      <c r="FB107" s="163"/>
    </row>
    <row r="108" spans="1:158" ht="21" customHeight="1" thickBot="1" x14ac:dyDescent="0.25">
      <c r="A108" s="1186" t="s">
        <v>190</v>
      </c>
      <c r="B108" s="249" t="s">
        <v>191</v>
      </c>
      <c r="C108" s="249" t="s">
        <v>144</v>
      </c>
      <c r="D108" s="248"/>
      <c r="E108" s="1183">
        <v>46143</v>
      </c>
      <c r="F108" s="248" t="s">
        <v>74</v>
      </c>
      <c r="G108" s="773">
        <v>2566</v>
      </c>
      <c r="H108" s="773">
        <f t="shared" si="4"/>
        <v>2566</v>
      </c>
      <c r="I108" s="774">
        <f t="shared" si="3"/>
        <v>0</v>
      </c>
      <c r="P108" s="14"/>
      <c r="T108" s="123"/>
      <c r="U108" s="61"/>
      <c r="V108" s="123"/>
      <c r="W108" s="123"/>
      <c r="X108" s="19"/>
      <c r="Y108" s="123"/>
      <c r="Z108" s="123"/>
      <c r="AA108" s="61"/>
      <c r="AB108" s="123"/>
      <c r="AC108" s="61"/>
      <c r="AD108" s="123"/>
      <c r="AE108" s="123"/>
      <c r="AF108" s="19"/>
      <c r="AG108" s="123"/>
      <c r="AH108" s="123"/>
      <c r="AI108" s="124"/>
      <c r="AJ108" s="124"/>
      <c r="AK108" s="70"/>
      <c r="AL108" s="124"/>
      <c r="AM108" s="123"/>
      <c r="AN108" s="123"/>
      <c r="AO108" s="19"/>
      <c r="AP108" s="123"/>
      <c r="AQ108" s="123"/>
      <c r="AR108" s="123"/>
      <c r="AS108" s="123"/>
      <c r="AT108" s="61"/>
      <c r="AU108" s="123"/>
      <c r="AV108" s="741"/>
      <c r="AW108" s="741"/>
      <c r="AX108" s="108"/>
      <c r="AY108" s="63"/>
      <c r="AZ108" s="125"/>
      <c r="BA108" s="125"/>
      <c r="BB108" s="64"/>
      <c r="BC108" s="63"/>
      <c r="BD108" s="73"/>
      <c r="BE108" s="74"/>
      <c r="BF108" s="75"/>
      <c r="BG108" s="73"/>
      <c r="BH108" s="74"/>
      <c r="BI108" s="74"/>
      <c r="BJ108" s="75"/>
      <c r="BK108" s="74"/>
      <c r="BL108" s="74"/>
      <c r="BM108" s="73"/>
      <c r="BN108" s="74"/>
      <c r="BO108" s="75"/>
      <c r="BP108" s="74"/>
      <c r="BQ108" s="74"/>
      <c r="BR108" s="63"/>
      <c r="BS108" s="108"/>
      <c r="BT108" s="67"/>
      <c r="BU108" s="108"/>
      <c r="BV108" s="108"/>
      <c r="BW108" s="743"/>
      <c r="BX108" s="61"/>
      <c r="BY108" s="108"/>
      <c r="BZ108" s="108"/>
      <c r="CA108" s="108"/>
      <c r="CB108" s="123"/>
      <c r="CC108" s="14"/>
      <c r="CE108" s="12"/>
      <c r="CF108" s="12"/>
      <c r="CG108" s="17"/>
      <c r="CH108" s="181"/>
      <c r="CI108" s="12"/>
      <c r="CJ108" s="181"/>
      <c r="CK108" s="729"/>
      <c r="CL108" s="752"/>
      <c r="CO108" s="18"/>
      <c r="CS108" s="18"/>
      <c r="CT108" s="342"/>
      <c r="CV108" s="181"/>
      <c r="CW108" s="181"/>
      <c r="CX108" s="18"/>
      <c r="CY108" s="247"/>
      <c r="DA108" s="181"/>
      <c r="DB108" s="729"/>
      <c r="DC108" s="17"/>
      <c r="DE108" s="12"/>
      <c r="DG108" s="164"/>
      <c r="DH108" s="12"/>
      <c r="DI108" s="12"/>
      <c r="DJ108" s="12"/>
      <c r="DK108" s="14"/>
      <c r="DL108" s="12">
        <v>1200</v>
      </c>
      <c r="DM108" s="12">
        <v>1366</v>
      </c>
      <c r="DN108" s="12"/>
      <c r="DO108" s="13"/>
      <c r="DP108" s="12"/>
      <c r="DQ108" s="12"/>
      <c r="DR108" s="12"/>
      <c r="DS108" s="768"/>
      <c r="DT108" s="763"/>
      <c r="DX108" s="163"/>
      <c r="DY108" s="162"/>
      <c r="EC108" s="162"/>
      <c r="EF108" s="163"/>
      <c r="EK108" s="163"/>
      <c r="EL108" s="162"/>
      <c r="EO108" s="163"/>
      <c r="EP108" s="162"/>
      <c r="ET108" s="163"/>
      <c r="EU108" s="162"/>
      <c r="EX108" s="163"/>
      <c r="EY108" s="162"/>
      <c r="FB108" s="163"/>
    </row>
    <row r="109" spans="1:158" ht="21" customHeight="1" thickBot="1" x14ac:dyDescent="0.25">
      <c r="A109" s="1186"/>
      <c r="B109" s="249" t="s">
        <v>192</v>
      </c>
      <c r="C109" s="249" t="s">
        <v>148</v>
      </c>
      <c r="D109" s="340"/>
      <c r="E109" s="1184"/>
      <c r="F109" s="248" t="s">
        <v>74</v>
      </c>
      <c r="G109" s="773">
        <v>1167</v>
      </c>
      <c r="H109" s="773">
        <f t="shared" si="4"/>
        <v>1167</v>
      </c>
      <c r="I109" s="774">
        <f t="shared" si="3"/>
        <v>0</v>
      </c>
      <c r="P109" s="14"/>
      <c r="T109" s="123"/>
      <c r="U109" s="61"/>
      <c r="V109" s="123"/>
      <c r="W109" s="123"/>
      <c r="X109" s="19"/>
      <c r="Y109" s="123"/>
      <c r="Z109" s="123"/>
      <c r="AA109" s="61"/>
      <c r="AB109" s="123"/>
      <c r="AC109" s="61"/>
      <c r="AD109" s="123"/>
      <c r="AE109" s="123"/>
      <c r="AF109" s="19"/>
      <c r="AG109" s="123"/>
      <c r="AH109" s="123"/>
      <c r="AI109" s="124"/>
      <c r="AJ109" s="124"/>
      <c r="AK109" s="70"/>
      <c r="AL109" s="124"/>
      <c r="AM109" s="123"/>
      <c r="AN109" s="123"/>
      <c r="AO109" s="19"/>
      <c r="AP109" s="123"/>
      <c r="AQ109" s="123"/>
      <c r="AR109" s="123"/>
      <c r="AS109" s="123"/>
      <c r="AT109" s="61"/>
      <c r="AU109" s="123"/>
      <c r="AV109" s="741"/>
      <c r="AW109" s="741"/>
      <c r="AX109" s="108"/>
      <c r="AY109" s="63"/>
      <c r="AZ109" s="125"/>
      <c r="BA109" s="125"/>
      <c r="BB109" s="64"/>
      <c r="BC109" s="63"/>
      <c r="BD109" s="73"/>
      <c r="BE109" s="74"/>
      <c r="BF109" s="75"/>
      <c r="BG109" s="73"/>
      <c r="BH109" s="74"/>
      <c r="BI109" s="74"/>
      <c r="BJ109" s="75"/>
      <c r="BK109" s="74"/>
      <c r="BL109" s="74"/>
      <c r="BM109" s="73"/>
      <c r="BN109" s="74"/>
      <c r="BO109" s="75"/>
      <c r="BP109" s="74"/>
      <c r="BQ109" s="74"/>
      <c r="BR109" s="63"/>
      <c r="BS109" s="108"/>
      <c r="BT109" s="67"/>
      <c r="BU109" s="108"/>
      <c r="BV109" s="108"/>
      <c r="BW109" s="743"/>
      <c r="BX109" s="61"/>
      <c r="BY109" s="108"/>
      <c r="BZ109" s="108"/>
      <c r="CA109" s="108"/>
      <c r="CB109" s="123"/>
      <c r="CC109" s="14"/>
      <c r="CE109" s="12"/>
      <c r="CF109" s="12"/>
      <c r="CG109" s="17"/>
      <c r="CH109" s="181"/>
      <c r="CI109" s="12"/>
      <c r="CJ109" s="181"/>
      <c r="CK109" s="729"/>
      <c r="CL109" s="752"/>
      <c r="CO109" s="18"/>
      <c r="CS109" s="18"/>
      <c r="CT109" s="342"/>
      <c r="CV109" s="181"/>
      <c r="CW109" s="181"/>
      <c r="CX109" s="18"/>
      <c r="CY109" s="247"/>
      <c r="DA109" s="181"/>
      <c r="DB109" s="729"/>
      <c r="DC109" s="17"/>
      <c r="DE109" s="12"/>
      <c r="DG109" s="164"/>
      <c r="DH109" s="12"/>
      <c r="DI109" s="12"/>
      <c r="DJ109" s="12"/>
      <c r="DK109" s="14"/>
      <c r="DL109" s="12"/>
      <c r="DM109" s="12"/>
      <c r="DN109" s="12">
        <v>267</v>
      </c>
      <c r="DO109" s="13">
        <v>900</v>
      </c>
      <c r="DP109" s="12"/>
      <c r="DQ109" s="12"/>
      <c r="DR109" s="12"/>
      <c r="DS109" s="768"/>
      <c r="DT109" s="763"/>
      <c r="DX109" s="163"/>
      <c r="DY109" s="162"/>
      <c r="EC109" s="162"/>
      <c r="EF109" s="163"/>
      <c r="EK109" s="163"/>
      <c r="EL109" s="162"/>
      <c r="EO109" s="163"/>
      <c r="EP109" s="162"/>
      <c r="ET109" s="163"/>
      <c r="EU109" s="162"/>
      <c r="EX109" s="163"/>
      <c r="EY109" s="162"/>
      <c r="FB109" s="163"/>
    </row>
    <row r="110" spans="1:158" ht="21" customHeight="1" thickBot="1" x14ac:dyDescent="0.25">
      <c r="A110" s="1186"/>
      <c r="B110" s="249" t="s">
        <v>193</v>
      </c>
      <c r="C110" s="249" t="s">
        <v>167</v>
      </c>
      <c r="D110" s="340"/>
      <c r="E110" s="1184"/>
      <c r="F110" s="248" t="s">
        <v>74</v>
      </c>
      <c r="G110" s="773">
        <v>1067</v>
      </c>
      <c r="H110" s="773">
        <f t="shared" si="4"/>
        <v>1067</v>
      </c>
      <c r="I110" s="774">
        <f t="shared" si="3"/>
        <v>0</v>
      </c>
      <c r="P110" s="14"/>
      <c r="T110" s="123"/>
      <c r="U110" s="61"/>
      <c r="V110" s="123"/>
      <c r="W110" s="123"/>
      <c r="X110" s="19"/>
      <c r="Y110" s="123"/>
      <c r="Z110" s="123"/>
      <c r="AA110" s="61"/>
      <c r="AB110" s="123"/>
      <c r="AC110" s="61"/>
      <c r="AD110" s="123"/>
      <c r="AE110" s="123"/>
      <c r="AF110" s="19"/>
      <c r="AG110" s="123"/>
      <c r="AH110" s="123"/>
      <c r="AI110" s="124"/>
      <c r="AJ110" s="124"/>
      <c r="AK110" s="70"/>
      <c r="AL110" s="124"/>
      <c r="AM110" s="123"/>
      <c r="AN110" s="123"/>
      <c r="AO110" s="19"/>
      <c r="AP110" s="123"/>
      <c r="AQ110" s="123"/>
      <c r="AR110" s="123"/>
      <c r="AS110" s="123"/>
      <c r="AT110" s="61"/>
      <c r="AU110" s="123"/>
      <c r="AV110" s="741"/>
      <c r="AW110" s="741"/>
      <c r="AX110" s="108"/>
      <c r="AY110" s="63"/>
      <c r="AZ110" s="125"/>
      <c r="BA110" s="125"/>
      <c r="BB110" s="64"/>
      <c r="BC110" s="63"/>
      <c r="BD110" s="73"/>
      <c r="BE110" s="74"/>
      <c r="BF110" s="75"/>
      <c r="BG110" s="73"/>
      <c r="BH110" s="74"/>
      <c r="BI110" s="74"/>
      <c r="BJ110" s="75"/>
      <c r="BK110" s="74"/>
      <c r="BL110" s="74"/>
      <c r="BM110" s="73"/>
      <c r="BN110" s="74"/>
      <c r="BO110" s="75"/>
      <c r="BP110" s="74"/>
      <c r="BQ110" s="74"/>
      <c r="BR110" s="63"/>
      <c r="BS110" s="108"/>
      <c r="BT110" s="67"/>
      <c r="BU110" s="108"/>
      <c r="BV110" s="108"/>
      <c r="BW110" s="743"/>
      <c r="BX110" s="61"/>
      <c r="BY110" s="108"/>
      <c r="BZ110" s="108"/>
      <c r="CA110" s="108"/>
      <c r="CB110" s="123"/>
      <c r="CC110" s="14"/>
      <c r="CE110" s="12"/>
      <c r="CF110" s="12"/>
      <c r="CG110" s="17"/>
      <c r="CH110" s="181"/>
      <c r="CI110" s="12"/>
      <c r="CJ110" s="181"/>
      <c r="CK110" s="729"/>
      <c r="CL110" s="752"/>
      <c r="CO110" s="18"/>
      <c r="CS110" s="18"/>
      <c r="CT110" s="342"/>
      <c r="CV110" s="181"/>
      <c r="CW110" s="181"/>
      <c r="CX110" s="18"/>
      <c r="CY110" s="247"/>
      <c r="DA110" s="181"/>
      <c r="DB110" s="729"/>
      <c r="DC110" s="17"/>
      <c r="DE110" s="12"/>
      <c r="DG110" s="164"/>
      <c r="DH110" s="12"/>
      <c r="DI110" s="12"/>
      <c r="DJ110" s="12"/>
      <c r="DK110" s="752"/>
      <c r="DL110" s="181"/>
      <c r="DM110" s="181"/>
      <c r="DN110" s="181"/>
      <c r="DO110" s="729">
        <v>1067</v>
      </c>
      <c r="DP110" s="181"/>
      <c r="DS110" s="163"/>
      <c r="DT110" s="162"/>
      <c r="DX110" s="163"/>
      <c r="DY110" s="162"/>
      <c r="EC110" s="162"/>
      <c r="EF110" s="163"/>
      <c r="EK110" s="163"/>
      <c r="EL110" s="162"/>
      <c r="EO110" s="163"/>
      <c r="EP110" s="162"/>
      <c r="ET110" s="163"/>
      <c r="EU110" s="162"/>
      <c r="EX110" s="163"/>
      <c r="EY110" s="162"/>
      <c r="FB110" s="163"/>
    </row>
    <row r="111" spans="1:158" ht="21" customHeight="1" thickBot="1" x14ac:dyDescent="0.25">
      <c r="A111" s="1186"/>
      <c r="B111" s="249" t="s">
        <v>194</v>
      </c>
      <c r="C111" s="249" t="s">
        <v>169</v>
      </c>
      <c r="D111" s="340"/>
      <c r="E111" s="1184"/>
      <c r="F111" s="248" t="s">
        <v>74</v>
      </c>
      <c r="G111" s="773">
        <v>600</v>
      </c>
      <c r="H111" s="773">
        <f t="shared" si="4"/>
        <v>600</v>
      </c>
      <c r="I111" s="774">
        <f t="shared" si="3"/>
        <v>0</v>
      </c>
      <c r="P111" s="14"/>
      <c r="T111" s="123"/>
      <c r="U111" s="61"/>
      <c r="V111" s="123"/>
      <c r="W111" s="123"/>
      <c r="X111" s="19"/>
      <c r="Y111" s="123"/>
      <c r="Z111" s="123"/>
      <c r="AA111" s="61"/>
      <c r="AB111" s="123"/>
      <c r="AC111" s="61"/>
      <c r="AD111" s="123"/>
      <c r="AE111" s="123"/>
      <c r="AF111" s="19"/>
      <c r="AG111" s="123"/>
      <c r="AH111" s="123"/>
      <c r="AI111" s="124"/>
      <c r="AJ111" s="124"/>
      <c r="AK111" s="70"/>
      <c r="AL111" s="124"/>
      <c r="AM111" s="123"/>
      <c r="AN111" s="123"/>
      <c r="AO111" s="19"/>
      <c r="AP111" s="123"/>
      <c r="AQ111" s="123"/>
      <c r="AR111" s="123"/>
      <c r="AS111" s="123"/>
      <c r="AT111" s="61"/>
      <c r="AU111" s="123"/>
      <c r="AV111" s="741"/>
      <c r="AW111" s="741"/>
      <c r="AX111" s="108"/>
      <c r="AY111" s="63"/>
      <c r="AZ111" s="125"/>
      <c r="BA111" s="125"/>
      <c r="BB111" s="64"/>
      <c r="BC111" s="63"/>
      <c r="BD111" s="73"/>
      <c r="BE111" s="74"/>
      <c r="BF111" s="75"/>
      <c r="BG111" s="73"/>
      <c r="BH111" s="74"/>
      <c r="BI111" s="74"/>
      <c r="BJ111" s="75"/>
      <c r="BK111" s="74"/>
      <c r="BL111" s="74"/>
      <c r="BM111" s="73"/>
      <c r="BN111" s="74"/>
      <c r="BO111" s="75"/>
      <c r="BP111" s="74"/>
      <c r="BQ111" s="74"/>
      <c r="BR111" s="63"/>
      <c r="BS111" s="108"/>
      <c r="BT111" s="67"/>
      <c r="BU111" s="108"/>
      <c r="BV111" s="108"/>
      <c r="BW111" s="743"/>
      <c r="BX111" s="61"/>
      <c r="BY111" s="108"/>
      <c r="BZ111" s="108"/>
      <c r="CA111" s="108"/>
      <c r="CB111" s="123"/>
      <c r="CC111" s="14"/>
      <c r="CE111" s="12"/>
      <c r="CF111" s="12"/>
      <c r="CG111" s="17"/>
      <c r="CH111" s="181"/>
      <c r="CI111" s="12"/>
      <c r="CJ111" s="181"/>
      <c r="CK111" s="729"/>
      <c r="CL111" s="752"/>
      <c r="CO111" s="18"/>
      <c r="CS111" s="18"/>
      <c r="CT111" s="342"/>
      <c r="CV111" s="181"/>
      <c r="CW111" s="181"/>
      <c r="CX111" s="18"/>
      <c r="CY111" s="247"/>
      <c r="DA111" s="181"/>
      <c r="DB111" s="729"/>
      <c r="DC111" s="17"/>
      <c r="DE111" s="12"/>
      <c r="DG111" s="164"/>
      <c r="DH111" s="12"/>
      <c r="DI111" s="12"/>
      <c r="DJ111" s="12"/>
      <c r="DK111" s="752"/>
      <c r="DL111" s="181"/>
      <c r="DM111" s="181"/>
      <c r="DN111" s="181"/>
      <c r="DO111" s="729"/>
      <c r="DP111" s="181">
        <v>600</v>
      </c>
      <c r="DS111" s="163"/>
      <c r="DT111" s="162"/>
      <c r="DX111" s="163"/>
      <c r="DY111" s="162"/>
      <c r="EC111" s="162"/>
      <c r="EF111" s="163"/>
      <c r="EK111" s="163"/>
      <c r="EL111" s="162"/>
      <c r="EO111" s="163"/>
      <c r="EP111" s="162"/>
      <c r="ET111" s="163"/>
      <c r="EU111" s="162"/>
      <c r="EX111" s="163"/>
      <c r="EY111" s="162"/>
      <c r="FB111" s="163"/>
    </row>
    <row r="112" spans="1:158" ht="21" customHeight="1" thickBot="1" x14ac:dyDescent="0.25">
      <c r="A112" s="1186"/>
      <c r="B112" s="249" t="s">
        <v>195</v>
      </c>
      <c r="C112" s="249" t="s">
        <v>95</v>
      </c>
      <c r="D112" s="340"/>
      <c r="E112" s="1184"/>
      <c r="F112" s="248" t="s">
        <v>74</v>
      </c>
      <c r="G112" s="773">
        <v>600</v>
      </c>
      <c r="H112" s="773">
        <f t="shared" si="4"/>
        <v>600</v>
      </c>
      <c r="I112" s="774">
        <f t="shared" si="3"/>
        <v>0</v>
      </c>
      <c r="P112" s="14"/>
      <c r="T112" s="123"/>
      <c r="U112" s="61"/>
      <c r="V112" s="123"/>
      <c r="W112" s="123"/>
      <c r="X112" s="19"/>
      <c r="Y112" s="123"/>
      <c r="Z112" s="123"/>
      <c r="AA112" s="61"/>
      <c r="AB112" s="123"/>
      <c r="AC112" s="61"/>
      <c r="AD112" s="123"/>
      <c r="AE112" s="123"/>
      <c r="AF112" s="19"/>
      <c r="AG112" s="123"/>
      <c r="AH112" s="123"/>
      <c r="AI112" s="124"/>
      <c r="AJ112" s="124"/>
      <c r="AK112" s="70"/>
      <c r="AL112" s="124"/>
      <c r="AM112" s="123"/>
      <c r="AN112" s="123"/>
      <c r="AO112" s="19"/>
      <c r="AP112" s="123"/>
      <c r="AQ112" s="123"/>
      <c r="AR112" s="123"/>
      <c r="AS112" s="123"/>
      <c r="AT112" s="61"/>
      <c r="AU112" s="123"/>
      <c r="AV112" s="741"/>
      <c r="AW112" s="741"/>
      <c r="AX112" s="108"/>
      <c r="AY112" s="63"/>
      <c r="AZ112" s="125"/>
      <c r="BA112" s="125"/>
      <c r="BB112" s="64"/>
      <c r="BC112" s="63"/>
      <c r="BD112" s="73"/>
      <c r="BE112" s="74"/>
      <c r="BF112" s="75"/>
      <c r="BG112" s="73"/>
      <c r="BH112" s="74"/>
      <c r="BI112" s="74"/>
      <c r="BJ112" s="75"/>
      <c r="BK112" s="74"/>
      <c r="BL112" s="74"/>
      <c r="BM112" s="73"/>
      <c r="BN112" s="74"/>
      <c r="BO112" s="75"/>
      <c r="BP112" s="74"/>
      <c r="BQ112" s="74"/>
      <c r="BR112" s="63"/>
      <c r="BS112" s="108"/>
      <c r="BT112" s="67"/>
      <c r="BU112" s="108"/>
      <c r="BV112" s="108"/>
      <c r="BW112" s="743"/>
      <c r="BX112" s="61"/>
      <c r="BY112" s="108"/>
      <c r="BZ112" s="108"/>
      <c r="CA112" s="108"/>
      <c r="CB112" s="123"/>
      <c r="CC112" s="14"/>
      <c r="CE112" s="12"/>
      <c r="CF112" s="12"/>
      <c r="CG112" s="17"/>
      <c r="CH112" s="181"/>
      <c r="CI112" s="12"/>
      <c r="CJ112" s="181"/>
      <c r="CK112" s="729"/>
      <c r="CL112" s="752"/>
      <c r="CO112" s="18"/>
      <c r="CS112" s="18"/>
      <c r="CT112" s="342"/>
      <c r="CV112" s="181"/>
      <c r="CW112" s="181"/>
      <c r="CX112" s="18"/>
      <c r="CY112" s="247"/>
      <c r="DA112" s="181"/>
      <c r="DB112" s="729"/>
      <c r="DC112" s="17"/>
      <c r="DE112" s="12"/>
      <c r="DG112" s="164"/>
      <c r="DH112" s="12"/>
      <c r="DI112" s="12"/>
      <c r="DJ112" s="12"/>
      <c r="DK112" s="752"/>
      <c r="DL112" s="181"/>
      <c r="DM112" s="12"/>
      <c r="DN112" s="181"/>
      <c r="DO112" s="729"/>
      <c r="DP112" s="181">
        <v>600</v>
      </c>
      <c r="DS112" s="163"/>
      <c r="DT112" s="162"/>
      <c r="DX112" s="163"/>
      <c r="DY112" s="162"/>
      <c r="EC112" s="162"/>
      <c r="EF112" s="163"/>
      <c r="EK112" s="163"/>
      <c r="EL112" s="162"/>
      <c r="EO112" s="163"/>
      <c r="EP112" s="162"/>
      <c r="ET112" s="163"/>
      <c r="EU112" s="162"/>
      <c r="EX112" s="163"/>
      <c r="EY112" s="162"/>
      <c r="FB112" s="163"/>
    </row>
    <row r="113" spans="1:158" ht="21" customHeight="1" thickBot="1" x14ac:dyDescent="0.25">
      <c r="A113" s="428"/>
      <c r="B113" s="436" t="s">
        <v>196</v>
      </c>
      <c r="C113" s="428" t="s">
        <v>197</v>
      </c>
      <c r="D113" s="428"/>
      <c r="E113" s="775" t="s">
        <v>198</v>
      </c>
      <c r="F113" s="428" t="s">
        <v>15</v>
      </c>
      <c r="G113" s="776"/>
      <c r="H113" s="777">
        <f t="shared" si="4"/>
        <v>0</v>
      </c>
      <c r="I113" s="778">
        <f t="shared" si="3"/>
        <v>0</v>
      </c>
      <c r="P113" s="14"/>
      <c r="T113" s="123"/>
      <c r="U113" s="61"/>
      <c r="V113" s="123"/>
      <c r="W113" s="123"/>
      <c r="X113" s="19"/>
      <c r="Y113" s="123"/>
      <c r="Z113" s="123"/>
      <c r="AA113" s="61"/>
      <c r="AB113" s="123"/>
      <c r="AC113" s="61"/>
      <c r="AD113" s="123"/>
      <c r="AE113" s="123"/>
      <c r="AF113" s="19"/>
      <c r="AG113" s="123"/>
      <c r="AH113" s="123"/>
      <c r="AI113" s="124"/>
      <c r="AJ113" s="124"/>
      <c r="AK113" s="70"/>
      <c r="AL113" s="124"/>
      <c r="AM113" s="123"/>
      <c r="AN113" s="123"/>
      <c r="AO113" s="19"/>
      <c r="AP113" s="123"/>
      <c r="AQ113" s="123"/>
      <c r="AR113" s="123"/>
      <c r="AS113" s="123"/>
      <c r="AT113" s="61"/>
      <c r="AU113" s="123"/>
      <c r="AV113" s="741"/>
      <c r="AW113" s="741"/>
      <c r="AX113" s="108"/>
      <c r="AY113" s="63"/>
      <c r="AZ113" s="125"/>
      <c r="BA113" s="125"/>
      <c r="BB113" s="64"/>
      <c r="BC113" s="63"/>
      <c r="BD113" s="73"/>
      <c r="BE113" s="74"/>
      <c r="BF113" s="75"/>
      <c r="BG113" s="73"/>
      <c r="BH113" s="74"/>
      <c r="BI113" s="74"/>
      <c r="BJ113" s="75"/>
      <c r="BK113" s="74"/>
      <c r="BL113" s="74"/>
      <c r="BM113" s="73"/>
      <c r="BN113" s="74"/>
      <c r="BO113" s="75"/>
      <c r="BP113" s="74"/>
      <c r="BQ113" s="74"/>
      <c r="BR113" s="63"/>
      <c r="BS113" s="108"/>
      <c r="BT113" s="67"/>
      <c r="BU113" s="108"/>
      <c r="BV113" s="108"/>
      <c r="BW113" s="743"/>
      <c r="BX113" s="61"/>
      <c r="BY113" s="108"/>
      <c r="BZ113" s="108"/>
      <c r="CA113" s="108"/>
      <c r="CB113" s="123"/>
      <c r="CC113" s="14"/>
      <c r="CE113" s="12"/>
      <c r="CF113" s="12"/>
      <c r="CG113" s="17"/>
      <c r="CH113" s="181"/>
      <c r="CI113" s="12"/>
      <c r="CJ113" s="181"/>
      <c r="CK113" s="729"/>
      <c r="CL113" s="752"/>
      <c r="CO113" s="18"/>
      <c r="CS113" s="18"/>
      <c r="CT113" s="342"/>
      <c r="CV113" s="181"/>
      <c r="CW113" s="181"/>
      <c r="CX113" s="18"/>
      <c r="CY113" s="247"/>
      <c r="DA113" s="181"/>
      <c r="DB113" s="729"/>
      <c r="DC113" s="17"/>
      <c r="DE113" s="12"/>
      <c r="DG113" s="164"/>
      <c r="DH113" s="12"/>
      <c r="DI113" s="12"/>
      <c r="DJ113" s="12"/>
      <c r="DK113" s="14"/>
      <c r="DL113" s="12"/>
      <c r="DM113" s="12"/>
      <c r="DN113" s="12"/>
      <c r="DO113" s="13"/>
      <c r="DP113" s="181"/>
      <c r="DS113" s="163"/>
      <c r="DT113" s="162"/>
      <c r="DX113" s="163"/>
      <c r="DY113" s="162"/>
      <c r="EC113" s="162"/>
      <c r="EF113" s="163"/>
      <c r="EK113" s="163"/>
      <c r="EL113" s="162"/>
      <c r="EO113" s="163"/>
      <c r="EP113" s="162"/>
      <c r="ET113" s="163"/>
      <c r="EU113" s="162"/>
      <c r="EX113" s="163"/>
      <c r="EY113" s="162"/>
      <c r="FB113" s="163"/>
    </row>
    <row r="114" spans="1:158" ht="21" customHeight="1" thickBot="1" x14ac:dyDescent="0.25">
      <c r="A114" s="428"/>
      <c r="B114" s="436" t="s">
        <v>199</v>
      </c>
      <c r="C114" s="428" t="s">
        <v>29</v>
      </c>
      <c r="D114" s="428"/>
      <c r="E114" s="779">
        <v>46206</v>
      </c>
      <c r="F114" s="428" t="s">
        <v>29</v>
      </c>
      <c r="G114" s="776"/>
      <c r="H114" s="777">
        <f>SUM(O114:FB114)</f>
        <v>0</v>
      </c>
      <c r="I114" s="778">
        <f t="shared" si="3"/>
        <v>0</v>
      </c>
      <c r="P114" s="14"/>
      <c r="T114" s="123"/>
      <c r="U114" s="61"/>
      <c r="V114" s="123"/>
      <c r="W114" s="123"/>
      <c r="X114" s="19"/>
      <c r="Y114" s="123"/>
      <c r="Z114" s="123"/>
      <c r="AA114" s="61"/>
      <c r="AB114" s="123"/>
      <c r="AC114" s="61"/>
      <c r="AD114" s="123"/>
      <c r="AE114" s="123"/>
      <c r="AF114" s="19"/>
      <c r="AG114" s="123"/>
      <c r="AH114" s="123"/>
      <c r="AI114" s="124"/>
      <c r="AJ114" s="124"/>
      <c r="AK114" s="70"/>
      <c r="AL114" s="124"/>
      <c r="AM114" s="123"/>
      <c r="AN114" s="123"/>
      <c r="AO114" s="19"/>
      <c r="AP114" s="123"/>
      <c r="AQ114" s="123"/>
      <c r="AR114" s="123"/>
      <c r="AS114" s="123"/>
      <c r="AT114" s="61"/>
      <c r="AU114" s="123"/>
      <c r="AV114" s="741"/>
      <c r="AW114" s="741"/>
      <c r="AX114" s="108"/>
      <c r="AY114" s="63"/>
      <c r="AZ114" s="125"/>
      <c r="BA114" s="125"/>
      <c r="BB114" s="64"/>
      <c r="BC114" s="63"/>
      <c r="BD114" s="73"/>
      <c r="BE114" s="74"/>
      <c r="BF114" s="75"/>
      <c r="BG114" s="73"/>
      <c r="BH114" s="74"/>
      <c r="BI114" s="74"/>
      <c r="BJ114" s="75"/>
      <c r="BK114" s="74"/>
      <c r="BL114" s="74"/>
      <c r="BM114" s="73"/>
      <c r="BN114" s="74"/>
      <c r="BO114" s="75"/>
      <c r="BP114" s="74"/>
      <c r="BQ114" s="74"/>
      <c r="BR114" s="63"/>
      <c r="BS114" s="108"/>
      <c r="BT114" s="67"/>
      <c r="BU114" s="108"/>
      <c r="BV114" s="108"/>
      <c r="BW114" s="743"/>
      <c r="BX114" s="61"/>
      <c r="BY114" s="108"/>
      <c r="BZ114" s="108"/>
      <c r="CA114" s="108"/>
      <c r="CB114" s="123"/>
      <c r="CC114" s="14"/>
      <c r="CE114" s="12"/>
      <c r="CF114" s="12"/>
      <c r="CG114" s="17"/>
      <c r="CH114" s="181"/>
      <c r="CI114" s="12"/>
      <c r="CJ114" s="181"/>
      <c r="CK114" s="729"/>
      <c r="CL114" s="752"/>
      <c r="CO114" s="18"/>
      <c r="CS114" s="18"/>
      <c r="CT114" s="342"/>
      <c r="CV114" s="181"/>
      <c r="CW114" s="181"/>
      <c r="CX114" s="18"/>
      <c r="CY114" s="247"/>
      <c r="DA114" s="181"/>
      <c r="DB114" s="729"/>
      <c r="DC114" s="17"/>
      <c r="DE114" s="12"/>
      <c r="DG114" s="164"/>
      <c r="DH114" s="12"/>
      <c r="DI114" s="12"/>
      <c r="DJ114" s="12"/>
      <c r="DK114" s="14"/>
      <c r="DL114" s="12"/>
      <c r="DM114" s="12"/>
      <c r="DN114" s="12"/>
      <c r="DO114" s="13"/>
      <c r="DP114" s="181"/>
      <c r="DS114" s="163"/>
      <c r="DT114" s="162"/>
      <c r="DX114" s="163"/>
      <c r="DY114" s="162"/>
      <c r="EC114" s="162"/>
      <c r="EF114" s="163"/>
      <c r="EK114" s="163"/>
      <c r="EL114" s="162"/>
      <c r="EO114" s="163"/>
      <c r="EP114" s="162"/>
      <c r="ET114" s="163"/>
      <c r="EU114" s="162"/>
      <c r="EX114" s="163"/>
      <c r="EY114" s="162"/>
      <c r="FB114" s="163"/>
    </row>
    <row r="115" spans="1:158" ht="21" customHeight="1" thickBot="1" x14ac:dyDescent="0.25">
      <c r="A115" s="249" t="s">
        <v>200</v>
      </c>
      <c r="B115" s="249" t="s">
        <v>8</v>
      </c>
      <c r="C115" s="249" t="s">
        <v>8</v>
      </c>
      <c r="D115" s="249"/>
      <c r="E115" s="780"/>
      <c r="F115" s="248" t="s">
        <v>8</v>
      </c>
      <c r="G115" s="773"/>
      <c r="H115" s="11">
        <f>SUM(O115:FB115)</f>
        <v>0</v>
      </c>
      <c r="I115" s="774">
        <f t="shared" si="3"/>
        <v>0</v>
      </c>
      <c r="P115" s="14"/>
      <c r="T115" s="123"/>
      <c r="U115" s="61"/>
      <c r="V115" s="123"/>
      <c r="W115" s="123"/>
      <c r="X115" s="19"/>
      <c r="Y115" s="123"/>
      <c r="Z115" s="123"/>
      <c r="AA115" s="61"/>
      <c r="AB115" s="123"/>
      <c r="AC115" s="61"/>
      <c r="AD115" s="123"/>
      <c r="AE115" s="123"/>
      <c r="AF115" s="19"/>
      <c r="AG115" s="123"/>
      <c r="AH115" s="123"/>
      <c r="AI115" s="124"/>
      <c r="AJ115" s="124"/>
      <c r="AK115" s="70"/>
      <c r="AL115" s="124"/>
      <c r="AM115" s="123"/>
      <c r="AN115" s="123"/>
      <c r="AO115" s="19"/>
      <c r="AP115" s="123"/>
      <c r="AQ115" s="123"/>
      <c r="AR115" s="123"/>
      <c r="AS115" s="123"/>
      <c r="AT115" s="61"/>
      <c r="AU115" s="123"/>
      <c r="AV115" s="741"/>
      <c r="AW115" s="741"/>
      <c r="AX115" s="108"/>
      <c r="AY115" s="63"/>
      <c r="AZ115" s="125"/>
      <c r="BA115" s="125"/>
      <c r="BB115" s="64"/>
      <c r="BC115" s="63"/>
      <c r="BD115" s="73"/>
      <c r="BE115" s="74"/>
      <c r="BF115" s="75"/>
      <c r="BG115" s="73"/>
      <c r="BH115" s="74"/>
      <c r="BI115" s="74"/>
      <c r="BJ115" s="75"/>
      <c r="BK115" s="74"/>
      <c r="BL115" s="74"/>
      <c r="BM115" s="73"/>
      <c r="BN115" s="74"/>
      <c r="BO115" s="75"/>
      <c r="BP115" s="74"/>
      <c r="BQ115" s="74"/>
      <c r="BR115" s="63"/>
      <c r="BS115" s="108"/>
      <c r="BT115" s="67"/>
      <c r="BU115" s="108"/>
      <c r="BV115" s="108"/>
      <c r="BW115" s="743"/>
      <c r="BX115" s="61"/>
      <c r="BY115" s="108"/>
      <c r="BZ115" s="108"/>
      <c r="CA115" s="108"/>
      <c r="CB115" s="123"/>
      <c r="CC115" s="14"/>
      <c r="CE115" s="12"/>
      <c r="CF115" s="12"/>
      <c r="CG115" s="17"/>
      <c r="CH115" s="181"/>
      <c r="CI115" s="12"/>
      <c r="CJ115" s="181"/>
      <c r="CK115" s="729"/>
      <c r="CL115" s="752"/>
      <c r="CO115" s="18"/>
      <c r="CS115" s="18"/>
      <c r="CT115" s="342"/>
      <c r="CV115" s="181"/>
      <c r="CW115" s="181"/>
      <c r="CX115" s="18"/>
      <c r="CY115" s="247"/>
      <c r="DA115" s="181"/>
      <c r="DB115" s="729"/>
      <c r="DC115" s="17"/>
      <c r="DE115" s="12"/>
      <c r="DG115" s="162"/>
      <c r="DH115" s="181"/>
      <c r="DI115" s="181"/>
      <c r="DJ115" s="181"/>
      <c r="DK115" s="14"/>
      <c r="DL115" s="12"/>
      <c r="DM115" s="12"/>
      <c r="DN115" s="12"/>
      <c r="DO115" s="13"/>
      <c r="DP115" s="181"/>
      <c r="DS115" s="163"/>
      <c r="DT115" s="162"/>
      <c r="DX115" s="163"/>
      <c r="DY115" s="162"/>
      <c r="EC115" s="162"/>
      <c r="EF115" s="163"/>
      <c r="EK115" s="163"/>
      <c r="EL115" s="162"/>
      <c r="EO115" s="163"/>
      <c r="EP115" s="162"/>
      <c r="ET115" s="163"/>
      <c r="EU115" s="162"/>
      <c r="EX115" s="163"/>
      <c r="EY115" s="162"/>
      <c r="FB115" s="163"/>
    </row>
    <row r="116" spans="1:158" ht="21" customHeight="1" thickBot="1" x14ac:dyDescent="0.25">
      <c r="A116" s="781"/>
      <c r="B116" s="246" t="s">
        <v>201</v>
      </c>
      <c r="C116" s="246" t="s">
        <v>201</v>
      </c>
      <c r="D116" s="341">
        <v>46155</v>
      </c>
      <c r="E116" s="779">
        <v>46174</v>
      </c>
      <c r="F116" s="359" t="s">
        <v>201</v>
      </c>
      <c r="G116" s="709">
        <v>3654</v>
      </c>
      <c r="H116" s="11">
        <f t="shared" si="4"/>
        <v>3654</v>
      </c>
      <c r="I116" s="706">
        <f t="shared" si="3"/>
        <v>0</v>
      </c>
      <c r="P116" s="14"/>
      <c r="T116" s="123"/>
      <c r="U116" s="61"/>
      <c r="V116" s="123"/>
      <c r="W116" s="123"/>
      <c r="X116" s="19"/>
      <c r="Y116" s="123"/>
      <c r="Z116" s="123"/>
      <c r="AA116" s="61"/>
      <c r="AB116" s="123"/>
      <c r="AC116" s="61"/>
      <c r="AD116" s="123"/>
      <c r="AE116" s="123"/>
      <c r="AF116" s="19"/>
      <c r="AG116" s="123"/>
      <c r="AH116" s="123"/>
      <c r="AI116" s="124"/>
      <c r="AJ116" s="124"/>
      <c r="AK116" s="70"/>
      <c r="AL116" s="124"/>
      <c r="AM116" s="123"/>
      <c r="AN116" s="123"/>
      <c r="AO116" s="19"/>
      <c r="AP116" s="123"/>
      <c r="AQ116" s="123"/>
      <c r="AR116" s="123"/>
      <c r="AS116" s="123"/>
      <c r="AT116" s="61"/>
      <c r="AU116" s="123"/>
      <c r="AV116" s="741"/>
      <c r="AW116" s="741"/>
      <c r="AX116" s="108"/>
      <c r="AY116" s="63"/>
      <c r="AZ116" s="125"/>
      <c r="BA116" s="125"/>
      <c r="BB116" s="64"/>
      <c r="BC116" s="63"/>
      <c r="BD116" s="73"/>
      <c r="BE116" s="74"/>
      <c r="BF116" s="75"/>
      <c r="BG116" s="73"/>
      <c r="BH116" s="74"/>
      <c r="BI116" s="74"/>
      <c r="BJ116" s="75"/>
      <c r="BK116" s="74"/>
      <c r="BL116" s="74"/>
      <c r="BM116" s="73"/>
      <c r="BN116" s="74"/>
      <c r="BO116" s="75"/>
      <c r="BP116" s="74"/>
      <c r="BQ116" s="74"/>
      <c r="BR116" s="63"/>
      <c r="BS116" s="108"/>
      <c r="BT116" s="67"/>
      <c r="BU116" s="108"/>
      <c r="BV116" s="108"/>
      <c r="BW116" s="743"/>
      <c r="BX116" s="61"/>
      <c r="BY116" s="108"/>
      <c r="BZ116" s="108"/>
      <c r="CA116" s="108"/>
      <c r="CB116" s="123"/>
      <c r="CC116" s="14"/>
      <c r="CE116" s="12"/>
      <c r="CF116" s="12"/>
      <c r="CG116" s="17"/>
      <c r="CH116" s="181"/>
      <c r="CI116" s="12"/>
      <c r="CJ116" s="181"/>
      <c r="CK116" s="729"/>
      <c r="CL116" s="752"/>
      <c r="CO116" s="18"/>
      <c r="CS116" s="18"/>
      <c r="CT116" s="342"/>
      <c r="CV116" s="181"/>
      <c r="CW116" s="181"/>
      <c r="CX116" s="18"/>
      <c r="CY116" s="247"/>
      <c r="DA116" s="181"/>
      <c r="DB116" s="729"/>
      <c r="DC116" s="17"/>
      <c r="DE116" s="12"/>
      <c r="DG116" s="162"/>
      <c r="DH116" s="181"/>
      <c r="DI116" s="181"/>
      <c r="DJ116" s="181">
        <v>1800</v>
      </c>
      <c r="DK116" s="14">
        <v>654</v>
      </c>
      <c r="DL116" s="12">
        <v>1200</v>
      </c>
      <c r="DM116" s="12"/>
      <c r="DN116" s="12"/>
      <c r="DO116" s="13"/>
      <c r="DP116" s="181"/>
      <c r="DS116" s="163"/>
      <c r="DT116" s="162"/>
      <c r="DX116" s="163"/>
      <c r="DY116" s="162"/>
      <c r="EC116" s="162"/>
      <c r="EF116" s="163"/>
      <c r="EK116" s="163"/>
      <c r="EL116" s="162"/>
      <c r="EO116" s="163"/>
      <c r="EP116" s="162"/>
      <c r="ET116" s="163"/>
      <c r="EU116" s="162"/>
      <c r="EX116" s="163"/>
      <c r="EY116" s="162"/>
      <c r="FB116" s="163"/>
    </row>
    <row r="117" spans="1:158" ht="21" customHeight="1" thickBot="1" x14ac:dyDescent="0.25">
      <c r="A117" s="249" t="s">
        <v>200</v>
      </c>
      <c r="B117" s="249" t="s">
        <v>202</v>
      </c>
      <c r="C117" s="249" t="s">
        <v>103</v>
      </c>
      <c r="D117" s="249"/>
      <c r="E117" s="782"/>
      <c r="F117" s="359" t="s">
        <v>202</v>
      </c>
      <c r="G117" s="709">
        <v>4800</v>
      </c>
      <c r="H117" s="11">
        <f t="shared" si="4"/>
        <v>4800</v>
      </c>
      <c r="I117" s="774">
        <f t="shared" si="3"/>
        <v>0</v>
      </c>
      <c r="P117" s="14"/>
      <c r="T117" s="123"/>
      <c r="U117" s="61"/>
      <c r="V117" s="123"/>
      <c r="W117" s="123"/>
      <c r="X117" s="19"/>
      <c r="Y117" s="123"/>
      <c r="Z117" s="123"/>
      <c r="AA117" s="61"/>
      <c r="AB117" s="123"/>
      <c r="AC117" s="61"/>
      <c r="AD117" s="123"/>
      <c r="AE117" s="123"/>
      <c r="AF117" s="19"/>
      <c r="AG117" s="123"/>
      <c r="AH117" s="123"/>
      <c r="AI117" s="124"/>
      <c r="AJ117" s="124"/>
      <c r="AK117" s="70"/>
      <c r="AL117" s="124"/>
      <c r="AM117" s="123"/>
      <c r="AN117" s="123"/>
      <c r="AO117" s="19"/>
      <c r="AP117" s="123"/>
      <c r="AQ117" s="123"/>
      <c r="AR117" s="123"/>
      <c r="AS117" s="123"/>
      <c r="AT117" s="61"/>
      <c r="AU117" s="123"/>
      <c r="AV117" s="741"/>
      <c r="AW117" s="741"/>
      <c r="AX117" s="108"/>
      <c r="AY117" s="63"/>
      <c r="AZ117" s="125"/>
      <c r="BA117" s="125"/>
      <c r="BB117" s="64"/>
      <c r="BC117" s="63"/>
      <c r="BD117" s="73"/>
      <c r="BE117" s="74"/>
      <c r="BF117" s="75"/>
      <c r="BG117" s="73"/>
      <c r="BH117" s="74"/>
      <c r="BI117" s="74"/>
      <c r="BJ117" s="75"/>
      <c r="BK117" s="74"/>
      <c r="BL117" s="74"/>
      <c r="BM117" s="73"/>
      <c r="BN117" s="74"/>
      <c r="BO117" s="75"/>
      <c r="BP117" s="74"/>
      <c r="BQ117" s="74"/>
      <c r="BR117" s="63"/>
      <c r="BS117" s="108"/>
      <c r="BT117" s="67"/>
      <c r="BU117" s="108"/>
      <c r="BV117" s="108"/>
      <c r="BW117" s="743"/>
      <c r="BX117" s="61"/>
      <c r="BY117" s="108"/>
      <c r="BZ117" s="108"/>
      <c r="CA117" s="108"/>
      <c r="CB117" s="123"/>
      <c r="CC117" s="14"/>
      <c r="CE117" s="12"/>
      <c r="CF117" s="12"/>
      <c r="CG117" s="17"/>
      <c r="CH117" s="181"/>
      <c r="CI117" s="12"/>
      <c r="CJ117" s="181"/>
      <c r="CK117" s="729"/>
      <c r="CL117" s="752"/>
      <c r="CO117" s="18"/>
      <c r="CS117" s="18"/>
      <c r="CT117" s="342"/>
      <c r="CV117" s="181"/>
      <c r="CW117" s="181"/>
      <c r="CX117" s="18"/>
      <c r="CY117" s="247"/>
      <c r="DA117" s="181"/>
      <c r="DB117" s="729"/>
      <c r="DC117" s="17"/>
      <c r="DE117" s="12"/>
      <c r="DG117" s="162"/>
      <c r="DH117" s="181"/>
      <c r="DI117" s="181"/>
      <c r="DJ117" s="181"/>
      <c r="DK117" s="14"/>
      <c r="DL117" s="12">
        <v>300</v>
      </c>
      <c r="DM117" s="12">
        <v>1200</v>
      </c>
      <c r="DN117" s="12"/>
      <c r="DO117" s="13"/>
      <c r="DP117" s="181">
        <v>250</v>
      </c>
      <c r="DR117">
        <v>450</v>
      </c>
      <c r="DS117" s="163">
        <v>250</v>
      </c>
      <c r="DT117" s="162">
        <v>1000</v>
      </c>
      <c r="DX117" s="163">
        <v>1350</v>
      </c>
      <c r="DY117" s="162"/>
      <c r="EC117" s="162"/>
      <c r="EF117" s="163"/>
      <c r="EK117" s="163"/>
      <c r="EL117" s="162"/>
      <c r="EO117" s="163"/>
      <c r="EP117" s="162"/>
      <c r="ET117" s="163"/>
      <c r="EU117" s="162"/>
      <c r="EX117" s="163"/>
      <c r="EY117" s="162"/>
      <c r="FB117" s="163"/>
    </row>
    <row r="118" spans="1:158" ht="21" customHeight="1" thickBot="1" x14ac:dyDescent="0.25">
      <c r="A118" s="1186" t="s">
        <v>203</v>
      </c>
      <c r="B118" s="249" t="s">
        <v>204</v>
      </c>
      <c r="C118" s="249" t="s">
        <v>144</v>
      </c>
      <c r="D118" s="249"/>
      <c r="E118" s="1187">
        <v>46174</v>
      </c>
      <c r="F118" s="249" t="s">
        <v>74</v>
      </c>
      <c r="G118" s="773">
        <v>2390</v>
      </c>
      <c r="H118" s="11">
        <f t="shared" si="4"/>
        <v>2390</v>
      </c>
      <c r="I118" s="774">
        <f t="shared" si="3"/>
        <v>0</v>
      </c>
      <c r="P118" s="14"/>
      <c r="T118" s="123"/>
      <c r="U118" s="61"/>
      <c r="V118" s="123"/>
      <c r="W118" s="123"/>
      <c r="X118" s="19"/>
      <c r="Y118" s="123"/>
      <c r="Z118" s="123"/>
      <c r="AA118" s="61"/>
      <c r="AB118" s="123"/>
      <c r="AC118" s="61"/>
      <c r="AD118" s="123"/>
      <c r="AE118" s="123"/>
      <c r="AF118" s="19"/>
      <c r="AG118" s="123"/>
      <c r="AH118" s="123"/>
      <c r="AI118" s="124"/>
      <c r="AJ118" s="124"/>
      <c r="AK118" s="70"/>
      <c r="AL118" s="124"/>
      <c r="AM118" s="123"/>
      <c r="AN118" s="123"/>
      <c r="AO118" s="19"/>
      <c r="AP118" s="123"/>
      <c r="AQ118" s="123"/>
      <c r="AR118" s="123"/>
      <c r="AS118" s="123"/>
      <c r="AT118" s="61"/>
      <c r="AU118" s="123"/>
      <c r="AV118" s="741"/>
      <c r="AW118" s="741"/>
      <c r="AX118" s="108"/>
      <c r="AY118" s="63"/>
      <c r="AZ118" s="125"/>
      <c r="BA118" s="125"/>
      <c r="BB118" s="64"/>
      <c r="BC118" s="63"/>
      <c r="BD118" s="73"/>
      <c r="BE118" s="74"/>
      <c r="BF118" s="75"/>
      <c r="BG118" s="73"/>
      <c r="BH118" s="74"/>
      <c r="BI118" s="74"/>
      <c r="BJ118" s="75"/>
      <c r="BK118" s="74"/>
      <c r="BL118" s="74"/>
      <c r="BM118" s="73"/>
      <c r="BN118" s="74"/>
      <c r="BO118" s="75"/>
      <c r="BP118" s="74"/>
      <c r="BQ118" s="74"/>
      <c r="BR118" s="63"/>
      <c r="BS118" s="108"/>
      <c r="BT118" s="67"/>
      <c r="BU118" s="108"/>
      <c r="BV118" s="108"/>
      <c r="BW118" s="743"/>
      <c r="BX118" s="61"/>
      <c r="BY118" s="108"/>
      <c r="BZ118" s="108"/>
      <c r="CA118" s="108"/>
      <c r="CB118" s="123"/>
      <c r="CC118" s="14"/>
      <c r="CE118" s="12"/>
      <c r="CF118" s="12"/>
      <c r="CG118" s="17"/>
      <c r="CH118" s="181"/>
      <c r="CI118" s="12"/>
      <c r="CJ118" s="181"/>
      <c r="CK118" s="729"/>
      <c r="CL118" s="752"/>
      <c r="CO118" s="18"/>
      <c r="CS118" s="18"/>
      <c r="CT118" s="342"/>
      <c r="CV118" s="181"/>
      <c r="CW118" s="181"/>
      <c r="CX118" s="18"/>
      <c r="CY118" s="247"/>
      <c r="DA118" s="181"/>
      <c r="DB118" s="729"/>
      <c r="DC118" s="17"/>
      <c r="DE118" s="12"/>
      <c r="DG118" s="162"/>
      <c r="DH118" s="181"/>
      <c r="DI118" s="181"/>
      <c r="DJ118" s="181"/>
      <c r="DK118" s="14"/>
      <c r="DL118" s="12"/>
      <c r="DM118" s="12"/>
      <c r="DN118" s="12"/>
      <c r="DO118" s="13"/>
      <c r="DP118" s="181">
        <v>1300</v>
      </c>
      <c r="DQ118" s="181">
        <v>1090</v>
      </c>
      <c r="DR118" s="181"/>
      <c r="DS118" s="783"/>
      <c r="DT118" s="162"/>
      <c r="DX118" s="163"/>
      <c r="DY118" s="162"/>
      <c r="EC118" s="162"/>
      <c r="EF118" s="163"/>
      <c r="EK118" s="163"/>
      <c r="EL118" s="162"/>
      <c r="EO118" s="163"/>
      <c r="EP118" s="162"/>
      <c r="ET118" s="163"/>
      <c r="EU118" s="162"/>
      <c r="EX118" s="163"/>
      <c r="EY118" s="162"/>
      <c r="FB118" s="163"/>
    </row>
    <row r="119" spans="1:158" ht="21" customHeight="1" thickBot="1" x14ac:dyDescent="0.25">
      <c r="A119" s="1186"/>
      <c r="B119" s="249" t="s">
        <v>205</v>
      </c>
      <c r="C119" s="249" t="s">
        <v>148</v>
      </c>
      <c r="D119" s="249"/>
      <c r="E119" s="1187"/>
      <c r="F119" s="249" t="s">
        <v>74</v>
      </c>
      <c r="G119" s="773">
        <v>1148</v>
      </c>
      <c r="H119" s="11">
        <f t="shared" si="4"/>
        <v>1148</v>
      </c>
      <c r="I119" s="774">
        <f t="shared" si="3"/>
        <v>0</v>
      </c>
      <c r="P119" s="14"/>
      <c r="T119" s="123"/>
      <c r="U119" s="61"/>
      <c r="V119" s="123"/>
      <c r="W119" s="123"/>
      <c r="X119" s="19"/>
      <c r="Y119" s="123"/>
      <c r="Z119" s="123"/>
      <c r="AA119" s="61"/>
      <c r="AB119" s="123"/>
      <c r="AC119" s="61"/>
      <c r="AD119" s="123"/>
      <c r="AE119" s="123"/>
      <c r="AF119" s="19"/>
      <c r="AG119" s="123"/>
      <c r="AH119" s="123"/>
      <c r="AI119" s="124"/>
      <c r="AJ119" s="124"/>
      <c r="AK119" s="70"/>
      <c r="AL119" s="124"/>
      <c r="AM119" s="123"/>
      <c r="AN119" s="123"/>
      <c r="AO119" s="19"/>
      <c r="AP119" s="123"/>
      <c r="AQ119" s="123"/>
      <c r="AR119" s="123"/>
      <c r="AS119" s="123"/>
      <c r="AT119" s="61"/>
      <c r="AU119" s="123"/>
      <c r="AV119" s="741"/>
      <c r="AW119" s="741"/>
      <c r="AX119" s="108"/>
      <c r="AY119" s="63"/>
      <c r="AZ119" s="125"/>
      <c r="BA119" s="125"/>
      <c r="BB119" s="64"/>
      <c r="BC119" s="63"/>
      <c r="BD119" s="73"/>
      <c r="BE119" s="74"/>
      <c r="BF119" s="75"/>
      <c r="BG119" s="73"/>
      <c r="BH119" s="74"/>
      <c r="BI119" s="74"/>
      <c r="BJ119" s="75"/>
      <c r="BK119" s="74"/>
      <c r="BL119" s="74"/>
      <c r="BM119" s="73"/>
      <c r="BN119" s="74"/>
      <c r="BO119" s="75"/>
      <c r="BP119" s="74"/>
      <c r="BQ119" s="74"/>
      <c r="BR119" s="63"/>
      <c r="BS119" s="108"/>
      <c r="BT119" s="67"/>
      <c r="BU119" s="108"/>
      <c r="BV119" s="108"/>
      <c r="BW119" s="743"/>
      <c r="BX119" s="61"/>
      <c r="BY119" s="108"/>
      <c r="BZ119" s="108"/>
      <c r="CA119" s="108"/>
      <c r="CB119" s="123"/>
      <c r="CC119" s="14"/>
      <c r="CE119" s="12"/>
      <c r="CF119" s="12"/>
      <c r="CG119" s="17"/>
      <c r="CH119" s="181"/>
      <c r="CI119" s="12"/>
      <c r="CJ119" s="181"/>
      <c r="CK119" s="729"/>
      <c r="CL119" s="752"/>
      <c r="CO119" s="18"/>
      <c r="CS119" s="18"/>
      <c r="CT119" s="342"/>
      <c r="CV119" s="181"/>
      <c r="CW119" s="181"/>
      <c r="CX119" s="18"/>
      <c r="CY119" s="247"/>
      <c r="DA119" s="181"/>
      <c r="DB119" s="729"/>
      <c r="DC119" s="17"/>
      <c r="DE119" s="12"/>
      <c r="DG119" s="162"/>
      <c r="DH119" s="181"/>
      <c r="DI119" s="181"/>
      <c r="DJ119" s="181"/>
      <c r="DK119" s="14"/>
      <c r="DL119" s="12"/>
      <c r="DM119" s="12"/>
      <c r="DN119" s="12"/>
      <c r="DO119" s="13"/>
      <c r="DP119" s="181"/>
      <c r="DQ119" s="181">
        <v>1148</v>
      </c>
      <c r="DR119" s="181"/>
      <c r="DS119" s="783"/>
      <c r="DT119" s="162"/>
      <c r="DX119" s="163"/>
      <c r="DY119" s="162"/>
      <c r="EC119" s="162"/>
      <c r="EF119" s="163"/>
      <c r="EK119" s="163"/>
      <c r="EL119" s="162"/>
      <c r="EO119" s="163"/>
      <c r="EP119" s="162"/>
      <c r="ET119" s="163"/>
      <c r="EU119" s="162"/>
      <c r="EX119" s="163"/>
      <c r="EY119" s="162"/>
      <c r="FB119" s="163"/>
    </row>
    <row r="120" spans="1:158" ht="21" customHeight="1" thickBot="1" x14ac:dyDescent="0.25">
      <c r="A120" s="1186"/>
      <c r="B120" s="249" t="s">
        <v>206</v>
      </c>
      <c r="C120" s="249" t="s">
        <v>167</v>
      </c>
      <c r="D120" s="249"/>
      <c r="E120" s="1187"/>
      <c r="F120" s="249" t="s">
        <v>74</v>
      </c>
      <c r="G120" s="773">
        <v>1029</v>
      </c>
      <c r="H120" s="11">
        <f t="shared" si="4"/>
        <v>1029</v>
      </c>
      <c r="I120" s="774">
        <f t="shared" si="3"/>
        <v>0</v>
      </c>
      <c r="P120" s="14"/>
      <c r="T120" s="123"/>
      <c r="U120" s="61"/>
      <c r="V120" s="123"/>
      <c r="W120" s="123"/>
      <c r="X120" s="19"/>
      <c r="Y120" s="123"/>
      <c r="Z120" s="123"/>
      <c r="AA120" s="61"/>
      <c r="AB120" s="123"/>
      <c r="AC120" s="61"/>
      <c r="AD120" s="123"/>
      <c r="AE120" s="123"/>
      <c r="AF120" s="19"/>
      <c r="AG120" s="123"/>
      <c r="AH120" s="123"/>
      <c r="AI120" s="124"/>
      <c r="AJ120" s="124"/>
      <c r="AK120" s="70"/>
      <c r="AL120" s="124"/>
      <c r="AM120" s="123"/>
      <c r="AN120" s="123"/>
      <c r="AO120" s="19"/>
      <c r="AP120" s="123"/>
      <c r="AQ120" s="123"/>
      <c r="AR120" s="123"/>
      <c r="AS120" s="123"/>
      <c r="AT120" s="61"/>
      <c r="AU120" s="123"/>
      <c r="AV120" s="741"/>
      <c r="AW120" s="741"/>
      <c r="AX120" s="108"/>
      <c r="AY120" s="63"/>
      <c r="AZ120" s="125"/>
      <c r="BA120" s="125"/>
      <c r="BB120" s="64"/>
      <c r="BC120" s="63"/>
      <c r="BD120" s="73"/>
      <c r="BE120" s="74"/>
      <c r="BF120" s="75"/>
      <c r="BG120" s="73"/>
      <c r="BH120" s="74"/>
      <c r="BI120" s="74"/>
      <c r="BJ120" s="75"/>
      <c r="BK120" s="74"/>
      <c r="BL120" s="74"/>
      <c r="BM120" s="73"/>
      <c r="BN120" s="74"/>
      <c r="BO120" s="75"/>
      <c r="BP120" s="74"/>
      <c r="BQ120" s="74"/>
      <c r="BR120" s="63"/>
      <c r="BS120" s="108"/>
      <c r="BT120" s="67"/>
      <c r="BU120" s="108"/>
      <c r="BV120" s="108"/>
      <c r="BW120" s="743"/>
      <c r="BX120" s="61"/>
      <c r="BY120" s="108"/>
      <c r="BZ120" s="108"/>
      <c r="CA120" s="108"/>
      <c r="CB120" s="123"/>
      <c r="CC120" s="14"/>
      <c r="CE120" s="12"/>
      <c r="CF120" s="12"/>
      <c r="CG120" s="17"/>
      <c r="CH120" s="181"/>
      <c r="CI120" s="12"/>
      <c r="CJ120" s="181"/>
      <c r="CK120" s="729"/>
      <c r="CL120" s="752"/>
      <c r="CO120" s="18"/>
      <c r="CS120" s="18"/>
      <c r="CT120" s="342"/>
      <c r="CV120" s="181"/>
      <c r="CW120" s="181"/>
      <c r="CX120" s="18"/>
      <c r="CY120" s="247"/>
      <c r="DA120" s="181"/>
      <c r="DB120" s="729"/>
      <c r="DC120" s="17"/>
      <c r="DE120" s="12"/>
      <c r="DG120" s="162"/>
      <c r="DH120" s="181"/>
      <c r="DI120" s="181"/>
      <c r="DJ120" s="181"/>
      <c r="DK120" s="14"/>
      <c r="DL120" s="12"/>
      <c r="DM120" s="12"/>
      <c r="DN120" s="12"/>
      <c r="DO120" s="13"/>
      <c r="DP120" s="181"/>
      <c r="DQ120" s="181">
        <v>500</v>
      </c>
      <c r="DR120" s="181">
        <v>529</v>
      </c>
      <c r="DS120" s="783"/>
      <c r="DT120" s="162"/>
      <c r="DX120" s="163"/>
      <c r="DY120" s="162"/>
      <c r="EC120" s="162"/>
      <c r="EF120" s="163"/>
      <c r="EK120" s="163"/>
      <c r="EL120" s="162"/>
      <c r="EO120" s="163"/>
      <c r="EP120" s="162"/>
      <c r="ET120" s="163"/>
      <c r="EU120" s="162"/>
      <c r="EX120" s="163"/>
      <c r="EY120" s="162"/>
      <c r="FB120" s="163"/>
    </row>
    <row r="121" spans="1:158" ht="21" customHeight="1" thickBot="1" x14ac:dyDescent="0.25">
      <c r="A121" s="1186"/>
      <c r="B121" s="249" t="s">
        <v>194</v>
      </c>
      <c r="C121" s="249" t="s">
        <v>181</v>
      </c>
      <c r="D121" s="249"/>
      <c r="E121" s="1187"/>
      <c r="F121" s="249" t="s">
        <v>74</v>
      </c>
      <c r="G121" s="773">
        <v>600</v>
      </c>
      <c r="H121" s="11">
        <f t="shared" si="4"/>
        <v>600</v>
      </c>
      <c r="I121" s="774">
        <f t="shared" si="3"/>
        <v>0</v>
      </c>
      <c r="P121" s="14"/>
      <c r="T121" s="123"/>
      <c r="U121" s="61"/>
      <c r="V121" s="123"/>
      <c r="W121" s="123"/>
      <c r="X121" s="19"/>
      <c r="Y121" s="123"/>
      <c r="Z121" s="123"/>
      <c r="AA121" s="61"/>
      <c r="AB121" s="123"/>
      <c r="AC121" s="61"/>
      <c r="AD121" s="123"/>
      <c r="AE121" s="123"/>
      <c r="AF121" s="19"/>
      <c r="AG121" s="123"/>
      <c r="AH121" s="123"/>
      <c r="AI121" s="124"/>
      <c r="AJ121" s="124"/>
      <c r="AK121" s="70"/>
      <c r="AL121" s="124"/>
      <c r="AM121" s="123"/>
      <c r="AN121" s="123"/>
      <c r="AO121" s="19"/>
      <c r="AP121" s="123"/>
      <c r="AQ121" s="123"/>
      <c r="AR121" s="123"/>
      <c r="AS121" s="123"/>
      <c r="AT121" s="61"/>
      <c r="AU121" s="123"/>
      <c r="AV121" s="741"/>
      <c r="AW121" s="741"/>
      <c r="AX121" s="108"/>
      <c r="AY121" s="63"/>
      <c r="AZ121" s="125"/>
      <c r="BA121" s="125"/>
      <c r="BB121" s="64"/>
      <c r="BC121" s="63"/>
      <c r="BD121" s="73"/>
      <c r="BE121" s="74"/>
      <c r="BF121" s="75"/>
      <c r="BG121" s="73"/>
      <c r="BH121" s="74"/>
      <c r="BI121" s="74"/>
      <c r="BJ121" s="75"/>
      <c r="BK121" s="74"/>
      <c r="BL121" s="74"/>
      <c r="BM121" s="73"/>
      <c r="BN121" s="74"/>
      <c r="BO121" s="75"/>
      <c r="BP121" s="74"/>
      <c r="BQ121" s="74"/>
      <c r="BR121" s="63"/>
      <c r="BS121" s="108"/>
      <c r="BT121" s="67"/>
      <c r="BU121" s="108"/>
      <c r="BV121" s="108"/>
      <c r="BW121" s="743"/>
      <c r="BX121" s="61"/>
      <c r="BY121" s="108"/>
      <c r="BZ121" s="108"/>
      <c r="CA121" s="108"/>
      <c r="CB121" s="123"/>
      <c r="CC121" s="14"/>
      <c r="CE121" s="12"/>
      <c r="CF121" s="12"/>
      <c r="CG121" s="17"/>
      <c r="CH121" s="181"/>
      <c r="CI121" s="12"/>
      <c r="CJ121" s="181"/>
      <c r="CK121" s="729"/>
      <c r="CL121" s="752"/>
      <c r="CO121" s="18"/>
      <c r="CS121" s="18"/>
      <c r="CT121" s="342"/>
      <c r="CV121" s="181"/>
      <c r="CW121" s="181"/>
      <c r="CX121" s="18"/>
      <c r="CY121" s="247"/>
      <c r="DA121" s="181"/>
      <c r="DB121" s="729"/>
      <c r="DC121" s="17"/>
      <c r="DE121" s="12"/>
      <c r="DG121" s="162"/>
      <c r="DH121" s="181"/>
      <c r="DI121" s="181"/>
      <c r="DJ121" s="181"/>
      <c r="DK121" s="14"/>
      <c r="DL121" s="12"/>
      <c r="DM121" s="12"/>
      <c r="DN121" s="12"/>
      <c r="DO121" s="13"/>
      <c r="DP121" s="181"/>
      <c r="DQ121" s="181"/>
      <c r="DR121" s="181">
        <v>600</v>
      </c>
      <c r="DS121" s="783"/>
      <c r="DT121" s="162"/>
      <c r="DX121" s="163"/>
      <c r="DY121" s="162"/>
      <c r="EC121" s="162"/>
      <c r="EF121" s="163"/>
      <c r="EK121" s="163"/>
      <c r="EL121" s="162"/>
      <c r="EO121" s="163"/>
      <c r="EP121" s="162"/>
      <c r="ET121" s="163"/>
      <c r="EU121" s="162"/>
      <c r="EX121" s="163"/>
      <c r="EY121" s="162"/>
      <c r="FB121" s="163"/>
    </row>
    <row r="122" spans="1:158" ht="21" customHeight="1" thickBot="1" x14ac:dyDescent="0.25">
      <c r="A122" s="1186"/>
      <c r="B122" s="249" t="s">
        <v>170</v>
      </c>
      <c r="C122" s="249" t="s">
        <v>171</v>
      </c>
      <c r="D122" s="249"/>
      <c r="E122" s="1187"/>
      <c r="F122" s="249" t="s">
        <v>74</v>
      </c>
      <c r="G122" s="773">
        <v>600</v>
      </c>
      <c r="H122" s="11">
        <f t="shared" si="4"/>
        <v>600</v>
      </c>
      <c r="I122" s="774">
        <f t="shared" si="3"/>
        <v>0</v>
      </c>
      <c r="P122" s="14"/>
      <c r="T122" s="123"/>
      <c r="U122" s="61"/>
      <c r="V122" s="123"/>
      <c r="W122" s="123"/>
      <c r="X122" s="19"/>
      <c r="Y122" s="123"/>
      <c r="Z122" s="123"/>
      <c r="AA122" s="61"/>
      <c r="AB122" s="123"/>
      <c r="AC122" s="61"/>
      <c r="AD122" s="123"/>
      <c r="AE122" s="123"/>
      <c r="AF122" s="19"/>
      <c r="AG122" s="123"/>
      <c r="AH122" s="123"/>
      <c r="AI122" s="124"/>
      <c r="AJ122" s="124"/>
      <c r="AK122" s="70"/>
      <c r="AL122" s="124"/>
      <c r="AM122" s="123"/>
      <c r="AN122" s="123"/>
      <c r="AO122" s="19"/>
      <c r="AP122" s="123"/>
      <c r="AQ122" s="123"/>
      <c r="AR122" s="123"/>
      <c r="AS122" s="123"/>
      <c r="AT122" s="61"/>
      <c r="AU122" s="123"/>
      <c r="AV122" s="741"/>
      <c r="AW122" s="741"/>
      <c r="AX122" s="108"/>
      <c r="AY122" s="63"/>
      <c r="AZ122" s="125"/>
      <c r="BA122" s="125"/>
      <c r="BB122" s="64"/>
      <c r="BC122" s="63"/>
      <c r="BD122" s="73"/>
      <c r="BE122" s="74"/>
      <c r="BF122" s="75"/>
      <c r="BG122" s="73"/>
      <c r="BH122" s="74"/>
      <c r="BI122" s="74"/>
      <c r="BJ122" s="75"/>
      <c r="BK122" s="74"/>
      <c r="BL122" s="74"/>
      <c r="BM122" s="73"/>
      <c r="BN122" s="74"/>
      <c r="BO122" s="75"/>
      <c r="BP122" s="74"/>
      <c r="BQ122" s="74"/>
      <c r="BR122" s="63"/>
      <c r="BS122" s="108"/>
      <c r="BT122" s="67"/>
      <c r="BU122" s="108"/>
      <c r="BV122" s="108"/>
      <c r="BW122" s="743"/>
      <c r="BX122" s="61"/>
      <c r="BY122" s="108"/>
      <c r="BZ122" s="108"/>
      <c r="CA122" s="108"/>
      <c r="CB122" s="123"/>
      <c r="CC122" s="14"/>
      <c r="CE122" s="12"/>
      <c r="CF122" s="12"/>
      <c r="CG122" s="17"/>
      <c r="CH122" s="181"/>
      <c r="CI122" s="12"/>
      <c r="CJ122" s="181"/>
      <c r="CK122" s="729"/>
      <c r="CL122" s="752"/>
      <c r="CO122" s="18"/>
      <c r="CS122" s="18"/>
      <c r="CT122" s="342"/>
      <c r="CV122" s="181"/>
      <c r="CW122" s="181"/>
      <c r="CX122" s="18"/>
      <c r="CY122" s="247"/>
      <c r="DA122" s="181"/>
      <c r="DB122" s="729"/>
      <c r="DC122" s="17"/>
      <c r="DE122" s="12"/>
      <c r="DG122" s="162"/>
      <c r="DH122" s="181"/>
      <c r="DI122" s="181"/>
      <c r="DJ122" s="181"/>
      <c r="DK122" s="14"/>
      <c r="DL122" s="12"/>
      <c r="DM122" s="12"/>
      <c r="DN122" s="12"/>
      <c r="DO122" s="13"/>
      <c r="DP122" s="181"/>
      <c r="DQ122" s="181"/>
      <c r="DR122" s="181">
        <v>600</v>
      </c>
      <c r="DS122" s="783"/>
      <c r="DT122" s="162"/>
      <c r="DX122" s="163"/>
      <c r="DY122" s="162"/>
      <c r="EC122" s="162"/>
      <c r="EF122" s="163"/>
      <c r="EK122" s="163"/>
      <c r="EL122" s="162"/>
      <c r="EO122" s="163"/>
      <c r="EP122" s="162"/>
      <c r="ET122" s="163"/>
      <c r="EU122" s="162"/>
      <c r="EX122" s="163"/>
      <c r="EY122" s="162"/>
      <c r="FB122" s="163"/>
    </row>
    <row r="123" spans="1:158" ht="21" customHeight="1" thickBot="1" x14ac:dyDescent="0.25">
      <c r="A123" s="1186"/>
      <c r="B123" s="249" t="s">
        <v>195</v>
      </c>
      <c r="C123" s="249" t="s">
        <v>95</v>
      </c>
      <c r="D123" s="249"/>
      <c r="E123" s="1187"/>
      <c r="F123" s="249" t="s">
        <v>74</v>
      </c>
      <c r="G123" s="773">
        <v>600</v>
      </c>
      <c r="H123" s="11">
        <f t="shared" si="4"/>
        <v>600</v>
      </c>
      <c r="I123" s="774">
        <f>G123-H123</f>
        <v>0</v>
      </c>
      <c r="P123" s="14"/>
      <c r="T123" s="123"/>
      <c r="U123" s="61"/>
      <c r="V123" s="123"/>
      <c r="W123" s="123"/>
      <c r="X123" s="19"/>
      <c r="Y123" s="123"/>
      <c r="Z123" s="123"/>
      <c r="AA123" s="61"/>
      <c r="AB123" s="123"/>
      <c r="AC123" s="61"/>
      <c r="AD123" s="123"/>
      <c r="AE123" s="123"/>
      <c r="AF123" s="19"/>
      <c r="AG123" s="123"/>
      <c r="AH123" s="123"/>
      <c r="AI123" s="124"/>
      <c r="AJ123" s="124"/>
      <c r="AK123" s="70"/>
      <c r="AL123" s="124"/>
      <c r="AM123" s="123"/>
      <c r="AN123" s="123"/>
      <c r="AO123" s="19"/>
      <c r="AP123" s="123"/>
      <c r="AQ123" s="123"/>
      <c r="AR123" s="123"/>
      <c r="AS123" s="123"/>
      <c r="AT123" s="61"/>
      <c r="AU123" s="123"/>
      <c r="AV123" s="741"/>
      <c r="AW123" s="741"/>
      <c r="AX123" s="108"/>
      <c r="AY123" s="63"/>
      <c r="AZ123" s="125"/>
      <c r="BA123" s="125"/>
      <c r="BB123" s="64"/>
      <c r="BC123" s="63"/>
      <c r="BD123" s="73"/>
      <c r="BE123" s="74"/>
      <c r="BF123" s="75"/>
      <c r="BG123" s="73"/>
      <c r="BH123" s="74"/>
      <c r="BI123" s="74"/>
      <c r="BJ123" s="75"/>
      <c r="BK123" s="74"/>
      <c r="BL123" s="74"/>
      <c r="BM123" s="73"/>
      <c r="BN123" s="74"/>
      <c r="BO123" s="75"/>
      <c r="BP123" s="74"/>
      <c r="BQ123" s="74"/>
      <c r="BR123" s="63"/>
      <c r="BS123" s="108"/>
      <c r="BT123" s="67"/>
      <c r="BU123" s="108"/>
      <c r="BV123" s="108"/>
      <c r="BW123" s="743"/>
      <c r="BX123" s="61"/>
      <c r="BY123" s="108"/>
      <c r="BZ123" s="108"/>
      <c r="CA123" s="108"/>
      <c r="CB123" s="123"/>
      <c r="CC123" s="14"/>
      <c r="CE123" s="12"/>
      <c r="CF123" s="12"/>
      <c r="CG123" s="17"/>
      <c r="CH123" s="181"/>
      <c r="CI123" s="12"/>
      <c r="CJ123" s="181"/>
      <c r="CK123" s="729"/>
      <c r="CL123" s="752"/>
      <c r="CO123" s="18"/>
      <c r="CS123" s="18"/>
      <c r="CT123" s="342"/>
      <c r="CV123" s="181"/>
      <c r="CW123" s="181"/>
      <c r="CX123" s="18"/>
      <c r="CY123" s="247"/>
      <c r="DA123" s="181"/>
      <c r="DB123" s="729"/>
      <c r="DC123" s="17"/>
      <c r="DE123" s="12"/>
      <c r="DG123" s="162"/>
      <c r="DH123" s="181"/>
      <c r="DI123" s="181"/>
      <c r="DJ123" s="181"/>
      <c r="DK123" s="14"/>
      <c r="DL123" s="12"/>
      <c r="DM123" s="12"/>
      <c r="DN123" s="12"/>
      <c r="DO123" s="13"/>
      <c r="DP123" s="181"/>
      <c r="DQ123" s="181"/>
      <c r="DR123" s="181">
        <v>600</v>
      </c>
      <c r="DS123" s="783"/>
      <c r="DT123" s="162"/>
      <c r="DX123" s="163"/>
      <c r="DY123" s="162"/>
      <c r="EC123" s="162"/>
      <c r="EF123" s="163"/>
      <c r="EK123" s="163"/>
      <c r="EL123" s="162"/>
      <c r="EO123" s="163"/>
      <c r="EP123" s="162"/>
      <c r="ET123" s="163"/>
      <c r="EU123" s="162"/>
      <c r="EX123" s="163"/>
      <c r="EY123" s="162"/>
      <c r="FB123" s="163"/>
    </row>
    <row r="124" spans="1:158" ht="21" customHeight="1" thickBot="1" x14ac:dyDescent="0.25">
      <c r="A124" s="1186" t="s">
        <v>207</v>
      </c>
      <c r="B124" s="249"/>
      <c r="C124" s="249"/>
      <c r="D124" s="249"/>
      <c r="E124" s="1187">
        <f>+E118</f>
        <v>46174</v>
      </c>
      <c r="F124" s="249"/>
      <c r="G124" s="773"/>
      <c r="H124" s="11"/>
      <c r="I124" s="774">
        <f t="shared" si="3"/>
        <v>0</v>
      </c>
      <c r="P124" s="14"/>
      <c r="T124" s="123"/>
      <c r="U124" s="61"/>
      <c r="V124" s="123"/>
      <c r="W124" s="123"/>
      <c r="X124" s="19"/>
      <c r="Y124" s="123"/>
      <c r="Z124" s="123"/>
      <c r="AA124" s="61"/>
      <c r="AB124" s="123"/>
      <c r="AC124" s="61"/>
      <c r="AD124" s="123"/>
      <c r="AE124" s="123"/>
      <c r="AF124" s="19"/>
      <c r="AG124" s="123"/>
      <c r="AH124" s="123"/>
      <c r="AI124" s="124"/>
      <c r="AJ124" s="124"/>
      <c r="AK124" s="70"/>
      <c r="AL124" s="124"/>
      <c r="AM124" s="123"/>
      <c r="AN124" s="123"/>
      <c r="AO124" s="19"/>
      <c r="AP124" s="123"/>
      <c r="AQ124" s="123"/>
      <c r="AR124" s="123"/>
      <c r="AS124" s="123"/>
      <c r="AT124" s="61"/>
      <c r="AU124" s="123"/>
      <c r="AV124" s="741"/>
      <c r="AW124" s="741"/>
      <c r="AX124" s="108"/>
      <c r="AY124" s="63"/>
      <c r="AZ124" s="125"/>
      <c r="BA124" s="125"/>
      <c r="BB124" s="64"/>
      <c r="BC124" s="63"/>
      <c r="BD124" s="73"/>
      <c r="BE124" s="74"/>
      <c r="BF124" s="75"/>
      <c r="BG124" s="73"/>
      <c r="BH124" s="74"/>
      <c r="BI124" s="74"/>
      <c r="BJ124" s="75"/>
      <c r="BK124" s="74"/>
      <c r="BL124" s="74"/>
      <c r="BM124" s="73"/>
      <c r="BN124" s="74"/>
      <c r="BO124" s="75"/>
      <c r="BP124" s="74"/>
      <c r="BQ124" s="74"/>
      <c r="BR124" s="63"/>
      <c r="BS124" s="108"/>
      <c r="BT124" s="67"/>
      <c r="BU124" s="108"/>
      <c r="BV124" s="108"/>
      <c r="BW124" s="743"/>
      <c r="BX124" s="61"/>
      <c r="BY124" s="108"/>
      <c r="BZ124" s="108"/>
      <c r="CA124" s="108"/>
      <c r="CB124" s="123"/>
      <c r="CC124" s="14"/>
      <c r="CE124" s="12"/>
      <c r="CF124" s="12"/>
      <c r="CG124" s="17"/>
      <c r="CH124" s="181"/>
      <c r="CI124" s="12"/>
      <c r="CJ124" s="181"/>
      <c r="CK124" s="729"/>
      <c r="CL124" s="752"/>
      <c r="CO124" s="18"/>
      <c r="CS124" s="18"/>
      <c r="CT124" s="342"/>
      <c r="CV124" s="181"/>
      <c r="CW124" s="181"/>
      <c r="CX124" s="18"/>
      <c r="CY124" s="247"/>
      <c r="DA124" s="181"/>
      <c r="DB124" s="729"/>
      <c r="DC124" s="17"/>
      <c r="DE124" s="12"/>
      <c r="DG124" s="162"/>
      <c r="DH124" s="181"/>
      <c r="DI124" s="181"/>
      <c r="DJ124" s="181"/>
      <c r="DK124" s="14"/>
      <c r="DL124" s="12"/>
      <c r="DM124" s="12"/>
      <c r="DN124" s="12"/>
      <c r="DO124" s="13"/>
      <c r="DP124" s="181"/>
      <c r="DQ124" s="181"/>
      <c r="DR124" s="181"/>
      <c r="DS124" s="783"/>
      <c r="DT124" s="162"/>
      <c r="DX124" s="163"/>
      <c r="DY124" s="162"/>
      <c r="EC124" s="162"/>
      <c r="EF124" s="163"/>
      <c r="EK124" s="163"/>
      <c r="EL124" s="162"/>
      <c r="EO124" s="163"/>
      <c r="EP124" s="162"/>
      <c r="ET124" s="163"/>
      <c r="EU124" s="162"/>
      <c r="EX124" s="163"/>
      <c r="EY124" s="162"/>
      <c r="FB124" s="163"/>
    </row>
    <row r="125" spans="1:158" ht="21" customHeight="1" thickBot="1" x14ac:dyDescent="0.25">
      <c r="A125" s="1188"/>
      <c r="B125" s="246" t="s">
        <v>15</v>
      </c>
      <c r="C125" s="249" t="s">
        <v>197</v>
      </c>
      <c r="D125" s="249"/>
      <c r="E125" s="1189"/>
      <c r="F125" s="249" t="s">
        <v>15</v>
      </c>
      <c r="G125" s="773"/>
      <c r="H125" s="11">
        <f t="shared" si="4"/>
        <v>0</v>
      </c>
      <c r="I125" s="774">
        <f t="shared" si="3"/>
        <v>0</v>
      </c>
      <c r="P125" s="14"/>
      <c r="T125" s="123"/>
      <c r="U125" s="61"/>
      <c r="V125" s="123"/>
      <c r="W125" s="123"/>
      <c r="X125" s="19"/>
      <c r="Y125" s="123"/>
      <c r="Z125" s="123"/>
      <c r="AA125" s="61"/>
      <c r="AB125" s="123"/>
      <c r="AC125" s="61"/>
      <c r="AD125" s="123"/>
      <c r="AE125" s="123"/>
      <c r="AF125" s="19"/>
      <c r="AG125" s="123"/>
      <c r="AH125" s="123"/>
      <c r="AI125" s="124"/>
      <c r="AJ125" s="124"/>
      <c r="AK125" s="70"/>
      <c r="AL125" s="124"/>
      <c r="AM125" s="123"/>
      <c r="AN125" s="123"/>
      <c r="AO125" s="19"/>
      <c r="AP125" s="123"/>
      <c r="AQ125" s="123"/>
      <c r="AR125" s="123"/>
      <c r="AS125" s="123"/>
      <c r="AT125" s="61"/>
      <c r="AU125" s="123"/>
      <c r="AV125" s="741"/>
      <c r="AW125" s="741"/>
      <c r="AX125" s="108"/>
      <c r="AY125" s="63"/>
      <c r="AZ125" s="125"/>
      <c r="BA125" s="125"/>
      <c r="BB125" s="64"/>
      <c r="BC125" s="63"/>
      <c r="BD125" s="73"/>
      <c r="BE125" s="74"/>
      <c r="BF125" s="75"/>
      <c r="BG125" s="73"/>
      <c r="BH125" s="74"/>
      <c r="BI125" s="74"/>
      <c r="BJ125" s="75"/>
      <c r="BK125" s="74"/>
      <c r="BL125" s="74"/>
      <c r="BM125" s="73"/>
      <c r="BN125" s="74"/>
      <c r="BO125" s="75"/>
      <c r="BP125" s="74"/>
      <c r="BQ125" s="74"/>
      <c r="BR125" s="63"/>
      <c r="BS125" s="108"/>
      <c r="BT125" s="67"/>
      <c r="BU125" s="108"/>
      <c r="BV125" s="108"/>
      <c r="BW125" s="743"/>
      <c r="BX125" s="61"/>
      <c r="BY125" s="108"/>
      <c r="BZ125" s="108"/>
      <c r="CA125" s="108"/>
      <c r="CB125" s="123"/>
      <c r="CC125" s="14"/>
      <c r="CE125" s="12"/>
      <c r="CF125" s="12"/>
      <c r="CG125" s="17"/>
      <c r="CH125" s="181"/>
      <c r="CI125" s="12"/>
      <c r="CJ125" s="181"/>
      <c r="CK125" s="729"/>
      <c r="CL125" s="752"/>
      <c r="CO125" s="18"/>
      <c r="CS125" s="18"/>
      <c r="CT125" s="342"/>
      <c r="CV125" s="181"/>
      <c r="CW125" s="181"/>
      <c r="CX125" s="18"/>
      <c r="CY125" s="247"/>
      <c r="DA125" s="181"/>
      <c r="DB125" s="729"/>
      <c r="DC125" s="17"/>
      <c r="DE125" s="12"/>
      <c r="DG125" s="162"/>
      <c r="DH125" s="181"/>
      <c r="DI125" s="181"/>
      <c r="DJ125" s="181"/>
      <c r="DK125" s="14"/>
      <c r="DL125" s="12"/>
      <c r="DM125" s="12"/>
      <c r="DN125" s="12"/>
      <c r="DO125" s="13"/>
      <c r="DP125" s="181"/>
      <c r="DQ125" s="181"/>
      <c r="DR125" s="181"/>
      <c r="DS125" s="783"/>
      <c r="DT125" s="763"/>
      <c r="DU125" s="12"/>
      <c r="DV125" s="12"/>
      <c r="DW125" s="12"/>
      <c r="DX125" s="768"/>
      <c r="DY125" s="763"/>
      <c r="DZ125" s="12"/>
      <c r="EA125" s="12"/>
      <c r="EB125" s="12"/>
      <c r="EC125" s="763"/>
      <c r="ED125" s="12"/>
      <c r="EE125" s="12"/>
      <c r="EF125" s="768"/>
      <c r="EG125" s="12"/>
      <c r="EH125" s="12"/>
      <c r="EI125" s="12"/>
      <c r="EJ125" s="12"/>
      <c r="EK125" s="768"/>
      <c r="EL125" s="162"/>
      <c r="EO125" s="163"/>
      <c r="EP125" s="162"/>
      <c r="ET125" s="163"/>
      <c r="EU125" s="162"/>
      <c r="EX125" s="163"/>
      <c r="EY125" s="162"/>
      <c r="FB125" s="163"/>
    </row>
    <row r="126" spans="1:158" ht="21" customHeight="1" thickBot="1" x14ac:dyDescent="0.25">
      <c r="A126" s="1188"/>
      <c r="B126" s="436" t="s">
        <v>29</v>
      </c>
      <c r="C126" s="249" t="s">
        <v>29</v>
      </c>
      <c r="D126" s="249"/>
      <c r="E126" s="1189"/>
      <c r="F126" s="358" t="s">
        <v>29</v>
      </c>
      <c r="G126" s="773">
        <v>750</v>
      </c>
      <c r="H126" s="11">
        <f t="shared" si="4"/>
        <v>750</v>
      </c>
      <c r="I126" s="774">
        <f t="shared" si="3"/>
        <v>0</v>
      </c>
      <c r="P126" s="14"/>
      <c r="T126" s="123"/>
      <c r="U126" s="61"/>
      <c r="V126" s="123"/>
      <c r="W126" s="123"/>
      <c r="X126" s="19"/>
      <c r="Y126" s="123"/>
      <c r="Z126" s="123"/>
      <c r="AA126" s="61"/>
      <c r="AB126" s="123"/>
      <c r="AC126" s="61"/>
      <c r="AD126" s="123"/>
      <c r="AE126" s="123"/>
      <c r="AF126" s="19"/>
      <c r="AG126" s="123"/>
      <c r="AH126" s="123"/>
      <c r="AI126" s="124"/>
      <c r="AJ126" s="124"/>
      <c r="AK126" s="70"/>
      <c r="AL126" s="124"/>
      <c r="AM126" s="123"/>
      <c r="AN126" s="123"/>
      <c r="AO126" s="19"/>
      <c r="AP126" s="123"/>
      <c r="AQ126" s="123"/>
      <c r="AR126" s="123"/>
      <c r="AS126" s="123"/>
      <c r="AT126" s="61"/>
      <c r="AU126" s="123"/>
      <c r="AV126" s="741"/>
      <c r="AW126" s="741"/>
      <c r="AX126" s="108"/>
      <c r="AY126" s="63"/>
      <c r="AZ126" s="125"/>
      <c r="BA126" s="125"/>
      <c r="BB126" s="64"/>
      <c r="BC126" s="63"/>
      <c r="BD126" s="73"/>
      <c r="BE126" s="74"/>
      <c r="BF126" s="75"/>
      <c r="BG126" s="73"/>
      <c r="BH126" s="74"/>
      <c r="BI126" s="74"/>
      <c r="BJ126" s="75"/>
      <c r="BK126" s="74"/>
      <c r="BL126" s="74"/>
      <c r="BM126" s="73"/>
      <c r="BN126" s="74"/>
      <c r="BO126" s="75"/>
      <c r="BP126" s="74"/>
      <c r="BQ126" s="74"/>
      <c r="BR126" s="63"/>
      <c r="BS126" s="108"/>
      <c r="BT126" s="67"/>
      <c r="BU126" s="108"/>
      <c r="BV126" s="108"/>
      <c r="BW126" s="743"/>
      <c r="BX126" s="61"/>
      <c r="BY126" s="108"/>
      <c r="BZ126" s="108"/>
      <c r="CA126" s="108"/>
      <c r="CB126" s="123"/>
      <c r="CC126" s="14"/>
      <c r="CE126" s="12"/>
      <c r="CF126" s="12"/>
      <c r="CG126" s="17"/>
      <c r="CH126" s="181"/>
      <c r="CI126" s="12"/>
      <c r="CJ126" s="181"/>
      <c r="CK126" s="729"/>
      <c r="CL126" s="752"/>
      <c r="CO126" s="18"/>
      <c r="CS126" s="18"/>
      <c r="CT126" s="342"/>
      <c r="CV126" s="181"/>
      <c r="CW126" s="181"/>
      <c r="CX126" s="18"/>
      <c r="CY126" s="247"/>
      <c r="DA126" s="181"/>
      <c r="DB126" s="729"/>
      <c r="DC126" s="17"/>
      <c r="DE126" s="12"/>
      <c r="DG126" s="162"/>
      <c r="DH126" s="181"/>
      <c r="DI126" s="181"/>
      <c r="DJ126" s="181"/>
      <c r="DK126" s="247"/>
      <c r="DL126" s="137"/>
      <c r="DM126" s="137"/>
      <c r="DN126" s="137"/>
      <c r="DO126" s="729"/>
      <c r="DP126" s="181"/>
      <c r="DQ126" s="181"/>
      <c r="DR126" s="181"/>
      <c r="DS126" s="783"/>
      <c r="DT126" s="763">
        <v>750</v>
      </c>
      <c r="DU126" s="12"/>
      <c r="DV126" s="12"/>
      <c r="DW126" s="12"/>
      <c r="DX126" s="768"/>
      <c r="DY126" s="763"/>
      <c r="DZ126" s="12"/>
      <c r="EA126" s="12"/>
      <c r="EB126" s="12"/>
      <c r="EC126" s="763"/>
      <c r="ED126" s="12"/>
      <c r="EE126" s="12"/>
      <c r="EF126" s="768"/>
      <c r="EG126" s="12"/>
      <c r="EH126" s="12"/>
      <c r="EI126" s="12"/>
      <c r="EJ126" s="12"/>
      <c r="EK126" s="768"/>
      <c r="EL126" s="162"/>
      <c r="EO126" s="163"/>
      <c r="EP126" s="162"/>
      <c r="ET126" s="163"/>
      <c r="EU126" s="162"/>
      <c r="EX126" s="163"/>
      <c r="EY126" s="162"/>
      <c r="FB126" s="163"/>
    </row>
    <row r="127" spans="1:158" ht="21" customHeight="1" thickBot="1" x14ac:dyDescent="0.25">
      <c r="A127" s="1188"/>
      <c r="B127" s="249" t="str">
        <f>+B115</f>
        <v>Chippewa</v>
      </c>
      <c r="C127" s="249" t="s">
        <v>8</v>
      </c>
      <c r="D127" s="249"/>
      <c r="E127" s="1189"/>
      <c r="F127" s="249" t="s">
        <v>8</v>
      </c>
      <c r="G127" s="773">
        <v>1000</v>
      </c>
      <c r="H127" s="11">
        <f t="shared" ref="H127:H190" si="6">SUM(O127:FB127)</f>
        <v>1000</v>
      </c>
      <c r="I127" s="774">
        <f t="shared" si="3"/>
        <v>0</v>
      </c>
      <c r="P127" s="14"/>
      <c r="T127" s="123"/>
      <c r="U127" s="61"/>
      <c r="V127" s="123"/>
      <c r="W127" s="123"/>
      <c r="X127" s="19"/>
      <c r="Y127" s="123"/>
      <c r="Z127" s="123"/>
      <c r="AA127" s="61"/>
      <c r="AB127" s="123"/>
      <c r="AC127" s="61"/>
      <c r="AD127" s="123"/>
      <c r="AE127" s="123"/>
      <c r="AF127" s="19"/>
      <c r="AG127" s="123"/>
      <c r="AH127" s="123"/>
      <c r="AI127" s="124"/>
      <c r="AJ127" s="124"/>
      <c r="AK127" s="70"/>
      <c r="AL127" s="124"/>
      <c r="AM127" s="123"/>
      <c r="AN127" s="123"/>
      <c r="AO127" s="19"/>
      <c r="AP127" s="123"/>
      <c r="AQ127" s="123"/>
      <c r="AR127" s="123"/>
      <c r="AS127" s="123"/>
      <c r="AT127" s="61"/>
      <c r="AU127" s="123"/>
      <c r="AV127" s="741"/>
      <c r="AW127" s="741"/>
      <c r="AX127" s="108"/>
      <c r="AY127" s="63"/>
      <c r="AZ127" s="125"/>
      <c r="BA127" s="125"/>
      <c r="BB127" s="64"/>
      <c r="BC127" s="63"/>
      <c r="BD127" s="73"/>
      <c r="BE127" s="74"/>
      <c r="BF127" s="75"/>
      <c r="BG127" s="73"/>
      <c r="BH127" s="74"/>
      <c r="BI127" s="74"/>
      <c r="BJ127" s="75"/>
      <c r="BK127" s="74"/>
      <c r="BL127" s="74"/>
      <c r="BM127" s="73"/>
      <c r="BN127" s="74"/>
      <c r="BO127" s="75"/>
      <c r="BP127" s="74"/>
      <c r="BQ127" s="74"/>
      <c r="BR127" s="63"/>
      <c r="BS127" s="108"/>
      <c r="BT127" s="67"/>
      <c r="BU127" s="108"/>
      <c r="BV127" s="108"/>
      <c r="BW127" s="743"/>
      <c r="BX127" s="61"/>
      <c r="BY127" s="108"/>
      <c r="BZ127" s="108"/>
      <c r="CA127" s="108"/>
      <c r="CB127" s="123"/>
      <c r="CC127" s="14"/>
      <c r="CE127" s="12"/>
      <c r="CF127" s="12"/>
      <c r="CG127" s="17"/>
      <c r="CH127" s="181"/>
      <c r="CI127" s="12"/>
      <c r="CJ127" s="181"/>
      <c r="CK127" s="729"/>
      <c r="CL127" s="752"/>
      <c r="CO127" s="18"/>
      <c r="CS127" s="18"/>
      <c r="CT127" s="342"/>
      <c r="CV127" s="181"/>
      <c r="CW127" s="181"/>
      <c r="CX127" s="18"/>
      <c r="CY127" s="247"/>
      <c r="DA127" s="181"/>
      <c r="DB127" s="729"/>
      <c r="DC127" s="17"/>
      <c r="DE127" s="12"/>
      <c r="DG127" s="162"/>
      <c r="DH127" s="181"/>
      <c r="DI127" s="181"/>
      <c r="DJ127" s="181"/>
      <c r="DK127" s="247"/>
      <c r="DL127" s="137"/>
      <c r="DM127" s="137"/>
      <c r="DN127" s="137"/>
      <c r="DO127" s="729"/>
      <c r="DP127" s="12"/>
      <c r="DQ127" s="12"/>
      <c r="DR127" s="12"/>
      <c r="DS127" s="783"/>
      <c r="DT127" s="763">
        <v>500</v>
      </c>
      <c r="DU127" s="12">
        <v>500</v>
      </c>
      <c r="DV127" s="12"/>
      <c r="DW127" s="12"/>
      <c r="DX127" s="768"/>
      <c r="DY127" s="763"/>
      <c r="DZ127" s="12"/>
      <c r="EA127" s="12"/>
      <c r="EB127" s="12"/>
      <c r="EC127" s="763"/>
      <c r="ED127" s="12"/>
      <c r="EE127" s="12"/>
      <c r="EF127" s="768"/>
      <c r="EG127" s="12"/>
      <c r="EH127" s="12"/>
      <c r="EI127" s="12"/>
      <c r="EJ127" s="12"/>
      <c r="EK127" s="768"/>
      <c r="EL127" s="162"/>
      <c r="EO127" s="163"/>
      <c r="EP127" s="162"/>
      <c r="ET127" s="163"/>
      <c r="EU127" s="162"/>
      <c r="EX127" s="163"/>
      <c r="EY127" s="162"/>
      <c r="FB127" s="163"/>
    </row>
    <row r="128" spans="1:158" ht="21" customHeight="1" thickBot="1" x14ac:dyDescent="0.25">
      <c r="A128" s="1188"/>
      <c r="B128" s="249" t="str">
        <f>+B116</f>
        <v>WWW</v>
      </c>
      <c r="C128" s="249" t="s">
        <v>201</v>
      </c>
      <c r="D128" s="249"/>
      <c r="E128" s="1189"/>
      <c r="F128" s="249" t="s">
        <v>201</v>
      </c>
      <c r="G128" s="773"/>
      <c r="H128" s="11">
        <f t="shared" si="6"/>
        <v>0</v>
      </c>
      <c r="I128" s="774">
        <f t="shared" si="3"/>
        <v>0</v>
      </c>
      <c r="P128" s="14"/>
      <c r="T128" s="123"/>
      <c r="U128" s="61"/>
      <c r="V128" s="123"/>
      <c r="W128" s="123"/>
      <c r="X128" s="19"/>
      <c r="Y128" s="123"/>
      <c r="Z128" s="123"/>
      <c r="AA128" s="61"/>
      <c r="AB128" s="123"/>
      <c r="AC128" s="61"/>
      <c r="AD128" s="123"/>
      <c r="AE128" s="123"/>
      <c r="AF128" s="19"/>
      <c r="AG128" s="123"/>
      <c r="AH128" s="123"/>
      <c r="AI128" s="124"/>
      <c r="AJ128" s="124"/>
      <c r="AK128" s="70"/>
      <c r="AL128" s="124"/>
      <c r="AM128" s="123"/>
      <c r="AN128" s="123"/>
      <c r="AO128" s="19"/>
      <c r="AP128" s="123"/>
      <c r="AQ128" s="123"/>
      <c r="AR128" s="123"/>
      <c r="AS128" s="123"/>
      <c r="AT128" s="61"/>
      <c r="AU128" s="123"/>
      <c r="AV128" s="741"/>
      <c r="AW128" s="741"/>
      <c r="AX128" s="108"/>
      <c r="AY128" s="63"/>
      <c r="AZ128" s="125"/>
      <c r="BA128" s="125"/>
      <c r="BB128" s="64"/>
      <c r="BC128" s="63"/>
      <c r="BD128" s="73"/>
      <c r="BE128" s="74"/>
      <c r="BF128" s="75"/>
      <c r="BG128" s="73"/>
      <c r="BH128" s="74"/>
      <c r="BI128" s="74"/>
      <c r="BJ128" s="75"/>
      <c r="BK128" s="74"/>
      <c r="BL128" s="74"/>
      <c r="BM128" s="73"/>
      <c r="BN128" s="74"/>
      <c r="BO128" s="75"/>
      <c r="BP128" s="74"/>
      <c r="BQ128" s="74"/>
      <c r="BR128" s="63"/>
      <c r="BS128" s="108"/>
      <c r="BT128" s="67"/>
      <c r="BU128" s="108"/>
      <c r="BV128" s="108"/>
      <c r="BW128" s="743"/>
      <c r="BX128" s="61"/>
      <c r="BY128" s="108"/>
      <c r="BZ128" s="108"/>
      <c r="CA128" s="108"/>
      <c r="CB128" s="123"/>
      <c r="CC128" s="14"/>
      <c r="CE128" s="12"/>
      <c r="CF128" s="12"/>
      <c r="CG128" s="17"/>
      <c r="CH128" s="181"/>
      <c r="CI128" s="12"/>
      <c r="CJ128" s="181"/>
      <c r="CK128" s="729"/>
      <c r="CL128" s="752"/>
      <c r="CO128" s="18"/>
      <c r="CS128" s="18"/>
      <c r="CT128" s="342"/>
      <c r="CV128" s="181"/>
      <c r="CW128" s="181"/>
      <c r="CX128" s="18"/>
      <c r="CY128" s="247"/>
      <c r="DA128" s="181"/>
      <c r="DB128" s="729"/>
      <c r="DC128" s="17"/>
      <c r="DE128" s="12"/>
      <c r="DG128" s="162"/>
      <c r="DH128" s="181"/>
      <c r="DI128" s="181"/>
      <c r="DJ128" s="181"/>
      <c r="DK128" s="247"/>
      <c r="DL128" s="137"/>
      <c r="DM128" s="137"/>
      <c r="DN128" s="137"/>
      <c r="DO128" s="729"/>
      <c r="DP128" s="12"/>
      <c r="DQ128" s="12"/>
      <c r="DR128" s="12"/>
      <c r="DS128" s="783"/>
      <c r="DT128" s="763"/>
      <c r="DU128" s="12"/>
      <c r="DV128" s="12"/>
      <c r="DW128" s="12"/>
      <c r="DX128" s="768"/>
      <c r="DY128" s="763"/>
      <c r="DZ128" s="12"/>
      <c r="EA128" s="12"/>
      <c r="EB128" s="12"/>
      <c r="EC128" s="763"/>
      <c r="ED128" s="12"/>
      <c r="EE128" s="12"/>
      <c r="EF128" s="768"/>
      <c r="EG128" s="12"/>
      <c r="EH128" s="12"/>
      <c r="EI128" s="12"/>
      <c r="EJ128" s="12"/>
      <c r="EK128" s="768"/>
      <c r="EL128" s="162"/>
      <c r="EO128" s="163"/>
      <c r="EP128" s="162"/>
      <c r="ET128" s="163"/>
      <c r="EU128" s="162"/>
      <c r="EX128" s="163"/>
      <c r="EY128" s="162"/>
      <c r="FB128" s="163"/>
    </row>
    <row r="129" spans="1:158" ht="21" customHeight="1" thickBot="1" x14ac:dyDescent="0.25">
      <c r="A129" s="1188"/>
      <c r="B129" s="249" t="str">
        <f>+B117</f>
        <v>USB</v>
      </c>
      <c r="C129" s="249" t="s">
        <v>103</v>
      </c>
      <c r="D129" s="249"/>
      <c r="E129" s="1189"/>
      <c r="F129" s="249" t="s">
        <v>202</v>
      </c>
      <c r="G129" s="773">
        <v>250</v>
      </c>
      <c r="H129" s="11">
        <f t="shared" si="6"/>
        <v>250</v>
      </c>
      <c r="I129" s="774">
        <f t="shared" si="3"/>
        <v>0</v>
      </c>
      <c r="P129" s="14"/>
      <c r="T129" s="123"/>
      <c r="U129" s="61"/>
      <c r="V129" s="123"/>
      <c r="W129" s="123"/>
      <c r="X129" s="19"/>
      <c r="Y129" s="123"/>
      <c r="Z129" s="123"/>
      <c r="AA129" s="61"/>
      <c r="AB129" s="123"/>
      <c r="AC129" s="61"/>
      <c r="AD129" s="123"/>
      <c r="AE129" s="123"/>
      <c r="AF129" s="19"/>
      <c r="AG129" s="123"/>
      <c r="AH129" s="123"/>
      <c r="AI129" s="124"/>
      <c r="AJ129" s="124"/>
      <c r="AK129" s="70"/>
      <c r="AL129" s="124"/>
      <c r="AM129" s="123"/>
      <c r="AN129" s="123"/>
      <c r="AO129" s="19"/>
      <c r="AP129" s="123"/>
      <c r="AQ129" s="123"/>
      <c r="AR129" s="123"/>
      <c r="AS129" s="123"/>
      <c r="AT129" s="61"/>
      <c r="AU129" s="123"/>
      <c r="AV129" s="741"/>
      <c r="AW129" s="741"/>
      <c r="AX129" s="108"/>
      <c r="AY129" s="63"/>
      <c r="AZ129" s="125"/>
      <c r="BA129" s="125"/>
      <c r="BB129" s="64"/>
      <c r="BC129" s="63"/>
      <c r="BD129" s="73"/>
      <c r="BE129" s="74"/>
      <c r="BF129" s="75"/>
      <c r="BG129" s="73"/>
      <c r="BH129" s="74"/>
      <c r="BI129" s="74"/>
      <c r="BJ129" s="75"/>
      <c r="BK129" s="74"/>
      <c r="BL129" s="74"/>
      <c r="BM129" s="73"/>
      <c r="BN129" s="74"/>
      <c r="BO129" s="75"/>
      <c r="BP129" s="74"/>
      <c r="BQ129" s="74"/>
      <c r="BR129" s="63"/>
      <c r="BS129" s="108"/>
      <c r="BT129" s="67"/>
      <c r="BU129" s="108"/>
      <c r="BV129" s="108"/>
      <c r="BW129" s="743"/>
      <c r="BX129" s="61"/>
      <c r="BY129" s="108"/>
      <c r="BZ129" s="108"/>
      <c r="CA129" s="108"/>
      <c r="CB129" s="123"/>
      <c r="CC129" s="14"/>
      <c r="CE129" s="12"/>
      <c r="CF129" s="12"/>
      <c r="CG129" s="17"/>
      <c r="CH129" s="181"/>
      <c r="CI129" s="12"/>
      <c r="CJ129" s="181"/>
      <c r="CK129" s="729"/>
      <c r="CL129" s="752"/>
      <c r="CO129" s="18"/>
      <c r="CS129" s="18"/>
      <c r="CT129" s="342"/>
      <c r="CV129" s="181"/>
      <c r="CW129" s="181"/>
      <c r="CX129" s="18"/>
      <c r="CY129" s="247"/>
      <c r="DA129" s="181"/>
      <c r="DB129" s="729"/>
      <c r="DC129" s="17"/>
      <c r="DE129" s="12"/>
      <c r="DG129" s="162"/>
      <c r="DH129" s="181"/>
      <c r="DI129" s="181"/>
      <c r="DJ129" s="181"/>
      <c r="DK129" s="17"/>
      <c r="DO129" s="729"/>
      <c r="DP129" s="12"/>
      <c r="DQ129" s="12"/>
      <c r="DR129" s="12"/>
      <c r="DS129" s="783"/>
      <c r="DT129" s="763"/>
      <c r="DU129" s="12">
        <v>250</v>
      </c>
      <c r="DV129" s="12"/>
      <c r="DW129" s="12"/>
      <c r="DX129" s="768"/>
      <c r="DY129" s="763"/>
      <c r="DZ129" s="12"/>
      <c r="EA129" s="12"/>
      <c r="EB129" s="12"/>
      <c r="EC129" s="763"/>
      <c r="ED129" s="12"/>
      <c r="EE129" s="12"/>
      <c r="EF129" s="768"/>
      <c r="EG129" s="12"/>
      <c r="EH129" s="12"/>
      <c r="EI129" s="12"/>
      <c r="EJ129" s="12"/>
      <c r="EK129" s="768"/>
      <c r="EL129" s="162"/>
      <c r="EO129" s="163"/>
      <c r="EP129" s="162"/>
      <c r="ET129" s="163"/>
      <c r="EU129" s="162"/>
      <c r="EX129" s="163"/>
      <c r="EY129" s="162"/>
      <c r="FB129" s="163"/>
    </row>
    <row r="130" spans="1:158" ht="21" customHeight="1" thickBot="1" x14ac:dyDescent="0.25">
      <c r="A130" s="1186" t="s">
        <v>208</v>
      </c>
      <c r="B130" s="249" t="s">
        <v>209</v>
      </c>
      <c r="C130" s="249" t="s">
        <v>105</v>
      </c>
      <c r="D130" s="249"/>
      <c r="E130" s="1187">
        <v>46204</v>
      </c>
      <c r="F130" s="249" t="s">
        <v>74</v>
      </c>
      <c r="G130" s="773">
        <v>3137</v>
      </c>
      <c r="H130" s="11">
        <f t="shared" si="6"/>
        <v>3137</v>
      </c>
      <c r="I130" s="774">
        <f t="shared" si="3"/>
        <v>0</v>
      </c>
      <c r="P130" s="14"/>
      <c r="T130" s="123"/>
      <c r="U130" s="61"/>
      <c r="V130" s="123"/>
      <c r="W130" s="123"/>
      <c r="X130" s="19"/>
      <c r="Y130" s="123"/>
      <c r="Z130" s="123"/>
      <c r="AA130" s="61"/>
      <c r="AB130" s="123"/>
      <c r="AC130" s="61"/>
      <c r="AD130" s="123"/>
      <c r="AE130" s="123"/>
      <c r="AF130" s="19"/>
      <c r="AG130" s="123"/>
      <c r="AH130" s="123"/>
      <c r="AI130" s="124"/>
      <c r="AJ130" s="124"/>
      <c r="AK130" s="70"/>
      <c r="AL130" s="124"/>
      <c r="AM130" s="123"/>
      <c r="AN130" s="123"/>
      <c r="AO130" s="19"/>
      <c r="AP130" s="123"/>
      <c r="AQ130" s="123"/>
      <c r="AR130" s="123"/>
      <c r="AS130" s="123"/>
      <c r="AT130" s="61"/>
      <c r="AU130" s="123"/>
      <c r="AV130" s="741"/>
      <c r="AW130" s="741"/>
      <c r="AX130" s="108"/>
      <c r="AY130" s="63"/>
      <c r="AZ130" s="125"/>
      <c r="BA130" s="125"/>
      <c r="BB130" s="64"/>
      <c r="BC130" s="63"/>
      <c r="BD130" s="73"/>
      <c r="BE130" s="74"/>
      <c r="BF130" s="75"/>
      <c r="BG130" s="73"/>
      <c r="BH130" s="74"/>
      <c r="BI130" s="74"/>
      <c r="BJ130" s="75"/>
      <c r="BK130" s="74"/>
      <c r="BL130" s="74"/>
      <c r="BM130" s="73"/>
      <c r="BN130" s="74"/>
      <c r="BO130" s="75"/>
      <c r="BP130" s="74"/>
      <c r="BQ130" s="74"/>
      <c r="BR130" s="63"/>
      <c r="BS130" s="108"/>
      <c r="BT130" s="67"/>
      <c r="BU130" s="108"/>
      <c r="BV130" s="108"/>
      <c r="BW130" s="743"/>
      <c r="BX130" s="61"/>
      <c r="BY130" s="108"/>
      <c r="BZ130" s="108"/>
      <c r="CA130" s="108"/>
      <c r="CB130" s="123"/>
      <c r="CC130" s="14"/>
      <c r="CE130" s="12"/>
      <c r="CF130" s="12"/>
      <c r="CG130" s="17"/>
      <c r="CH130" s="181"/>
      <c r="CI130" s="12"/>
      <c r="CJ130" s="181"/>
      <c r="CK130" s="729"/>
      <c r="CL130" s="752"/>
      <c r="CO130" s="18"/>
      <c r="CS130" s="18"/>
      <c r="CT130" s="342"/>
      <c r="CV130" s="181"/>
      <c r="CW130" s="181"/>
      <c r="CX130" s="18"/>
      <c r="CY130" s="247"/>
      <c r="DA130" s="181"/>
      <c r="DB130" s="729"/>
      <c r="DC130" s="17"/>
      <c r="DE130" s="12"/>
      <c r="DG130" s="162"/>
      <c r="DH130" s="181"/>
      <c r="DI130" s="181"/>
      <c r="DJ130" s="181"/>
      <c r="DK130" s="17"/>
      <c r="DO130" s="18"/>
      <c r="DP130" s="766"/>
      <c r="DQ130" s="766"/>
      <c r="DR130" s="766"/>
      <c r="DS130" s="784"/>
      <c r="DT130" s="763"/>
      <c r="DU130" s="12">
        <v>1700</v>
      </c>
      <c r="DV130" s="12">
        <v>1437</v>
      </c>
      <c r="DW130" s="12"/>
      <c r="DX130" s="768"/>
      <c r="DY130" s="763"/>
      <c r="DZ130" s="12"/>
      <c r="EA130" s="12"/>
      <c r="EB130" s="12"/>
      <c r="EC130" s="763"/>
      <c r="ED130" s="12"/>
      <c r="EE130" s="12"/>
      <c r="EF130" s="768"/>
      <c r="EG130" s="12"/>
      <c r="EH130" s="12"/>
      <c r="EI130" s="12"/>
      <c r="EJ130" s="12"/>
      <c r="EK130" s="768"/>
      <c r="EL130" s="162"/>
      <c r="EO130" s="163"/>
      <c r="EP130" s="162"/>
      <c r="ET130" s="163"/>
      <c r="EU130" s="162"/>
      <c r="EX130" s="163"/>
      <c r="EY130" s="162"/>
      <c r="FB130" s="163"/>
    </row>
    <row r="131" spans="1:158" ht="21" customHeight="1" thickBot="1" x14ac:dyDescent="0.25">
      <c r="A131" s="1186"/>
      <c r="B131" s="249" t="s">
        <v>210</v>
      </c>
      <c r="C131" s="249" t="s">
        <v>148</v>
      </c>
      <c r="D131" s="249"/>
      <c r="E131" s="1187"/>
      <c r="F131" s="249" t="s">
        <v>74</v>
      </c>
      <c r="G131" s="773">
        <v>1070</v>
      </c>
      <c r="H131" s="11">
        <f t="shared" si="6"/>
        <v>1070</v>
      </c>
      <c r="I131" s="774">
        <f t="shared" si="3"/>
        <v>0</v>
      </c>
      <c r="P131" s="14"/>
      <c r="T131" s="123"/>
      <c r="U131" s="61"/>
      <c r="V131" s="123"/>
      <c r="W131" s="123"/>
      <c r="X131" s="19"/>
      <c r="Y131" s="123"/>
      <c r="Z131" s="123"/>
      <c r="AA131" s="61"/>
      <c r="AB131" s="123"/>
      <c r="AC131" s="61"/>
      <c r="AD131" s="123"/>
      <c r="AE131" s="123"/>
      <c r="AF131" s="19"/>
      <c r="AG131" s="123"/>
      <c r="AH131" s="123"/>
      <c r="AI131" s="124"/>
      <c r="AJ131" s="124"/>
      <c r="AK131" s="70"/>
      <c r="AL131" s="124"/>
      <c r="AM131" s="123"/>
      <c r="AN131" s="123"/>
      <c r="AO131" s="19"/>
      <c r="AP131" s="123"/>
      <c r="AQ131" s="123"/>
      <c r="AR131" s="123"/>
      <c r="AS131" s="123"/>
      <c r="AT131" s="61"/>
      <c r="AU131" s="123"/>
      <c r="AV131" s="741"/>
      <c r="AW131" s="741"/>
      <c r="AX131" s="108"/>
      <c r="AY131" s="63"/>
      <c r="AZ131" s="125"/>
      <c r="BA131" s="125"/>
      <c r="BB131" s="64"/>
      <c r="BC131" s="63"/>
      <c r="BD131" s="73"/>
      <c r="BE131" s="74"/>
      <c r="BF131" s="75"/>
      <c r="BG131" s="73"/>
      <c r="BH131" s="74"/>
      <c r="BI131" s="74"/>
      <c r="BJ131" s="75"/>
      <c r="BK131" s="74"/>
      <c r="BL131" s="74"/>
      <c r="BM131" s="73"/>
      <c r="BN131" s="74"/>
      <c r="BO131" s="75"/>
      <c r="BP131" s="74"/>
      <c r="BQ131" s="74"/>
      <c r="BR131" s="63"/>
      <c r="BS131" s="108"/>
      <c r="BT131" s="67"/>
      <c r="BU131" s="108"/>
      <c r="BV131" s="108"/>
      <c r="BW131" s="743"/>
      <c r="BX131" s="61"/>
      <c r="BY131" s="108"/>
      <c r="BZ131" s="108"/>
      <c r="CA131" s="108"/>
      <c r="CB131" s="123"/>
      <c r="CC131" s="14"/>
      <c r="CE131" s="12"/>
      <c r="CF131" s="12"/>
      <c r="CG131" s="17"/>
      <c r="CH131" s="181"/>
      <c r="CI131" s="12"/>
      <c r="CJ131" s="181"/>
      <c r="CK131" s="729"/>
      <c r="CL131" s="752"/>
      <c r="CO131" s="18"/>
      <c r="CS131" s="18"/>
      <c r="CT131" s="342"/>
      <c r="CV131" s="181"/>
      <c r="CW131" s="181"/>
      <c r="CX131" s="18"/>
      <c r="CY131" s="247"/>
      <c r="DA131" s="181"/>
      <c r="DB131" s="729"/>
      <c r="DC131" s="17"/>
      <c r="DE131" s="12"/>
      <c r="DG131" s="162"/>
      <c r="DH131" s="181"/>
      <c r="DI131" s="181"/>
      <c r="DJ131" s="181"/>
      <c r="DK131" s="17"/>
      <c r="DO131" s="18"/>
      <c r="DP131" s="766"/>
      <c r="DQ131" s="766"/>
      <c r="DR131" s="766"/>
      <c r="DS131" s="784"/>
      <c r="DT131" s="763"/>
      <c r="DU131" s="12"/>
      <c r="DV131" s="12">
        <v>1070</v>
      </c>
      <c r="DW131" s="12"/>
      <c r="DX131" s="768"/>
      <c r="DY131" s="763"/>
      <c r="DZ131" s="12"/>
      <c r="EA131" s="12"/>
      <c r="EB131" s="12"/>
      <c r="EC131" s="763"/>
      <c r="ED131" s="12"/>
      <c r="EE131" s="12"/>
      <c r="EF131" s="768"/>
      <c r="EG131" s="12"/>
      <c r="EH131" s="12"/>
      <c r="EI131" s="12"/>
      <c r="EJ131" s="12"/>
      <c r="EK131" s="768"/>
      <c r="EL131" s="162"/>
      <c r="EO131" s="163"/>
      <c r="EP131" s="162"/>
      <c r="ET131" s="163"/>
      <c r="EU131" s="162"/>
      <c r="EX131" s="163"/>
      <c r="EY131" s="162"/>
      <c r="FB131" s="163"/>
    </row>
    <row r="132" spans="1:158" ht="21" customHeight="1" thickBot="1" x14ac:dyDescent="0.25">
      <c r="A132" s="1186"/>
      <c r="B132" s="249" t="s">
        <v>211</v>
      </c>
      <c r="C132" s="249" t="s">
        <v>167</v>
      </c>
      <c r="D132" s="249"/>
      <c r="E132" s="1187"/>
      <c r="F132" s="249" t="s">
        <v>74</v>
      </c>
      <c r="G132" s="773">
        <v>600</v>
      </c>
      <c r="H132" s="11">
        <f t="shared" si="6"/>
        <v>600</v>
      </c>
      <c r="I132" s="774">
        <f t="shared" si="3"/>
        <v>0</v>
      </c>
      <c r="P132" s="14"/>
      <c r="T132" s="123"/>
      <c r="U132" s="61"/>
      <c r="V132" s="123"/>
      <c r="W132" s="123"/>
      <c r="X132" s="19"/>
      <c r="Y132" s="123"/>
      <c r="Z132" s="123"/>
      <c r="AA132" s="61"/>
      <c r="AB132" s="123"/>
      <c r="AC132" s="61"/>
      <c r="AD132" s="123"/>
      <c r="AE132" s="123"/>
      <c r="AF132" s="19"/>
      <c r="AG132" s="123"/>
      <c r="AH132" s="123"/>
      <c r="AI132" s="124"/>
      <c r="AJ132" s="124"/>
      <c r="AK132" s="70"/>
      <c r="AL132" s="124"/>
      <c r="AM132" s="123"/>
      <c r="AN132" s="123"/>
      <c r="AO132" s="19"/>
      <c r="AP132" s="123"/>
      <c r="AQ132" s="123"/>
      <c r="AR132" s="123"/>
      <c r="AS132" s="123"/>
      <c r="AT132" s="61"/>
      <c r="AU132" s="123"/>
      <c r="AV132" s="741"/>
      <c r="AW132" s="741"/>
      <c r="AX132" s="108"/>
      <c r="AY132" s="63"/>
      <c r="AZ132" s="125"/>
      <c r="BA132" s="125"/>
      <c r="BB132" s="64"/>
      <c r="BC132" s="63"/>
      <c r="BD132" s="73"/>
      <c r="BE132" s="74"/>
      <c r="BF132" s="75"/>
      <c r="BG132" s="73"/>
      <c r="BH132" s="74"/>
      <c r="BI132" s="74"/>
      <c r="BJ132" s="75"/>
      <c r="BK132" s="74"/>
      <c r="BL132" s="74"/>
      <c r="BM132" s="73"/>
      <c r="BN132" s="74"/>
      <c r="BO132" s="75"/>
      <c r="BP132" s="74"/>
      <c r="BQ132" s="74"/>
      <c r="BR132" s="63"/>
      <c r="BS132" s="108"/>
      <c r="BT132" s="67"/>
      <c r="BU132" s="108"/>
      <c r="BV132" s="108"/>
      <c r="BW132" s="743"/>
      <c r="BX132" s="61"/>
      <c r="BY132" s="108"/>
      <c r="BZ132" s="108"/>
      <c r="CA132" s="108"/>
      <c r="CB132" s="123"/>
      <c r="CC132" s="14"/>
      <c r="CE132" s="12"/>
      <c r="CF132" s="12"/>
      <c r="CG132" s="17"/>
      <c r="CH132" s="181"/>
      <c r="CI132" s="12"/>
      <c r="CJ132" s="181"/>
      <c r="CK132" s="729"/>
      <c r="CL132" s="752"/>
      <c r="CO132" s="18"/>
      <c r="CS132" s="18"/>
      <c r="CT132" s="342"/>
      <c r="CV132" s="181"/>
      <c r="CW132" s="181"/>
      <c r="CX132" s="18"/>
      <c r="CY132" s="247"/>
      <c r="DA132" s="181"/>
      <c r="DB132" s="729"/>
      <c r="DC132" s="17"/>
      <c r="DE132" s="12"/>
      <c r="DG132" s="162"/>
      <c r="DH132" s="181"/>
      <c r="DI132" s="181"/>
      <c r="DJ132" s="181"/>
      <c r="DK132" s="17"/>
      <c r="DO132" s="18"/>
      <c r="DP132" s="766"/>
      <c r="DQ132" s="766"/>
      <c r="DR132" s="766"/>
      <c r="DS132" s="784"/>
      <c r="DT132" s="763"/>
      <c r="DU132" s="12"/>
      <c r="DV132" s="12">
        <v>250</v>
      </c>
      <c r="DW132" s="12">
        <v>350</v>
      </c>
      <c r="DX132" s="768"/>
      <c r="DY132" s="763"/>
      <c r="DZ132" s="12"/>
      <c r="EA132" s="12"/>
      <c r="EB132" s="12"/>
      <c r="EC132" s="763"/>
      <c r="ED132" s="12"/>
      <c r="EE132" s="12"/>
      <c r="EF132" s="768"/>
      <c r="EG132" s="12"/>
      <c r="EH132" s="12"/>
      <c r="EI132" s="12"/>
      <c r="EJ132" s="12"/>
      <c r="EK132" s="768"/>
      <c r="EL132" s="162"/>
      <c r="EO132" s="163"/>
      <c r="EP132" s="162"/>
      <c r="ET132" s="163"/>
      <c r="EU132" s="162"/>
      <c r="EX132" s="163"/>
      <c r="EY132" s="162"/>
      <c r="FB132" s="163"/>
    </row>
    <row r="133" spans="1:158" ht="21" customHeight="1" thickBot="1" x14ac:dyDescent="0.25">
      <c r="A133" s="1186"/>
      <c r="B133" s="249" t="s">
        <v>194</v>
      </c>
      <c r="C133" s="249" t="s">
        <v>167</v>
      </c>
      <c r="D133" s="249"/>
      <c r="E133" s="1187"/>
      <c r="F133" s="249" t="s">
        <v>74</v>
      </c>
      <c r="G133" s="773">
        <v>600</v>
      </c>
      <c r="H133" s="11">
        <f t="shared" si="6"/>
        <v>600</v>
      </c>
      <c r="I133" s="774">
        <f t="shared" si="3"/>
        <v>0</v>
      </c>
      <c r="P133" s="14"/>
      <c r="T133" s="123"/>
      <c r="U133" s="61"/>
      <c r="V133" s="123"/>
      <c r="W133" s="123"/>
      <c r="X133" s="19"/>
      <c r="Y133" s="123"/>
      <c r="Z133" s="123"/>
      <c r="AA133" s="61"/>
      <c r="AB133" s="123"/>
      <c r="AC133" s="61"/>
      <c r="AD133" s="123"/>
      <c r="AE133" s="123"/>
      <c r="AF133" s="19"/>
      <c r="AG133" s="123"/>
      <c r="AH133" s="123"/>
      <c r="AI133" s="124"/>
      <c r="AJ133" s="124"/>
      <c r="AK133" s="70"/>
      <c r="AL133" s="124"/>
      <c r="AM133" s="123"/>
      <c r="AN133" s="123"/>
      <c r="AO133" s="19"/>
      <c r="AP133" s="123"/>
      <c r="AQ133" s="123"/>
      <c r="AR133" s="123"/>
      <c r="AS133" s="123"/>
      <c r="AT133" s="61"/>
      <c r="AU133" s="123"/>
      <c r="AV133" s="741"/>
      <c r="AW133" s="741"/>
      <c r="AX133" s="108"/>
      <c r="AY133" s="63"/>
      <c r="AZ133" s="125"/>
      <c r="BA133" s="125"/>
      <c r="BB133" s="64"/>
      <c r="BC133" s="63"/>
      <c r="BD133" s="73"/>
      <c r="BE133" s="74"/>
      <c r="BF133" s="75"/>
      <c r="BG133" s="73"/>
      <c r="BH133" s="74"/>
      <c r="BI133" s="74"/>
      <c r="BJ133" s="75"/>
      <c r="BK133" s="74"/>
      <c r="BL133" s="74"/>
      <c r="BM133" s="73"/>
      <c r="BN133" s="74"/>
      <c r="BO133" s="75"/>
      <c r="BP133" s="74"/>
      <c r="BQ133" s="74"/>
      <c r="BR133" s="63"/>
      <c r="BS133" s="108"/>
      <c r="BT133" s="67"/>
      <c r="BU133" s="108"/>
      <c r="BV133" s="108"/>
      <c r="BW133" s="743"/>
      <c r="BX133" s="61"/>
      <c r="BY133" s="108"/>
      <c r="BZ133" s="108"/>
      <c r="CA133" s="108"/>
      <c r="CB133" s="123"/>
      <c r="CC133" s="14"/>
      <c r="CE133" s="12"/>
      <c r="CF133" s="12"/>
      <c r="CG133" s="17"/>
      <c r="CH133" s="181"/>
      <c r="CI133" s="12"/>
      <c r="CJ133" s="181"/>
      <c r="CK133" s="729"/>
      <c r="CL133" s="752"/>
      <c r="CO133" s="18"/>
      <c r="CS133" s="18"/>
      <c r="CT133" s="342"/>
      <c r="CV133" s="181"/>
      <c r="CW133" s="181"/>
      <c r="CX133" s="18"/>
      <c r="CY133" s="247"/>
      <c r="DA133" s="181"/>
      <c r="DB133" s="729"/>
      <c r="DC133" s="17"/>
      <c r="DE133" s="12"/>
      <c r="DG133" s="162"/>
      <c r="DH133" s="181"/>
      <c r="DI133" s="181"/>
      <c r="DJ133" s="181"/>
      <c r="DK133" s="17"/>
      <c r="DO133" s="18"/>
      <c r="DP133" s="766"/>
      <c r="DQ133" s="766"/>
      <c r="DR133" s="766"/>
      <c r="DS133" s="784"/>
      <c r="DT133" s="763"/>
      <c r="DU133" s="12"/>
      <c r="DV133" s="12"/>
      <c r="DW133" s="12">
        <v>600</v>
      </c>
      <c r="DX133" s="768"/>
      <c r="DY133" s="763"/>
      <c r="DZ133" s="12"/>
      <c r="EA133" s="12"/>
      <c r="EB133" s="12"/>
      <c r="EC133" s="763"/>
      <c r="ED133" s="12"/>
      <c r="EE133" s="12"/>
      <c r="EF133" s="768"/>
      <c r="EG133" s="12"/>
      <c r="EH133" s="12"/>
      <c r="EI133" s="12"/>
      <c r="EJ133" s="12"/>
      <c r="EK133" s="768"/>
      <c r="EL133" s="162"/>
      <c r="EO133" s="163"/>
      <c r="EP133" s="162"/>
      <c r="ET133" s="163"/>
      <c r="EU133" s="162"/>
      <c r="EX133" s="163"/>
      <c r="EY133" s="162"/>
      <c r="FB133" s="163"/>
    </row>
    <row r="134" spans="1:158" ht="21" customHeight="1" thickBot="1" x14ac:dyDescent="0.25">
      <c r="A134" s="1186"/>
      <c r="B134" s="249" t="s">
        <v>170</v>
      </c>
      <c r="C134" s="249" t="s">
        <v>171</v>
      </c>
      <c r="D134" s="249"/>
      <c r="E134" s="1187"/>
      <c r="F134" s="249" t="s">
        <v>74</v>
      </c>
      <c r="G134" s="773">
        <v>600</v>
      </c>
      <c r="H134" s="11">
        <f t="shared" si="6"/>
        <v>600</v>
      </c>
      <c r="I134" s="774">
        <f t="shared" si="3"/>
        <v>0</v>
      </c>
      <c r="P134" s="14"/>
      <c r="T134" s="123"/>
      <c r="U134" s="61"/>
      <c r="V134" s="123"/>
      <c r="W134" s="123"/>
      <c r="X134" s="19"/>
      <c r="Y134" s="123"/>
      <c r="Z134" s="123"/>
      <c r="AA134" s="61"/>
      <c r="AB134" s="123"/>
      <c r="AC134" s="61"/>
      <c r="AD134" s="123"/>
      <c r="AE134" s="123"/>
      <c r="AF134" s="19"/>
      <c r="AG134" s="123"/>
      <c r="AH134" s="123"/>
      <c r="AI134" s="124"/>
      <c r="AJ134" s="124"/>
      <c r="AK134" s="70"/>
      <c r="AL134" s="124"/>
      <c r="AM134" s="123"/>
      <c r="AN134" s="123"/>
      <c r="AO134" s="19"/>
      <c r="AP134" s="123"/>
      <c r="AQ134" s="123"/>
      <c r="AR134" s="123"/>
      <c r="AS134" s="123"/>
      <c r="AT134" s="61"/>
      <c r="AU134" s="123"/>
      <c r="AV134" s="741"/>
      <c r="AW134" s="741"/>
      <c r="AX134" s="108"/>
      <c r="AY134" s="63"/>
      <c r="AZ134" s="125"/>
      <c r="BA134" s="125"/>
      <c r="BB134" s="64"/>
      <c r="BC134" s="63"/>
      <c r="BD134" s="73"/>
      <c r="BE134" s="74"/>
      <c r="BF134" s="75"/>
      <c r="BG134" s="73"/>
      <c r="BH134" s="74"/>
      <c r="BI134" s="74"/>
      <c r="BJ134" s="75"/>
      <c r="BK134" s="74"/>
      <c r="BL134" s="74"/>
      <c r="BM134" s="73"/>
      <c r="BN134" s="74"/>
      <c r="BO134" s="75"/>
      <c r="BP134" s="74"/>
      <c r="BQ134" s="74"/>
      <c r="BR134" s="63"/>
      <c r="BS134" s="108"/>
      <c r="BT134" s="67"/>
      <c r="BU134" s="108"/>
      <c r="BV134" s="108"/>
      <c r="BW134" s="743"/>
      <c r="BX134" s="61"/>
      <c r="BY134" s="108"/>
      <c r="BZ134" s="108"/>
      <c r="CA134" s="108"/>
      <c r="CB134" s="123"/>
      <c r="CC134" s="14"/>
      <c r="CE134" s="12"/>
      <c r="CF134" s="12"/>
      <c r="CG134" s="17"/>
      <c r="CH134" s="181"/>
      <c r="CI134" s="12"/>
      <c r="CJ134" s="181"/>
      <c r="CK134" s="729"/>
      <c r="CL134" s="752"/>
      <c r="CO134" s="18"/>
      <c r="CS134" s="18"/>
      <c r="CT134" s="342"/>
      <c r="CV134" s="181"/>
      <c r="CW134" s="181"/>
      <c r="CX134" s="18"/>
      <c r="CY134" s="247"/>
      <c r="DA134" s="181"/>
      <c r="DB134" s="729"/>
      <c r="DC134" s="17"/>
      <c r="DE134" s="12"/>
      <c r="DG134" s="162"/>
      <c r="DH134" s="181"/>
      <c r="DI134" s="181"/>
      <c r="DJ134" s="181"/>
      <c r="DK134" s="17"/>
      <c r="DO134" s="18"/>
      <c r="DP134" s="766"/>
      <c r="DQ134" s="766"/>
      <c r="DR134" s="766"/>
      <c r="DS134" s="784"/>
      <c r="DT134" s="763"/>
      <c r="DU134" s="12"/>
      <c r="DV134" s="12"/>
      <c r="DW134" s="12">
        <v>600</v>
      </c>
      <c r="DX134" s="768"/>
      <c r="DY134" s="763"/>
      <c r="DZ134" s="12"/>
      <c r="EA134" s="12"/>
      <c r="EB134" s="12"/>
      <c r="EC134" s="763"/>
      <c r="ED134" s="12"/>
      <c r="EE134" s="12"/>
      <c r="EF134" s="768"/>
      <c r="EG134" s="12"/>
      <c r="EH134" s="12"/>
      <c r="EI134" s="12"/>
      <c r="EJ134" s="12"/>
      <c r="EK134" s="768"/>
      <c r="EL134" s="162"/>
      <c r="EO134" s="163"/>
      <c r="EP134" s="162"/>
      <c r="ET134" s="163"/>
      <c r="EU134" s="162"/>
      <c r="EX134" s="163"/>
      <c r="EY134" s="162"/>
      <c r="FB134" s="163"/>
    </row>
    <row r="135" spans="1:158" ht="21" customHeight="1" thickBot="1" x14ac:dyDescent="0.25">
      <c r="A135" s="1186"/>
      <c r="B135" s="249" t="s">
        <v>212</v>
      </c>
      <c r="C135" s="249" t="s">
        <v>213</v>
      </c>
      <c r="D135" s="249"/>
      <c r="E135" s="1187"/>
      <c r="F135" s="249" t="s">
        <v>74</v>
      </c>
      <c r="G135" s="773">
        <v>600</v>
      </c>
      <c r="H135" s="11">
        <f t="shared" si="6"/>
        <v>600</v>
      </c>
      <c r="I135" s="774">
        <f t="shared" si="3"/>
        <v>0</v>
      </c>
      <c r="P135" s="14"/>
      <c r="T135" s="123"/>
      <c r="U135" s="61"/>
      <c r="V135" s="123"/>
      <c r="W135" s="123"/>
      <c r="X135" s="19"/>
      <c r="Y135" s="123"/>
      <c r="Z135" s="123"/>
      <c r="AA135" s="61"/>
      <c r="AB135" s="123"/>
      <c r="AC135" s="61"/>
      <c r="AD135" s="123"/>
      <c r="AE135" s="123"/>
      <c r="AF135" s="19"/>
      <c r="AG135" s="123"/>
      <c r="AH135" s="123"/>
      <c r="AI135" s="124"/>
      <c r="AJ135" s="124"/>
      <c r="AK135" s="70"/>
      <c r="AL135" s="124"/>
      <c r="AM135" s="123"/>
      <c r="AN135" s="123"/>
      <c r="AO135" s="19"/>
      <c r="AP135" s="123"/>
      <c r="AQ135" s="123"/>
      <c r="AR135" s="123"/>
      <c r="AS135" s="123"/>
      <c r="AT135" s="61"/>
      <c r="AU135" s="123"/>
      <c r="AV135" s="741"/>
      <c r="AW135" s="741"/>
      <c r="AX135" s="108"/>
      <c r="AY135" s="63"/>
      <c r="AZ135" s="125"/>
      <c r="BA135" s="125"/>
      <c r="BB135" s="64"/>
      <c r="BC135" s="63"/>
      <c r="BD135" s="73"/>
      <c r="BE135" s="74"/>
      <c r="BF135" s="75"/>
      <c r="BG135" s="73"/>
      <c r="BH135" s="74"/>
      <c r="BI135" s="74"/>
      <c r="BJ135" s="75"/>
      <c r="BK135" s="74"/>
      <c r="BL135" s="74"/>
      <c r="BM135" s="73"/>
      <c r="BN135" s="74"/>
      <c r="BO135" s="75"/>
      <c r="BP135" s="74"/>
      <c r="BQ135" s="74"/>
      <c r="BR135" s="63"/>
      <c r="BS135" s="108"/>
      <c r="BT135" s="67"/>
      <c r="BU135" s="108"/>
      <c r="BV135" s="108"/>
      <c r="BW135" s="743"/>
      <c r="BX135" s="61"/>
      <c r="BY135" s="108"/>
      <c r="BZ135" s="108"/>
      <c r="CA135" s="108"/>
      <c r="CB135" s="123"/>
      <c r="CC135" s="14"/>
      <c r="CE135" s="12"/>
      <c r="CF135" s="12"/>
      <c r="CG135" s="17"/>
      <c r="CH135" s="181"/>
      <c r="CI135" s="12"/>
      <c r="CJ135" s="181"/>
      <c r="CK135" s="729"/>
      <c r="CL135" s="752"/>
      <c r="CO135" s="18"/>
      <c r="CS135" s="18"/>
      <c r="CT135" s="342"/>
      <c r="CV135" s="181"/>
      <c r="CW135" s="181"/>
      <c r="CX135" s="18"/>
      <c r="CY135" s="247"/>
      <c r="DA135" s="181"/>
      <c r="DB135" s="729"/>
      <c r="DC135" s="17"/>
      <c r="DE135" s="12"/>
      <c r="DG135" s="162"/>
      <c r="DH135" s="181"/>
      <c r="DI135" s="181"/>
      <c r="DJ135" s="181"/>
      <c r="DK135" s="17"/>
      <c r="DO135" s="18"/>
      <c r="DP135" s="766"/>
      <c r="DQ135" s="766"/>
      <c r="DR135" s="766"/>
      <c r="DS135" s="784"/>
      <c r="DT135" s="763"/>
      <c r="DU135" s="12"/>
      <c r="DV135" s="12"/>
      <c r="DW135" s="12">
        <v>600</v>
      </c>
      <c r="DX135" s="768"/>
      <c r="DY135" s="763"/>
      <c r="DZ135" s="12"/>
      <c r="EA135" s="12"/>
      <c r="EB135" s="12"/>
      <c r="EC135" s="763"/>
      <c r="ED135" s="12"/>
      <c r="EE135" s="12"/>
      <c r="EF135" s="768"/>
      <c r="EG135" s="12"/>
      <c r="EH135" s="12"/>
      <c r="EI135" s="12"/>
      <c r="EJ135" s="12"/>
      <c r="EK135" s="768"/>
      <c r="EL135" s="162"/>
      <c r="EO135" s="163"/>
      <c r="EP135" s="162"/>
      <c r="ET135" s="163"/>
      <c r="EU135" s="162"/>
      <c r="EX135" s="163"/>
      <c r="EY135" s="162"/>
      <c r="FB135" s="163"/>
    </row>
    <row r="136" spans="1:158" ht="21" customHeight="1" thickBot="1" x14ac:dyDescent="0.25">
      <c r="A136" s="1186"/>
      <c r="B136" s="249" t="s">
        <v>214</v>
      </c>
      <c r="C136" s="249" t="s">
        <v>215</v>
      </c>
      <c r="D136" s="249"/>
      <c r="E136" s="1187"/>
      <c r="F136" s="249" t="s">
        <v>74</v>
      </c>
      <c r="G136" s="773">
        <v>600</v>
      </c>
      <c r="H136" s="11">
        <f t="shared" si="6"/>
        <v>600</v>
      </c>
      <c r="I136" s="774">
        <f t="shared" si="3"/>
        <v>0</v>
      </c>
      <c r="P136" s="14"/>
      <c r="T136" s="123"/>
      <c r="U136" s="61"/>
      <c r="V136" s="123"/>
      <c r="W136" s="123"/>
      <c r="X136" s="19"/>
      <c r="Y136" s="123"/>
      <c r="Z136" s="123"/>
      <c r="AA136" s="61"/>
      <c r="AB136" s="123"/>
      <c r="AC136" s="61"/>
      <c r="AD136" s="123"/>
      <c r="AE136" s="123"/>
      <c r="AF136" s="19"/>
      <c r="AG136" s="123"/>
      <c r="AH136" s="123"/>
      <c r="AI136" s="124"/>
      <c r="AJ136" s="124"/>
      <c r="AK136" s="70"/>
      <c r="AL136" s="124"/>
      <c r="AM136" s="123"/>
      <c r="AN136" s="123"/>
      <c r="AO136" s="19"/>
      <c r="AP136" s="123"/>
      <c r="AQ136" s="123"/>
      <c r="AR136" s="123"/>
      <c r="AS136" s="123"/>
      <c r="AT136" s="61"/>
      <c r="AU136" s="123"/>
      <c r="AV136" s="741"/>
      <c r="AW136" s="741"/>
      <c r="AX136" s="108"/>
      <c r="AY136" s="63"/>
      <c r="AZ136" s="125"/>
      <c r="BA136" s="125"/>
      <c r="BB136" s="64"/>
      <c r="BC136" s="63"/>
      <c r="BD136" s="73"/>
      <c r="BE136" s="74"/>
      <c r="BF136" s="75"/>
      <c r="BG136" s="73"/>
      <c r="BH136" s="74"/>
      <c r="BI136" s="74"/>
      <c r="BJ136" s="75"/>
      <c r="BK136" s="74"/>
      <c r="BL136" s="74"/>
      <c r="BM136" s="73"/>
      <c r="BN136" s="74"/>
      <c r="BO136" s="75"/>
      <c r="BP136" s="74"/>
      <c r="BQ136" s="74"/>
      <c r="BR136" s="63"/>
      <c r="BS136" s="108"/>
      <c r="BT136" s="67"/>
      <c r="BU136" s="108"/>
      <c r="BV136" s="108"/>
      <c r="BW136" s="743"/>
      <c r="BX136" s="61"/>
      <c r="BY136" s="108"/>
      <c r="BZ136" s="108"/>
      <c r="CA136" s="108"/>
      <c r="CB136" s="123"/>
      <c r="CC136" s="14"/>
      <c r="CE136" s="12"/>
      <c r="CF136" s="12"/>
      <c r="CG136" s="17"/>
      <c r="CH136" s="181"/>
      <c r="CI136" s="12"/>
      <c r="CJ136" s="181"/>
      <c r="CK136" s="729"/>
      <c r="CL136" s="752"/>
      <c r="CO136" s="18"/>
      <c r="CS136" s="18"/>
      <c r="CT136" s="342"/>
      <c r="CV136" s="181"/>
      <c r="CW136" s="181"/>
      <c r="CX136" s="18"/>
      <c r="CY136" s="247"/>
      <c r="DA136" s="181"/>
      <c r="DB136" s="729"/>
      <c r="DC136" s="17"/>
      <c r="DE136" s="12"/>
      <c r="DG136" s="162"/>
      <c r="DH136" s="181"/>
      <c r="DI136" s="181"/>
      <c r="DJ136" s="181"/>
      <c r="DK136" s="17"/>
      <c r="DO136" s="18"/>
      <c r="DP136" s="766"/>
      <c r="DQ136" s="766"/>
      <c r="DR136" s="766"/>
      <c r="DS136" s="784"/>
      <c r="DT136" s="763"/>
      <c r="DU136" s="12"/>
      <c r="DV136" s="12"/>
      <c r="DW136" s="12">
        <v>600</v>
      </c>
      <c r="DX136" s="768"/>
      <c r="DY136" s="763"/>
      <c r="DZ136" s="12"/>
      <c r="EA136" s="12"/>
      <c r="EB136" s="12"/>
      <c r="EC136" s="763"/>
      <c r="ED136" s="12"/>
      <c r="EE136" s="12"/>
      <c r="EF136" s="768"/>
      <c r="EG136" s="12"/>
      <c r="EH136" s="12"/>
      <c r="EI136" s="12"/>
      <c r="EJ136" s="12"/>
      <c r="EK136" s="768"/>
      <c r="EL136" s="162"/>
      <c r="EO136" s="163"/>
      <c r="EP136" s="162"/>
      <c r="ET136" s="163"/>
      <c r="EU136" s="162"/>
      <c r="EX136" s="163"/>
      <c r="EY136" s="162"/>
      <c r="FB136" s="163"/>
    </row>
    <row r="137" spans="1:158" ht="21" customHeight="1" thickBot="1" x14ac:dyDescent="0.25">
      <c r="A137" s="1186" t="s">
        <v>207</v>
      </c>
      <c r="B137" s="249"/>
      <c r="C137" s="249"/>
      <c r="D137" s="249"/>
      <c r="E137" s="1187">
        <f>+E130</f>
        <v>46204</v>
      </c>
      <c r="F137" s="249"/>
      <c r="G137" s="773"/>
      <c r="H137" s="11"/>
      <c r="I137" s="774">
        <f t="shared" si="3"/>
        <v>0</v>
      </c>
      <c r="P137" s="14"/>
      <c r="T137" s="123"/>
      <c r="U137" s="61"/>
      <c r="V137" s="123"/>
      <c r="W137" s="123"/>
      <c r="X137" s="19"/>
      <c r="Y137" s="123"/>
      <c r="Z137" s="123"/>
      <c r="AA137" s="61"/>
      <c r="AB137" s="123"/>
      <c r="AC137" s="61"/>
      <c r="AD137" s="123"/>
      <c r="AE137" s="123"/>
      <c r="AF137" s="19"/>
      <c r="AG137" s="123"/>
      <c r="AH137" s="123"/>
      <c r="AI137" s="124"/>
      <c r="AJ137" s="124"/>
      <c r="AK137" s="70"/>
      <c r="AL137" s="124"/>
      <c r="AM137" s="123"/>
      <c r="AN137" s="123"/>
      <c r="AO137" s="19"/>
      <c r="AP137" s="123"/>
      <c r="AQ137" s="123"/>
      <c r="AR137" s="123"/>
      <c r="AS137" s="123"/>
      <c r="AT137" s="61"/>
      <c r="AU137" s="123"/>
      <c r="AV137" s="741"/>
      <c r="AW137" s="741"/>
      <c r="AX137" s="108"/>
      <c r="AY137" s="63"/>
      <c r="AZ137" s="125"/>
      <c r="BA137" s="125"/>
      <c r="BB137" s="64"/>
      <c r="BC137" s="63"/>
      <c r="BD137" s="73"/>
      <c r="BE137" s="74"/>
      <c r="BF137" s="75"/>
      <c r="BG137" s="73"/>
      <c r="BH137" s="74"/>
      <c r="BI137" s="74"/>
      <c r="BJ137" s="75"/>
      <c r="BK137" s="74"/>
      <c r="BL137" s="74"/>
      <c r="BM137" s="73"/>
      <c r="BN137" s="74"/>
      <c r="BO137" s="75"/>
      <c r="BP137" s="74"/>
      <c r="BQ137" s="74"/>
      <c r="BR137" s="63"/>
      <c r="BS137" s="108"/>
      <c r="BT137" s="67"/>
      <c r="BU137" s="108"/>
      <c r="BV137" s="108"/>
      <c r="BW137" s="743"/>
      <c r="BX137" s="61"/>
      <c r="BY137" s="108"/>
      <c r="BZ137" s="108"/>
      <c r="CA137" s="108"/>
      <c r="CB137" s="123"/>
      <c r="CC137" s="14"/>
      <c r="CE137" s="12"/>
      <c r="CF137" s="12"/>
      <c r="CG137" s="17"/>
      <c r="CH137" s="181"/>
      <c r="CI137" s="12"/>
      <c r="CJ137" s="181"/>
      <c r="CK137" s="729"/>
      <c r="CL137" s="752"/>
      <c r="CO137" s="18"/>
      <c r="CS137" s="18"/>
      <c r="CT137" s="342"/>
      <c r="CV137" s="181"/>
      <c r="CW137" s="181"/>
      <c r="CX137" s="18"/>
      <c r="CY137" s="247"/>
      <c r="DA137" s="181"/>
      <c r="DB137" s="729"/>
      <c r="DC137" s="17"/>
      <c r="DE137" s="12"/>
      <c r="DG137" s="162"/>
      <c r="DH137" s="181"/>
      <c r="DI137" s="181"/>
      <c r="DJ137" s="181"/>
      <c r="DK137" s="17"/>
      <c r="DO137" s="729"/>
      <c r="DP137" s="181"/>
      <c r="DQ137" s="142"/>
      <c r="DR137" s="142"/>
      <c r="DS137" s="784"/>
      <c r="DT137" s="763"/>
      <c r="DU137" s="12"/>
      <c r="DV137" s="12"/>
      <c r="DW137" s="12"/>
      <c r="DX137" s="768"/>
      <c r="DY137" s="763"/>
      <c r="DZ137" s="12"/>
      <c r="EA137" s="12"/>
      <c r="EB137" s="12"/>
      <c r="EC137" s="763"/>
      <c r="ED137" s="12"/>
      <c r="EE137" s="12"/>
      <c r="EF137" s="768"/>
      <c r="EG137" s="12"/>
      <c r="EH137" s="12"/>
      <c r="EI137" s="12"/>
      <c r="EJ137" s="12"/>
      <c r="EK137" s="768"/>
      <c r="EL137" s="162"/>
      <c r="EO137" s="163"/>
      <c r="EP137" s="162"/>
      <c r="ET137" s="163"/>
      <c r="EU137" s="162"/>
      <c r="EX137" s="163"/>
      <c r="EY137" s="162"/>
      <c r="FB137" s="163"/>
    </row>
    <row r="138" spans="1:158" ht="21" customHeight="1" thickBot="1" x14ac:dyDescent="0.25">
      <c r="A138" s="1188"/>
      <c r="B138" s="436" t="str">
        <f>+B125</f>
        <v>Firedex</v>
      </c>
      <c r="C138" s="249" t="s">
        <v>197</v>
      </c>
      <c r="D138" s="249"/>
      <c r="E138" s="1189"/>
      <c r="F138" s="358" t="s">
        <v>15</v>
      </c>
      <c r="G138" s="773">
        <v>1500</v>
      </c>
      <c r="H138" s="11">
        <f t="shared" si="6"/>
        <v>1500</v>
      </c>
      <c r="I138" s="774">
        <f t="shared" si="3"/>
        <v>0</v>
      </c>
      <c r="P138" s="14"/>
      <c r="T138" s="123"/>
      <c r="U138" s="61"/>
      <c r="V138" s="123"/>
      <c r="W138" s="123"/>
      <c r="X138" s="19"/>
      <c r="Y138" s="123"/>
      <c r="Z138" s="123"/>
      <c r="AA138" s="61"/>
      <c r="AB138" s="123"/>
      <c r="AC138" s="61"/>
      <c r="AD138" s="123"/>
      <c r="AE138" s="123"/>
      <c r="AF138" s="19"/>
      <c r="AG138" s="123"/>
      <c r="AH138" s="123"/>
      <c r="AI138" s="124"/>
      <c r="AJ138" s="124"/>
      <c r="AK138" s="70"/>
      <c r="AL138" s="124"/>
      <c r="AM138" s="123"/>
      <c r="AN138" s="123"/>
      <c r="AO138" s="19"/>
      <c r="AP138" s="123"/>
      <c r="AQ138" s="123"/>
      <c r="AR138" s="123"/>
      <c r="AS138" s="123"/>
      <c r="AT138" s="61"/>
      <c r="AU138" s="123"/>
      <c r="AV138" s="741"/>
      <c r="AW138" s="741"/>
      <c r="AX138" s="108"/>
      <c r="AY138" s="63"/>
      <c r="AZ138" s="125"/>
      <c r="BA138" s="125"/>
      <c r="BB138" s="64"/>
      <c r="BC138" s="63"/>
      <c r="BD138" s="73"/>
      <c r="BE138" s="74"/>
      <c r="BF138" s="75"/>
      <c r="BG138" s="73"/>
      <c r="BH138" s="74"/>
      <c r="BI138" s="74"/>
      <c r="BJ138" s="75"/>
      <c r="BK138" s="74"/>
      <c r="BL138" s="74"/>
      <c r="BM138" s="73"/>
      <c r="BN138" s="74"/>
      <c r="BO138" s="75"/>
      <c r="BP138" s="74"/>
      <c r="BQ138" s="74"/>
      <c r="BR138" s="63"/>
      <c r="BS138" s="108"/>
      <c r="BT138" s="67"/>
      <c r="BU138" s="108"/>
      <c r="BV138" s="108"/>
      <c r="BW138" s="743"/>
      <c r="BX138" s="61"/>
      <c r="BY138" s="108"/>
      <c r="BZ138" s="108"/>
      <c r="CA138" s="108"/>
      <c r="CB138" s="123"/>
      <c r="CC138" s="14"/>
      <c r="CE138" s="12"/>
      <c r="CF138" s="12"/>
      <c r="CG138" s="17"/>
      <c r="CH138" s="181"/>
      <c r="CI138" s="12"/>
      <c r="CJ138" s="181"/>
      <c r="CK138" s="729"/>
      <c r="CL138" s="752"/>
      <c r="CO138" s="18"/>
      <c r="CS138" s="18"/>
      <c r="CT138" s="342"/>
      <c r="CV138" s="181"/>
      <c r="CW138" s="181"/>
      <c r="CX138" s="18"/>
      <c r="CY138" s="247"/>
      <c r="DA138" s="181"/>
      <c r="DB138" s="729"/>
      <c r="DC138" s="17"/>
      <c r="DE138" s="12"/>
      <c r="DG138" s="162"/>
      <c r="DH138" s="181"/>
      <c r="DI138" s="181"/>
      <c r="DJ138" s="181"/>
      <c r="DK138" s="17"/>
      <c r="DO138" s="729"/>
      <c r="DP138" s="181"/>
      <c r="DR138" s="766"/>
      <c r="DS138" s="768"/>
      <c r="DT138" s="763"/>
      <c r="DU138" s="12"/>
      <c r="DV138" s="12"/>
      <c r="DW138" s="12"/>
      <c r="DX138" s="768"/>
      <c r="DY138" s="763">
        <v>1500</v>
      </c>
      <c r="DZ138" s="12"/>
      <c r="EA138" s="12"/>
      <c r="EB138" s="12"/>
      <c r="EC138" s="763"/>
      <c r="ED138" s="12"/>
      <c r="EE138" s="12"/>
      <c r="EF138" s="768"/>
      <c r="EG138" s="12"/>
      <c r="EH138" s="12"/>
      <c r="EI138" s="12"/>
      <c r="EJ138" s="12"/>
      <c r="EK138" s="768"/>
      <c r="EL138" s="162"/>
      <c r="EO138" s="163"/>
      <c r="EP138" s="162"/>
      <c r="ET138" s="163"/>
      <c r="EU138" s="162"/>
      <c r="EX138" s="163"/>
      <c r="EY138" s="162"/>
      <c r="FB138" s="163"/>
    </row>
    <row r="139" spans="1:158" ht="21" customHeight="1" thickBot="1" x14ac:dyDescent="0.25">
      <c r="A139" s="1188"/>
      <c r="B139" s="436" t="str">
        <f>+B126</f>
        <v>Weinbrenner</v>
      </c>
      <c r="C139" s="249" t="s">
        <v>29</v>
      </c>
      <c r="D139" s="249"/>
      <c r="E139" s="1189"/>
      <c r="F139" s="358" t="s">
        <v>29</v>
      </c>
      <c r="G139" s="773">
        <v>750</v>
      </c>
      <c r="H139" s="11">
        <f t="shared" si="6"/>
        <v>750</v>
      </c>
      <c r="I139" s="774">
        <f t="shared" si="3"/>
        <v>0</v>
      </c>
      <c r="P139" s="14"/>
      <c r="T139" s="123"/>
      <c r="U139" s="61"/>
      <c r="V139" s="123"/>
      <c r="W139" s="123"/>
      <c r="X139" s="19"/>
      <c r="Y139" s="123"/>
      <c r="Z139" s="123"/>
      <c r="AA139" s="61"/>
      <c r="AB139" s="123"/>
      <c r="AC139" s="61"/>
      <c r="AD139" s="123"/>
      <c r="AE139" s="123"/>
      <c r="AF139" s="19"/>
      <c r="AG139" s="123"/>
      <c r="AH139" s="123"/>
      <c r="AI139" s="124"/>
      <c r="AJ139" s="124"/>
      <c r="AK139" s="70"/>
      <c r="AL139" s="124"/>
      <c r="AM139" s="123"/>
      <c r="AN139" s="123"/>
      <c r="AO139" s="19"/>
      <c r="AP139" s="123"/>
      <c r="AQ139" s="123"/>
      <c r="AR139" s="123"/>
      <c r="AS139" s="123"/>
      <c r="AT139" s="61"/>
      <c r="AU139" s="123"/>
      <c r="AV139" s="741"/>
      <c r="AW139" s="741"/>
      <c r="AX139" s="108"/>
      <c r="AY139" s="63"/>
      <c r="AZ139" s="125"/>
      <c r="BA139" s="125"/>
      <c r="BB139" s="64"/>
      <c r="BC139" s="63"/>
      <c r="BD139" s="73"/>
      <c r="BE139" s="74"/>
      <c r="BF139" s="75"/>
      <c r="BG139" s="73"/>
      <c r="BH139" s="74"/>
      <c r="BI139" s="74"/>
      <c r="BJ139" s="75"/>
      <c r="BK139" s="74"/>
      <c r="BL139" s="74"/>
      <c r="BM139" s="73"/>
      <c r="BN139" s="74"/>
      <c r="BO139" s="75"/>
      <c r="BP139" s="74"/>
      <c r="BQ139" s="74"/>
      <c r="BR139" s="63"/>
      <c r="BS139" s="108"/>
      <c r="BT139" s="67"/>
      <c r="BU139" s="108"/>
      <c r="BV139" s="108"/>
      <c r="BW139" s="743"/>
      <c r="BX139" s="61"/>
      <c r="BY139" s="108"/>
      <c r="BZ139" s="108"/>
      <c r="CA139" s="108"/>
      <c r="CB139" s="123"/>
      <c r="CC139" s="14"/>
      <c r="CE139" s="12"/>
      <c r="CF139" s="12"/>
      <c r="CG139" s="17"/>
      <c r="CH139" s="181"/>
      <c r="CI139" s="12"/>
      <c r="CJ139" s="181"/>
      <c r="CK139" s="729"/>
      <c r="CL139" s="752"/>
      <c r="CO139" s="18"/>
      <c r="CS139" s="18"/>
      <c r="CT139" s="342"/>
      <c r="CV139" s="181"/>
      <c r="CW139" s="181"/>
      <c r="CX139" s="18"/>
      <c r="CY139" s="247"/>
      <c r="DA139" s="181"/>
      <c r="DB139" s="729"/>
      <c r="DC139" s="17"/>
      <c r="DE139" s="12"/>
      <c r="DG139" s="162"/>
      <c r="DH139" s="181"/>
      <c r="DI139" s="181"/>
      <c r="DJ139" s="181"/>
      <c r="DK139" s="17"/>
      <c r="DO139" s="729"/>
      <c r="DP139" s="181"/>
      <c r="DS139" s="783"/>
      <c r="DT139" s="763"/>
      <c r="DU139" s="12"/>
      <c r="DV139" s="12"/>
      <c r="DW139" s="12"/>
      <c r="DX139" s="768"/>
      <c r="DY139" s="763">
        <v>750</v>
      </c>
      <c r="DZ139" s="12"/>
      <c r="EA139" s="12"/>
      <c r="EB139" s="12"/>
      <c r="EC139" s="763"/>
      <c r="ED139" s="12"/>
      <c r="EE139" s="12"/>
      <c r="EF139" s="768"/>
      <c r="EG139" s="12"/>
      <c r="EH139" s="12"/>
      <c r="EI139" s="12"/>
      <c r="EJ139" s="12"/>
      <c r="EK139" s="768"/>
      <c r="EL139" s="162"/>
      <c r="EO139" s="163"/>
      <c r="EP139" s="162"/>
      <c r="ET139" s="163"/>
      <c r="EU139" s="162"/>
      <c r="EX139" s="163"/>
      <c r="EY139" s="162"/>
      <c r="FB139" s="163"/>
    </row>
    <row r="140" spans="1:158" ht="21" customHeight="1" thickBot="1" x14ac:dyDescent="0.25">
      <c r="A140" s="1188"/>
      <c r="B140" s="249" t="str">
        <f>+B127</f>
        <v>Chippewa</v>
      </c>
      <c r="C140" s="249" t="s">
        <v>8</v>
      </c>
      <c r="D140" s="249"/>
      <c r="E140" s="1189"/>
      <c r="F140" s="249" t="s">
        <v>8</v>
      </c>
      <c r="G140" s="773">
        <v>1000</v>
      </c>
      <c r="H140" s="11">
        <f t="shared" si="6"/>
        <v>1000</v>
      </c>
      <c r="I140" s="774">
        <f t="shared" si="3"/>
        <v>0</v>
      </c>
      <c r="P140" s="14"/>
      <c r="T140" s="123"/>
      <c r="U140" s="61"/>
      <c r="V140" s="123"/>
      <c r="W140" s="123"/>
      <c r="X140" s="19"/>
      <c r="Y140" s="123"/>
      <c r="Z140" s="123"/>
      <c r="AA140" s="61"/>
      <c r="AB140" s="123"/>
      <c r="AC140" s="61"/>
      <c r="AD140" s="123"/>
      <c r="AE140" s="123"/>
      <c r="AF140" s="19"/>
      <c r="AG140" s="123"/>
      <c r="AH140" s="123"/>
      <c r="AI140" s="124"/>
      <c r="AJ140" s="124"/>
      <c r="AK140" s="70"/>
      <c r="AL140" s="124"/>
      <c r="AM140" s="123"/>
      <c r="AN140" s="123"/>
      <c r="AO140" s="19"/>
      <c r="AP140" s="123"/>
      <c r="AQ140" s="123"/>
      <c r="AR140" s="123"/>
      <c r="AS140" s="123"/>
      <c r="AT140" s="61"/>
      <c r="AU140" s="123"/>
      <c r="AV140" s="741"/>
      <c r="AW140" s="741"/>
      <c r="AX140" s="108"/>
      <c r="AY140" s="63"/>
      <c r="AZ140" s="125"/>
      <c r="BA140" s="125"/>
      <c r="BB140" s="64"/>
      <c r="BC140" s="63"/>
      <c r="BD140" s="73"/>
      <c r="BE140" s="74"/>
      <c r="BF140" s="75"/>
      <c r="BG140" s="73"/>
      <c r="BH140" s="74"/>
      <c r="BI140" s="74"/>
      <c r="BJ140" s="75"/>
      <c r="BK140" s="74"/>
      <c r="BL140" s="74"/>
      <c r="BM140" s="73"/>
      <c r="BN140" s="74"/>
      <c r="BO140" s="75"/>
      <c r="BP140" s="74"/>
      <c r="BQ140" s="74"/>
      <c r="BR140" s="63"/>
      <c r="BS140" s="108"/>
      <c r="BT140" s="67"/>
      <c r="BU140" s="108"/>
      <c r="BV140" s="108"/>
      <c r="BW140" s="743"/>
      <c r="BX140" s="61"/>
      <c r="BY140" s="108"/>
      <c r="BZ140" s="108"/>
      <c r="CA140" s="108"/>
      <c r="CB140" s="123"/>
      <c r="CC140" s="14"/>
      <c r="CE140" s="12"/>
      <c r="CF140" s="12"/>
      <c r="CG140" s="17"/>
      <c r="CH140" s="181"/>
      <c r="CI140" s="12"/>
      <c r="CJ140" s="181"/>
      <c r="CK140" s="729"/>
      <c r="CL140" s="752"/>
      <c r="CO140" s="18"/>
      <c r="CS140" s="18"/>
      <c r="CT140" s="342"/>
      <c r="CV140" s="181"/>
      <c r="CW140" s="181"/>
      <c r="CX140" s="18"/>
      <c r="CY140" s="247"/>
      <c r="DA140" s="181"/>
      <c r="DB140" s="729"/>
      <c r="DC140" s="17"/>
      <c r="DE140" s="12"/>
      <c r="DG140" s="162"/>
      <c r="DH140" s="181"/>
      <c r="DI140" s="181"/>
      <c r="DJ140" s="181"/>
      <c r="DK140" s="17"/>
      <c r="DO140" s="729"/>
      <c r="DP140" s="181"/>
      <c r="DS140" s="163"/>
      <c r="DT140" s="763"/>
      <c r="DU140" s="12"/>
      <c r="DV140" s="12"/>
      <c r="DW140" s="12"/>
      <c r="DX140" s="768">
        <v>1000</v>
      </c>
      <c r="DY140" s="763"/>
      <c r="DZ140" s="12"/>
      <c r="EA140" s="12"/>
      <c r="EB140" s="12"/>
      <c r="EC140" s="763"/>
      <c r="ED140" s="12"/>
      <c r="EE140" s="12"/>
      <c r="EF140" s="768"/>
      <c r="EG140" s="12"/>
      <c r="EH140" s="12"/>
      <c r="EI140" s="12"/>
      <c r="EJ140" s="12"/>
      <c r="EK140" s="768"/>
      <c r="EL140" s="162"/>
      <c r="EO140" s="163"/>
      <c r="EP140" s="162"/>
      <c r="ET140" s="163"/>
      <c r="EU140" s="162"/>
      <c r="EX140" s="163"/>
      <c r="EY140" s="162"/>
      <c r="FB140" s="163"/>
    </row>
    <row r="141" spans="1:158" ht="21" customHeight="1" thickBot="1" x14ac:dyDescent="0.25">
      <c r="A141" s="1188"/>
      <c r="B141" s="249" t="str">
        <f>+B128</f>
        <v>WWW</v>
      </c>
      <c r="C141" s="249" t="s">
        <v>201</v>
      </c>
      <c r="D141" s="249"/>
      <c r="E141" s="1189"/>
      <c r="F141" s="249" t="s">
        <v>201</v>
      </c>
      <c r="G141" s="773"/>
      <c r="H141" s="11">
        <f t="shared" si="6"/>
        <v>0</v>
      </c>
      <c r="I141" s="774">
        <f t="shared" si="3"/>
        <v>0</v>
      </c>
      <c r="P141" s="14"/>
      <c r="T141" s="123"/>
      <c r="U141" s="61"/>
      <c r="V141" s="123"/>
      <c r="W141" s="123"/>
      <c r="X141" s="19"/>
      <c r="Y141" s="123"/>
      <c r="Z141" s="123"/>
      <c r="AA141" s="61"/>
      <c r="AB141" s="123"/>
      <c r="AC141" s="61"/>
      <c r="AD141" s="123"/>
      <c r="AE141" s="123"/>
      <c r="AF141" s="19"/>
      <c r="AG141" s="123"/>
      <c r="AH141" s="123"/>
      <c r="AI141" s="124"/>
      <c r="AJ141" s="124"/>
      <c r="AK141" s="70"/>
      <c r="AL141" s="124"/>
      <c r="AM141" s="123"/>
      <c r="AN141" s="123"/>
      <c r="AO141" s="19"/>
      <c r="AP141" s="123"/>
      <c r="AQ141" s="123"/>
      <c r="AR141" s="123"/>
      <c r="AS141" s="123"/>
      <c r="AT141" s="61"/>
      <c r="AU141" s="123"/>
      <c r="AV141" s="741"/>
      <c r="AW141" s="741"/>
      <c r="AX141" s="108"/>
      <c r="AY141" s="63"/>
      <c r="AZ141" s="125"/>
      <c r="BA141" s="125"/>
      <c r="BB141" s="64"/>
      <c r="BC141" s="63"/>
      <c r="BD141" s="73"/>
      <c r="BE141" s="74"/>
      <c r="BF141" s="75"/>
      <c r="BG141" s="73"/>
      <c r="BH141" s="74"/>
      <c r="BI141" s="74"/>
      <c r="BJ141" s="75"/>
      <c r="BK141" s="74"/>
      <c r="BL141" s="74"/>
      <c r="BM141" s="73"/>
      <c r="BN141" s="74"/>
      <c r="BO141" s="75"/>
      <c r="BP141" s="74"/>
      <c r="BQ141" s="74"/>
      <c r="BR141" s="63"/>
      <c r="BS141" s="108"/>
      <c r="BT141" s="67"/>
      <c r="BU141" s="108"/>
      <c r="BV141" s="108"/>
      <c r="BW141" s="743"/>
      <c r="BX141" s="61"/>
      <c r="BY141" s="108"/>
      <c r="BZ141" s="108"/>
      <c r="CA141" s="108"/>
      <c r="CB141" s="123"/>
      <c r="CC141" s="14"/>
      <c r="CE141" s="12"/>
      <c r="CF141" s="12"/>
      <c r="CG141" s="17"/>
      <c r="CH141" s="181"/>
      <c r="CI141" s="12"/>
      <c r="CJ141" s="181"/>
      <c r="CK141" s="729"/>
      <c r="CL141" s="752"/>
      <c r="CO141" s="18"/>
      <c r="CS141" s="18"/>
      <c r="CT141" s="342"/>
      <c r="CV141" s="181"/>
      <c r="CW141" s="181"/>
      <c r="CX141" s="18"/>
      <c r="CY141" s="247"/>
      <c r="DA141" s="181"/>
      <c r="DB141" s="729"/>
      <c r="DC141" s="17"/>
      <c r="DE141" s="12"/>
      <c r="DG141" s="162"/>
      <c r="DH141" s="181"/>
      <c r="DI141" s="181"/>
      <c r="DJ141" s="181"/>
      <c r="DK141" s="17"/>
      <c r="DO141" s="729"/>
      <c r="DP141" s="181"/>
      <c r="DS141" s="163"/>
      <c r="DT141" s="763"/>
      <c r="DU141" s="12"/>
      <c r="DV141" s="12"/>
      <c r="DW141" s="12"/>
      <c r="DX141" s="768"/>
      <c r="DY141" s="763"/>
      <c r="DZ141" s="12"/>
      <c r="EA141" s="12"/>
      <c r="EB141" s="12"/>
      <c r="EC141" s="763"/>
      <c r="ED141" s="12"/>
      <c r="EE141" s="12"/>
      <c r="EF141" s="768"/>
      <c r="EG141" s="12"/>
      <c r="EH141" s="12"/>
      <c r="EI141" s="12"/>
      <c r="EJ141" s="12"/>
      <c r="EK141" s="768"/>
      <c r="EL141" s="162"/>
      <c r="EO141" s="163"/>
      <c r="EP141" s="162"/>
      <c r="ET141" s="163"/>
      <c r="EU141" s="162"/>
      <c r="EX141" s="163"/>
      <c r="EY141" s="162"/>
      <c r="FB141" s="163"/>
    </row>
    <row r="142" spans="1:158" ht="21" customHeight="1" thickBot="1" x14ac:dyDescent="0.25">
      <c r="A142" s="1188"/>
      <c r="B142" s="249" t="str">
        <f>+B129</f>
        <v>USB</v>
      </c>
      <c r="C142" s="249" t="s">
        <v>103</v>
      </c>
      <c r="D142" s="249"/>
      <c r="E142" s="1189"/>
      <c r="F142" s="249" t="s">
        <v>202</v>
      </c>
      <c r="G142" s="773">
        <v>1900</v>
      </c>
      <c r="H142" s="11">
        <f t="shared" si="6"/>
        <v>1900</v>
      </c>
      <c r="I142" s="774">
        <f t="shared" si="3"/>
        <v>0</v>
      </c>
      <c r="P142" s="14"/>
      <c r="T142" s="123"/>
      <c r="U142" s="61"/>
      <c r="V142" s="123"/>
      <c r="W142" s="123"/>
      <c r="X142" s="19"/>
      <c r="Y142" s="123"/>
      <c r="Z142" s="123"/>
      <c r="AA142" s="61"/>
      <c r="AB142" s="123"/>
      <c r="AC142" s="61"/>
      <c r="AD142" s="123"/>
      <c r="AE142" s="123"/>
      <c r="AF142" s="19"/>
      <c r="AG142" s="123"/>
      <c r="AH142" s="123"/>
      <c r="AI142" s="124"/>
      <c r="AJ142" s="124"/>
      <c r="AK142" s="70"/>
      <c r="AL142" s="124"/>
      <c r="AM142" s="123"/>
      <c r="AN142" s="123"/>
      <c r="AO142" s="19"/>
      <c r="AP142" s="123"/>
      <c r="AQ142" s="123"/>
      <c r="AR142" s="123"/>
      <c r="AS142" s="123"/>
      <c r="AT142" s="61"/>
      <c r="AU142" s="123"/>
      <c r="AV142" s="741"/>
      <c r="AW142" s="741"/>
      <c r="AX142" s="108"/>
      <c r="AY142" s="63"/>
      <c r="AZ142" s="125"/>
      <c r="BA142" s="125"/>
      <c r="BB142" s="64"/>
      <c r="BC142" s="63"/>
      <c r="BD142" s="73"/>
      <c r="BE142" s="74"/>
      <c r="BF142" s="75"/>
      <c r="BG142" s="73"/>
      <c r="BH142" s="74"/>
      <c r="BI142" s="74"/>
      <c r="BJ142" s="75"/>
      <c r="BK142" s="74"/>
      <c r="BL142" s="74"/>
      <c r="BM142" s="73"/>
      <c r="BN142" s="74"/>
      <c r="BO142" s="75"/>
      <c r="BP142" s="74"/>
      <c r="BQ142" s="74"/>
      <c r="BR142" s="63"/>
      <c r="BS142" s="108"/>
      <c r="BT142" s="67"/>
      <c r="BU142" s="108"/>
      <c r="BV142" s="108"/>
      <c r="BW142" s="743"/>
      <c r="BX142" s="61"/>
      <c r="BY142" s="108"/>
      <c r="BZ142" s="108"/>
      <c r="CA142" s="108"/>
      <c r="CB142" s="123"/>
      <c r="CC142" s="14"/>
      <c r="CE142" s="12"/>
      <c r="CF142" s="12"/>
      <c r="CG142" s="17"/>
      <c r="CH142" s="181"/>
      <c r="CI142" s="12"/>
      <c r="CJ142" s="181"/>
      <c r="CK142" s="729"/>
      <c r="CL142" s="752"/>
      <c r="CO142" s="18"/>
      <c r="CS142" s="18"/>
      <c r="CT142" s="342"/>
      <c r="CV142" s="181"/>
      <c r="CW142" s="181"/>
      <c r="CX142" s="18"/>
      <c r="CY142" s="247"/>
      <c r="DA142" s="181"/>
      <c r="DB142" s="729"/>
      <c r="DC142" s="17"/>
      <c r="DE142" s="12"/>
      <c r="DG142" s="162"/>
      <c r="DH142" s="181"/>
      <c r="DI142" s="181"/>
      <c r="DJ142" s="181"/>
      <c r="DK142" s="17"/>
      <c r="DO142" s="729"/>
      <c r="DP142" s="181"/>
      <c r="DS142" s="163"/>
      <c r="DT142" s="763"/>
      <c r="DU142" s="12"/>
      <c r="DV142" s="12"/>
      <c r="DW142" s="12"/>
      <c r="DX142" s="768">
        <v>250</v>
      </c>
      <c r="DY142" s="763"/>
      <c r="DZ142" s="12"/>
      <c r="EA142" s="12"/>
      <c r="EB142" s="12">
        <v>600</v>
      </c>
      <c r="EC142" s="763"/>
      <c r="ED142" s="12">
        <v>550</v>
      </c>
      <c r="EE142" s="12"/>
      <c r="EF142" s="768">
        <v>500</v>
      </c>
      <c r="EG142" s="12"/>
      <c r="EH142" s="12"/>
      <c r="EI142" s="12"/>
      <c r="EJ142" s="12"/>
      <c r="EK142" s="768"/>
      <c r="EL142" s="162"/>
      <c r="EO142" s="163"/>
      <c r="EP142" s="162"/>
      <c r="ET142" s="163"/>
      <c r="EU142" s="162"/>
      <c r="EX142" s="163"/>
      <c r="EY142" s="162"/>
      <c r="FB142" s="163"/>
    </row>
    <row r="143" spans="1:158" ht="21" customHeight="1" thickBot="1" x14ac:dyDescent="0.25">
      <c r="A143" s="1186" t="s">
        <v>216</v>
      </c>
      <c r="B143" s="249" t="s">
        <v>217</v>
      </c>
      <c r="C143" s="249" t="s">
        <v>144</v>
      </c>
      <c r="D143" s="249"/>
      <c r="E143" s="1187">
        <v>46235</v>
      </c>
      <c r="F143" s="249" t="s">
        <v>74</v>
      </c>
      <c r="G143" s="773">
        <v>3793</v>
      </c>
      <c r="H143" s="11">
        <f t="shared" si="6"/>
        <v>3793</v>
      </c>
      <c r="I143" s="774">
        <f t="shared" si="3"/>
        <v>0</v>
      </c>
      <c r="P143" s="14"/>
      <c r="T143" s="123"/>
      <c r="U143" s="61"/>
      <c r="V143" s="123"/>
      <c r="W143" s="123"/>
      <c r="X143" s="19"/>
      <c r="Y143" s="123"/>
      <c r="Z143" s="123"/>
      <c r="AA143" s="61"/>
      <c r="AB143" s="123"/>
      <c r="AC143" s="61"/>
      <c r="AD143" s="123"/>
      <c r="AE143" s="123"/>
      <c r="AF143" s="19"/>
      <c r="AG143" s="123"/>
      <c r="AH143" s="123"/>
      <c r="AI143" s="124"/>
      <c r="AJ143" s="124"/>
      <c r="AK143" s="70"/>
      <c r="AL143" s="124"/>
      <c r="AM143" s="123"/>
      <c r="AN143" s="123"/>
      <c r="AO143" s="19"/>
      <c r="AP143" s="123"/>
      <c r="AQ143" s="123"/>
      <c r="AR143" s="123"/>
      <c r="AS143" s="123"/>
      <c r="AT143" s="61"/>
      <c r="AU143" s="123"/>
      <c r="AV143" s="741"/>
      <c r="AW143" s="741"/>
      <c r="AX143" s="108"/>
      <c r="AY143" s="63"/>
      <c r="AZ143" s="125"/>
      <c r="BA143" s="125"/>
      <c r="BB143" s="64"/>
      <c r="BC143" s="63"/>
      <c r="BD143" s="73"/>
      <c r="BE143" s="74"/>
      <c r="BF143" s="75"/>
      <c r="BG143" s="73"/>
      <c r="BH143" s="74"/>
      <c r="BI143" s="74"/>
      <c r="BJ143" s="75"/>
      <c r="BK143" s="74"/>
      <c r="BL143" s="74"/>
      <c r="BM143" s="73"/>
      <c r="BN143" s="74"/>
      <c r="BO143" s="75"/>
      <c r="BP143" s="74"/>
      <c r="BQ143" s="74"/>
      <c r="BR143" s="63"/>
      <c r="BS143" s="108"/>
      <c r="BT143" s="67"/>
      <c r="BU143" s="108"/>
      <c r="BV143" s="108"/>
      <c r="BW143" s="743"/>
      <c r="BX143" s="61"/>
      <c r="BY143" s="108"/>
      <c r="BZ143" s="108"/>
      <c r="CA143" s="108"/>
      <c r="CB143" s="123"/>
      <c r="CC143" s="14"/>
      <c r="CE143" s="12"/>
      <c r="CF143" s="12"/>
      <c r="CG143" s="17"/>
      <c r="CH143" s="181"/>
      <c r="CI143" s="12"/>
      <c r="CJ143" s="181"/>
      <c r="CK143" s="729"/>
      <c r="CL143" s="752"/>
      <c r="CO143" s="18"/>
      <c r="CS143" s="18"/>
      <c r="CT143" s="342"/>
      <c r="CV143" s="181"/>
      <c r="CW143" s="181"/>
      <c r="CX143" s="18"/>
      <c r="CY143" s="247"/>
      <c r="DA143" s="181"/>
      <c r="DB143" s="729"/>
      <c r="DC143" s="17"/>
      <c r="DE143" s="12"/>
      <c r="DG143" s="162"/>
      <c r="DH143" s="181"/>
      <c r="DI143" s="181"/>
      <c r="DJ143" s="181"/>
      <c r="DK143" s="17"/>
      <c r="DO143" s="18"/>
      <c r="DS143" s="163"/>
      <c r="DT143" s="763"/>
      <c r="DU143" s="12"/>
      <c r="DV143" s="12"/>
      <c r="DW143" s="12"/>
      <c r="DX143" s="768"/>
      <c r="DY143" s="763"/>
      <c r="DZ143" s="12">
        <v>2750</v>
      </c>
      <c r="EA143" s="12">
        <v>1043</v>
      </c>
      <c r="EB143" s="12"/>
      <c r="EC143" s="763"/>
      <c r="ED143" s="12"/>
      <c r="EE143" s="12"/>
      <c r="EF143" s="768"/>
      <c r="EG143" s="12"/>
      <c r="EH143" s="12"/>
      <c r="EI143" s="12"/>
      <c r="EJ143" s="12"/>
      <c r="EK143" s="768"/>
      <c r="EL143" s="162"/>
      <c r="EO143" s="163"/>
      <c r="EP143" s="162"/>
      <c r="ET143" s="163"/>
      <c r="EU143" s="162"/>
      <c r="EX143" s="163"/>
      <c r="EY143" s="162"/>
      <c r="FB143" s="163"/>
    </row>
    <row r="144" spans="1:158" ht="21" customHeight="1" thickBot="1" x14ac:dyDescent="0.25">
      <c r="A144" s="1186"/>
      <c r="B144" s="249" t="s">
        <v>218</v>
      </c>
      <c r="C144" s="249" t="s">
        <v>148</v>
      </c>
      <c r="D144" s="249"/>
      <c r="E144" s="1187"/>
      <c r="F144" s="249" t="s">
        <v>74</v>
      </c>
      <c r="G144" s="773">
        <v>1063</v>
      </c>
      <c r="H144" s="11">
        <f t="shared" si="6"/>
        <v>1063</v>
      </c>
      <c r="I144" s="774">
        <f t="shared" ref="I144:I206" si="7">G144-H144</f>
        <v>0</v>
      </c>
      <c r="P144" s="14"/>
      <c r="T144" s="123"/>
      <c r="U144" s="61"/>
      <c r="V144" s="123"/>
      <c r="W144" s="123"/>
      <c r="X144" s="19"/>
      <c r="Y144" s="123"/>
      <c r="Z144" s="123"/>
      <c r="AA144" s="61"/>
      <c r="AB144" s="123"/>
      <c r="AC144" s="61"/>
      <c r="AD144" s="123"/>
      <c r="AE144" s="123"/>
      <c r="AF144" s="19"/>
      <c r="AG144" s="123"/>
      <c r="AH144" s="123"/>
      <c r="AI144" s="124"/>
      <c r="AJ144" s="124"/>
      <c r="AK144" s="70"/>
      <c r="AL144" s="124"/>
      <c r="AM144" s="123"/>
      <c r="AN144" s="123"/>
      <c r="AO144" s="19"/>
      <c r="AP144" s="123"/>
      <c r="AQ144" s="123"/>
      <c r="AR144" s="123"/>
      <c r="AS144" s="123"/>
      <c r="AT144" s="61"/>
      <c r="AU144" s="123"/>
      <c r="AV144" s="741"/>
      <c r="AW144" s="741"/>
      <c r="AX144" s="108"/>
      <c r="AY144" s="63"/>
      <c r="AZ144" s="125"/>
      <c r="BA144" s="125"/>
      <c r="BB144" s="64"/>
      <c r="BC144" s="63"/>
      <c r="BD144" s="73"/>
      <c r="BE144" s="74"/>
      <c r="BF144" s="75"/>
      <c r="BG144" s="73"/>
      <c r="BH144" s="74"/>
      <c r="BI144" s="74"/>
      <c r="BJ144" s="75"/>
      <c r="BK144" s="74"/>
      <c r="BL144" s="74"/>
      <c r="BM144" s="73"/>
      <c r="BN144" s="74"/>
      <c r="BO144" s="75"/>
      <c r="BP144" s="74"/>
      <c r="BQ144" s="74"/>
      <c r="BR144" s="63"/>
      <c r="BS144" s="108"/>
      <c r="BT144" s="67"/>
      <c r="BU144" s="108"/>
      <c r="BV144" s="108"/>
      <c r="BW144" s="743"/>
      <c r="BX144" s="61"/>
      <c r="BY144" s="108"/>
      <c r="BZ144" s="108"/>
      <c r="CA144" s="108"/>
      <c r="CB144" s="123"/>
      <c r="CC144" s="14"/>
      <c r="CE144" s="12"/>
      <c r="CF144" s="12"/>
      <c r="CG144" s="17"/>
      <c r="CH144" s="181"/>
      <c r="CI144" s="12"/>
      <c r="CJ144" s="181"/>
      <c r="CK144" s="729"/>
      <c r="CL144" s="752"/>
      <c r="CO144" s="18"/>
      <c r="CS144" s="18"/>
      <c r="CT144" s="342"/>
      <c r="CV144" s="181"/>
      <c r="CW144" s="181"/>
      <c r="CX144" s="18"/>
      <c r="CY144" s="247"/>
      <c r="DA144" s="181"/>
      <c r="DB144" s="729"/>
      <c r="DC144" s="17"/>
      <c r="DE144" s="12"/>
      <c r="DG144" s="162"/>
      <c r="DH144" s="181"/>
      <c r="DI144" s="181"/>
      <c r="DJ144" s="181"/>
      <c r="DK144" s="17"/>
      <c r="DO144" s="18"/>
      <c r="DS144" s="163"/>
      <c r="DT144" s="763"/>
      <c r="DU144" s="12"/>
      <c r="DV144" s="12"/>
      <c r="DW144" s="12"/>
      <c r="DX144" s="768"/>
      <c r="DY144" s="763"/>
      <c r="DZ144" s="12"/>
      <c r="EA144" s="12">
        <v>1063</v>
      </c>
      <c r="EB144" s="12"/>
      <c r="EC144" s="763"/>
      <c r="ED144" s="12"/>
      <c r="EE144" s="12"/>
      <c r="EF144" s="768"/>
      <c r="EG144" s="12"/>
      <c r="EH144" s="12"/>
      <c r="EI144" s="12"/>
      <c r="EJ144" s="12"/>
      <c r="EK144" s="768"/>
      <c r="EL144" s="162"/>
      <c r="EO144" s="163"/>
      <c r="EP144" s="162"/>
      <c r="ET144" s="163"/>
      <c r="EU144" s="162"/>
      <c r="EX144" s="163"/>
      <c r="EY144" s="162"/>
      <c r="FB144" s="163"/>
    </row>
    <row r="145" spans="1:158" ht="21" customHeight="1" thickBot="1" x14ac:dyDescent="0.25">
      <c r="A145" s="1186"/>
      <c r="B145" s="249" t="s">
        <v>211</v>
      </c>
      <c r="C145" s="249" t="s">
        <v>167</v>
      </c>
      <c r="D145" s="249"/>
      <c r="E145" s="1187"/>
      <c r="F145" s="249" t="s">
        <v>74</v>
      </c>
      <c r="G145" s="773">
        <v>600</v>
      </c>
      <c r="H145" s="11">
        <f t="shared" si="6"/>
        <v>600</v>
      </c>
      <c r="I145" s="774">
        <f t="shared" si="7"/>
        <v>0</v>
      </c>
      <c r="P145" s="14"/>
      <c r="T145" s="123"/>
      <c r="U145" s="61"/>
      <c r="V145" s="123"/>
      <c r="W145" s="123"/>
      <c r="X145" s="19"/>
      <c r="Y145" s="123"/>
      <c r="Z145" s="123"/>
      <c r="AA145" s="61"/>
      <c r="AB145" s="123"/>
      <c r="AC145" s="61"/>
      <c r="AD145" s="123"/>
      <c r="AE145" s="123"/>
      <c r="AF145" s="19"/>
      <c r="AG145" s="123"/>
      <c r="AH145" s="123"/>
      <c r="AI145" s="124"/>
      <c r="AJ145" s="124"/>
      <c r="AK145" s="70"/>
      <c r="AL145" s="124"/>
      <c r="AM145" s="123"/>
      <c r="AN145" s="123"/>
      <c r="AO145" s="19"/>
      <c r="AP145" s="123"/>
      <c r="AQ145" s="123"/>
      <c r="AR145" s="123"/>
      <c r="AS145" s="123"/>
      <c r="AT145" s="61"/>
      <c r="AU145" s="123"/>
      <c r="AV145" s="741"/>
      <c r="AW145" s="741"/>
      <c r="AX145" s="108"/>
      <c r="AY145" s="63"/>
      <c r="AZ145" s="125"/>
      <c r="BA145" s="125"/>
      <c r="BB145" s="64"/>
      <c r="BC145" s="63"/>
      <c r="BD145" s="73"/>
      <c r="BE145" s="74"/>
      <c r="BF145" s="75"/>
      <c r="BG145" s="73"/>
      <c r="BH145" s="74"/>
      <c r="BI145" s="74"/>
      <c r="BJ145" s="75"/>
      <c r="BK145" s="74"/>
      <c r="BL145" s="74"/>
      <c r="BM145" s="73"/>
      <c r="BN145" s="74"/>
      <c r="BO145" s="75"/>
      <c r="BP145" s="74"/>
      <c r="BQ145" s="74"/>
      <c r="BR145" s="63"/>
      <c r="BS145" s="108"/>
      <c r="BT145" s="67"/>
      <c r="BU145" s="108"/>
      <c r="BV145" s="108"/>
      <c r="BW145" s="743"/>
      <c r="BX145" s="61"/>
      <c r="BY145" s="108"/>
      <c r="BZ145" s="108"/>
      <c r="CA145" s="108"/>
      <c r="CB145" s="123"/>
      <c r="CC145" s="14"/>
      <c r="CE145" s="12"/>
      <c r="CF145" s="12"/>
      <c r="CG145" s="17"/>
      <c r="CH145" s="181"/>
      <c r="CI145" s="12"/>
      <c r="CJ145" s="181"/>
      <c r="CK145" s="729"/>
      <c r="CL145" s="752"/>
      <c r="CO145" s="18"/>
      <c r="CS145" s="18"/>
      <c r="CT145" s="342"/>
      <c r="CV145" s="181"/>
      <c r="CW145" s="181"/>
      <c r="CX145" s="18"/>
      <c r="CY145" s="247"/>
      <c r="DA145" s="181"/>
      <c r="DB145" s="729"/>
      <c r="DC145" s="17"/>
      <c r="DE145" s="12"/>
      <c r="DG145" s="162"/>
      <c r="DH145" s="181"/>
      <c r="DI145" s="181"/>
      <c r="DJ145" s="181"/>
      <c r="DK145" s="17"/>
      <c r="DO145" s="18"/>
      <c r="DS145" s="163"/>
      <c r="DT145" s="763"/>
      <c r="DU145" s="12"/>
      <c r="DV145" s="12"/>
      <c r="DW145" s="12"/>
      <c r="DX145" s="768"/>
      <c r="DY145" s="763"/>
      <c r="DZ145" s="12"/>
      <c r="EA145" s="12">
        <v>600</v>
      </c>
      <c r="EB145" s="12"/>
      <c r="EC145" s="763"/>
      <c r="ED145" s="12"/>
      <c r="EE145" s="12"/>
      <c r="EF145" s="768"/>
      <c r="EG145" s="12"/>
      <c r="EH145" s="12"/>
      <c r="EI145" s="12"/>
      <c r="EJ145" s="12"/>
      <c r="EK145" s="768"/>
      <c r="EL145" s="162"/>
      <c r="EO145" s="163"/>
      <c r="EP145" s="162"/>
      <c r="ET145" s="163"/>
      <c r="EU145" s="162"/>
      <c r="EX145" s="163"/>
      <c r="EY145" s="162"/>
      <c r="FB145" s="163"/>
    </row>
    <row r="146" spans="1:158" ht="21" customHeight="1" thickBot="1" x14ac:dyDescent="0.25">
      <c r="A146" s="1186"/>
      <c r="B146" s="249" t="s">
        <v>194</v>
      </c>
      <c r="C146" s="249" t="s">
        <v>169</v>
      </c>
      <c r="D146" s="249"/>
      <c r="E146" s="1187"/>
      <c r="F146" s="249" t="s">
        <v>74</v>
      </c>
      <c r="G146" s="773">
        <v>600</v>
      </c>
      <c r="H146" s="11">
        <f t="shared" si="6"/>
        <v>600</v>
      </c>
      <c r="I146" s="774">
        <f t="shared" si="7"/>
        <v>0</v>
      </c>
      <c r="P146" s="14"/>
      <c r="T146" s="123"/>
      <c r="U146" s="61"/>
      <c r="V146" s="123"/>
      <c r="W146" s="123"/>
      <c r="X146" s="19"/>
      <c r="Y146" s="123"/>
      <c r="Z146" s="123"/>
      <c r="AA146" s="61"/>
      <c r="AB146" s="123"/>
      <c r="AC146" s="61"/>
      <c r="AD146" s="123"/>
      <c r="AE146" s="123"/>
      <c r="AF146" s="19"/>
      <c r="AG146" s="123"/>
      <c r="AH146" s="123"/>
      <c r="AI146" s="124"/>
      <c r="AJ146" s="124"/>
      <c r="AK146" s="70"/>
      <c r="AL146" s="124"/>
      <c r="AM146" s="123"/>
      <c r="AN146" s="123"/>
      <c r="AO146" s="19"/>
      <c r="AP146" s="123"/>
      <c r="AQ146" s="123"/>
      <c r="AR146" s="123"/>
      <c r="AS146" s="123"/>
      <c r="AT146" s="61"/>
      <c r="AU146" s="123"/>
      <c r="AV146" s="741"/>
      <c r="AW146" s="741"/>
      <c r="AX146" s="108"/>
      <c r="AY146" s="63"/>
      <c r="AZ146" s="125"/>
      <c r="BA146" s="125"/>
      <c r="BB146" s="64"/>
      <c r="BC146" s="63"/>
      <c r="BD146" s="73"/>
      <c r="BE146" s="74"/>
      <c r="BF146" s="75"/>
      <c r="BG146" s="73"/>
      <c r="BH146" s="74"/>
      <c r="BI146" s="74"/>
      <c r="BJ146" s="75"/>
      <c r="BK146" s="74"/>
      <c r="BL146" s="74"/>
      <c r="BM146" s="73"/>
      <c r="BN146" s="74"/>
      <c r="BO146" s="75"/>
      <c r="BP146" s="74"/>
      <c r="BQ146" s="74"/>
      <c r="BR146" s="63"/>
      <c r="BS146" s="108"/>
      <c r="BT146" s="67"/>
      <c r="BU146" s="108"/>
      <c r="BV146" s="108"/>
      <c r="BW146" s="743"/>
      <c r="BX146" s="61"/>
      <c r="BY146" s="108"/>
      <c r="BZ146" s="108"/>
      <c r="CA146" s="108"/>
      <c r="CB146" s="123"/>
      <c r="CC146" s="14"/>
      <c r="CE146" s="12"/>
      <c r="CF146" s="12"/>
      <c r="CG146" s="17"/>
      <c r="CH146" s="181"/>
      <c r="CI146" s="12"/>
      <c r="CJ146" s="181"/>
      <c r="CK146" s="729"/>
      <c r="CL146" s="752"/>
      <c r="CO146" s="18"/>
      <c r="CS146" s="18"/>
      <c r="CT146" s="342"/>
      <c r="CV146" s="181"/>
      <c r="CW146" s="181"/>
      <c r="CX146" s="18"/>
      <c r="CY146" s="247"/>
      <c r="DA146" s="181"/>
      <c r="DB146" s="729"/>
      <c r="DC146" s="17"/>
      <c r="DE146" s="12"/>
      <c r="DG146" s="162"/>
      <c r="DH146" s="181"/>
      <c r="DI146" s="181"/>
      <c r="DJ146" s="181"/>
      <c r="DK146" s="17"/>
      <c r="DO146" s="18"/>
      <c r="DS146" s="163"/>
      <c r="DT146" s="763"/>
      <c r="DU146" s="12"/>
      <c r="DV146" s="12"/>
      <c r="DW146" s="12"/>
      <c r="DX146" s="768"/>
      <c r="DY146" s="763"/>
      <c r="DZ146" s="12"/>
      <c r="EA146" s="12"/>
      <c r="EB146" s="12">
        <v>600</v>
      </c>
      <c r="EC146" s="763"/>
      <c r="ED146" s="12"/>
      <c r="EE146" s="12"/>
      <c r="EF146" s="768"/>
      <c r="EG146" s="12"/>
      <c r="EH146" s="12"/>
      <c r="EI146" s="12"/>
      <c r="EJ146" s="12"/>
      <c r="EK146" s="768"/>
      <c r="EL146" s="162"/>
      <c r="EO146" s="163"/>
      <c r="EP146" s="162"/>
      <c r="ET146" s="163"/>
      <c r="EU146" s="162"/>
      <c r="EX146" s="163"/>
      <c r="EY146" s="162"/>
      <c r="FB146" s="163"/>
    </row>
    <row r="147" spans="1:158" ht="21" customHeight="1" thickBot="1" x14ac:dyDescent="0.25">
      <c r="A147" s="1186"/>
      <c r="B147" s="249" t="s">
        <v>170</v>
      </c>
      <c r="C147" s="249" t="s">
        <v>171</v>
      </c>
      <c r="D147" s="249"/>
      <c r="E147" s="1187"/>
      <c r="F147" s="249" t="s">
        <v>74</v>
      </c>
      <c r="G147" s="773">
        <v>600</v>
      </c>
      <c r="H147" s="11">
        <f t="shared" si="6"/>
        <v>600</v>
      </c>
      <c r="I147" s="774">
        <f t="shared" si="7"/>
        <v>0</v>
      </c>
      <c r="P147" s="14"/>
      <c r="T147" s="123"/>
      <c r="U147" s="61"/>
      <c r="V147" s="123"/>
      <c r="W147" s="123"/>
      <c r="X147" s="19"/>
      <c r="Y147" s="123"/>
      <c r="Z147" s="123"/>
      <c r="AA147" s="61"/>
      <c r="AB147" s="123"/>
      <c r="AC147" s="61"/>
      <c r="AD147" s="123"/>
      <c r="AE147" s="123"/>
      <c r="AF147" s="19"/>
      <c r="AG147" s="123"/>
      <c r="AH147" s="123"/>
      <c r="AI147" s="124"/>
      <c r="AJ147" s="124"/>
      <c r="AK147" s="70"/>
      <c r="AL147" s="124"/>
      <c r="AM147" s="123"/>
      <c r="AN147" s="123"/>
      <c r="AO147" s="19"/>
      <c r="AP147" s="123"/>
      <c r="AQ147" s="123"/>
      <c r="AR147" s="123"/>
      <c r="AS147" s="123"/>
      <c r="AT147" s="61"/>
      <c r="AU147" s="123"/>
      <c r="AV147" s="741"/>
      <c r="AW147" s="741"/>
      <c r="AX147" s="108"/>
      <c r="AY147" s="63"/>
      <c r="AZ147" s="125"/>
      <c r="BA147" s="125"/>
      <c r="BB147" s="64"/>
      <c r="BC147" s="63"/>
      <c r="BD147" s="73"/>
      <c r="BE147" s="74"/>
      <c r="BF147" s="75"/>
      <c r="BG147" s="73"/>
      <c r="BH147" s="74"/>
      <c r="BI147" s="74"/>
      <c r="BJ147" s="75"/>
      <c r="BK147" s="74"/>
      <c r="BL147" s="74"/>
      <c r="BM147" s="73"/>
      <c r="BN147" s="74"/>
      <c r="BO147" s="75"/>
      <c r="BP147" s="74"/>
      <c r="BQ147" s="74"/>
      <c r="BR147" s="63"/>
      <c r="BS147" s="108"/>
      <c r="BT147" s="67"/>
      <c r="BU147" s="108"/>
      <c r="BV147" s="108"/>
      <c r="BW147" s="743"/>
      <c r="BX147" s="61"/>
      <c r="BY147" s="108"/>
      <c r="BZ147" s="108"/>
      <c r="CA147" s="108"/>
      <c r="CB147" s="123"/>
      <c r="CC147" s="14"/>
      <c r="CE147" s="12"/>
      <c r="CF147" s="12"/>
      <c r="CG147" s="17"/>
      <c r="CH147" s="181"/>
      <c r="CI147" s="12"/>
      <c r="CJ147" s="181"/>
      <c r="CK147" s="729"/>
      <c r="CL147" s="752"/>
      <c r="CO147" s="18"/>
      <c r="CS147" s="18"/>
      <c r="CT147" s="342"/>
      <c r="CV147" s="181"/>
      <c r="CW147" s="181"/>
      <c r="CX147" s="18"/>
      <c r="CY147" s="247"/>
      <c r="DA147" s="181"/>
      <c r="DB147" s="729"/>
      <c r="DC147" s="17"/>
      <c r="DE147" s="12"/>
      <c r="DG147" s="162"/>
      <c r="DH147" s="181"/>
      <c r="DI147" s="181"/>
      <c r="DJ147" s="181"/>
      <c r="DK147" s="17"/>
      <c r="DO147" s="18"/>
      <c r="DS147" s="163"/>
      <c r="DT147" s="763"/>
      <c r="DU147" s="12"/>
      <c r="DV147" s="12"/>
      <c r="DW147" s="12"/>
      <c r="DX147" s="768"/>
      <c r="DY147" s="763"/>
      <c r="DZ147" s="12"/>
      <c r="EA147" s="12"/>
      <c r="EB147" s="12">
        <v>600</v>
      </c>
      <c r="EC147" s="763"/>
      <c r="ED147" s="12"/>
      <c r="EE147" s="12"/>
      <c r="EF147" s="768"/>
      <c r="EG147" s="12"/>
      <c r="EH147" s="12"/>
      <c r="EI147" s="12"/>
      <c r="EJ147" s="12"/>
      <c r="EK147" s="768"/>
      <c r="EL147" s="162"/>
      <c r="EO147" s="163"/>
      <c r="EP147" s="162"/>
      <c r="ET147" s="163"/>
      <c r="EU147" s="162"/>
      <c r="EX147" s="163"/>
      <c r="EY147" s="162"/>
      <c r="FB147" s="163"/>
    </row>
    <row r="148" spans="1:158" ht="21" customHeight="1" thickBot="1" x14ac:dyDescent="0.25">
      <c r="A148" s="1186" t="s">
        <v>207</v>
      </c>
      <c r="B148" s="249"/>
      <c r="C148" s="249"/>
      <c r="D148" s="249"/>
      <c r="E148" s="1187">
        <f>+E143</f>
        <v>46235</v>
      </c>
      <c r="F148" s="249"/>
      <c r="G148" s="773"/>
      <c r="H148" s="11"/>
      <c r="I148" s="774">
        <f t="shared" si="7"/>
        <v>0</v>
      </c>
      <c r="P148" s="14"/>
      <c r="T148" s="123"/>
      <c r="U148" s="61"/>
      <c r="V148" s="123"/>
      <c r="W148" s="123"/>
      <c r="X148" s="19"/>
      <c r="Y148" s="123"/>
      <c r="Z148" s="123"/>
      <c r="AA148" s="61"/>
      <c r="AB148" s="123"/>
      <c r="AC148" s="61"/>
      <c r="AD148" s="123"/>
      <c r="AE148" s="123"/>
      <c r="AF148" s="19"/>
      <c r="AG148" s="123"/>
      <c r="AH148" s="123"/>
      <c r="AI148" s="124"/>
      <c r="AJ148" s="124"/>
      <c r="AK148" s="70"/>
      <c r="AL148" s="124"/>
      <c r="AM148" s="123"/>
      <c r="AN148" s="123"/>
      <c r="AO148" s="19"/>
      <c r="AP148" s="123"/>
      <c r="AQ148" s="123"/>
      <c r="AR148" s="123"/>
      <c r="AS148" s="123"/>
      <c r="AT148" s="61"/>
      <c r="AU148" s="123"/>
      <c r="AV148" s="741"/>
      <c r="AW148" s="741"/>
      <c r="AX148" s="108"/>
      <c r="AY148" s="63"/>
      <c r="AZ148" s="125"/>
      <c r="BA148" s="125"/>
      <c r="BB148" s="64"/>
      <c r="BC148" s="63"/>
      <c r="BD148" s="73"/>
      <c r="BE148" s="74"/>
      <c r="BF148" s="75"/>
      <c r="BG148" s="73"/>
      <c r="BH148" s="74"/>
      <c r="BI148" s="74"/>
      <c r="BJ148" s="75"/>
      <c r="BK148" s="74"/>
      <c r="BL148" s="74"/>
      <c r="BM148" s="73"/>
      <c r="BN148" s="74"/>
      <c r="BO148" s="75"/>
      <c r="BP148" s="74"/>
      <c r="BQ148" s="74"/>
      <c r="BR148" s="63"/>
      <c r="BS148" s="108"/>
      <c r="BT148" s="67"/>
      <c r="BU148" s="108"/>
      <c r="BV148" s="108"/>
      <c r="BW148" s="743"/>
      <c r="BX148" s="61"/>
      <c r="BY148" s="108"/>
      <c r="BZ148" s="108"/>
      <c r="CA148" s="108"/>
      <c r="CB148" s="123"/>
      <c r="CC148" s="14"/>
      <c r="CE148" s="12"/>
      <c r="CF148" s="12"/>
      <c r="CG148" s="17"/>
      <c r="CH148" s="181"/>
      <c r="CI148" s="12"/>
      <c r="CJ148" s="181"/>
      <c r="CK148" s="729"/>
      <c r="CL148" s="752"/>
      <c r="CO148" s="18"/>
      <c r="CS148" s="18"/>
      <c r="CT148" s="342"/>
      <c r="CV148" s="181"/>
      <c r="CW148" s="181"/>
      <c r="CX148" s="18"/>
      <c r="CY148" s="247"/>
      <c r="DA148" s="181"/>
      <c r="DB148" s="729"/>
      <c r="DC148" s="17"/>
      <c r="DE148" s="12"/>
      <c r="DG148" s="162"/>
      <c r="DH148" s="181"/>
      <c r="DI148" s="181"/>
      <c r="DJ148" s="181"/>
      <c r="DK148" s="17"/>
      <c r="DO148" s="729"/>
      <c r="DP148" s="181"/>
      <c r="DS148" s="163"/>
      <c r="DT148" s="763"/>
      <c r="DU148" s="12"/>
      <c r="DV148" s="12"/>
      <c r="DW148" s="12"/>
      <c r="DX148" s="768"/>
      <c r="DY148" s="763"/>
      <c r="DZ148" s="12"/>
      <c r="EA148" s="12"/>
      <c r="EB148" s="12"/>
      <c r="EC148" s="763"/>
      <c r="ED148" s="12"/>
      <c r="EE148" s="12"/>
      <c r="EF148" s="768"/>
      <c r="EG148" s="12"/>
      <c r="EH148" s="12"/>
      <c r="EI148" s="12"/>
      <c r="EJ148" s="12"/>
      <c r="EK148" s="768"/>
      <c r="EL148" s="162"/>
      <c r="EO148" s="163"/>
      <c r="EP148" s="162"/>
      <c r="ET148" s="163"/>
      <c r="EU148" s="162"/>
      <c r="EX148" s="163"/>
      <c r="EY148" s="162"/>
      <c r="FB148" s="163"/>
    </row>
    <row r="149" spans="1:158" ht="21" customHeight="1" thickBot="1" x14ac:dyDescent="0.25">
      <c r="A149" s="1188"/>
      <c r="B149" s="436" t="str">
        <f>+B138</f>
        <v>Firedex</v>
      </c>
      <c r="C149" s="249" t="s">
        <v>197</v>
      </c>
      <c r="D149" s="249"/>
      <c r="E149" s="1189"/>
      <c r="F149" s="358" t="s">
        <v>15</v>
      </c>
      <c r="G149" s="773">
        <v>1500</v>
      </c>
      <c r="H149" s="11">
        <f t="shared" si="6"/>
        <v>1500</v>
      </c>
      <c r="I149" s="774">
        <f t="shared" si="7"/>
        <v>0</v>
      </c>
      <c r="P149" s="14"/>
      <c r="T149" s="123"/>
      <c r="U149" s="61"/>
      <c r="V149" s="123"/>
      <c r="W149" s="123"/>
      <c r="X149" s="19"/>
      <c r="Y149" s="123"/>
      <c r="Z149" s="123"/>
      <c r="AA149" s="61"/>
      <c r="AB149" s="123"/>
      <c r="AC149" s="61"/>
      <c r="AD149" s="123"/>
      <c r="AE149" s="123"/>
      <c r="AF149" s="19"/>
      <c r="AG149" s="123"/>
      <c r="AH149" s="123"/>
      <c r="AI149" s="124"/>
      <c r="AJ149" s="124"/>
      <c r="AK149" s="70"/>
      <c r="AL149" s="124"/>
      <c r="AM149" s="123"/>
      <c r="AN149" s="123"/>
      <c r="AO149" s="19"/>
      <c r="AP149" s="123"/>
      <c r="AQ149" s="123"/>
      <c r="AR149" s="123"/>
      <c r="AS149" s="123"/>
      <c r="AT149" s="61"/>
      <c r="AU149" s="123"/>
      <c r="AV149" s="741"/>
      <c r="AW149" s="741"/>
      <c r="AX149" s="108"/>
      <c r="AY149" s="63"/>
      <c r="AZ149" s="125"/>
      <c r="BA149" s="125"/>
      <c r="BB149" s="64"/>
      <c r="BC149" s="63"/>
      <c r="BD149" s="73"/>
      <c r="BE149" s="74"/>
      <c r="BF149" s="75"/>
      <c r="BG149" s="73"/>
      <c r="BH149" s="74"/>
      <c r="BI149" s="74"/>
      <c r="BJ149" s="75"/>
      <c r="BK149" s="74"/>
      <c r="BL149" s="74"/>
      <c r="BM149" s="73"/>
      <c r="BN149" s="74"/>
      <c r="BO149" s="75"/>
      <c r="BP149" s="74"/>
      <c r="BQ149" s="74"/>
      <c r="BR149" s="63"/>
      <c r="BS149" s="108"/>
      <c r="BT149" s="67"/>
      <c r="BU149" s="108"/>
      <c r="BV149" s="108"/>
      <c r="BW149" s="743"/>
      <c r="BX149" s="61"/>
      <c r="BY149" s="108"/>
      <c r="BZ149" s="108"/>
      <c r="CA149" s="108"/>
      <c r="CB149" s="123"/>
      <c r="CC149" s="14"/>
      <c r="CE149" s="12"/>
      <c r="CF149" s="12"/>
      <c r="CG149" s="17"/>
      <c r="CH149" s="181"/>
      <c r="CI149" s="12"/>
      <c r="CJ149" s="181"/>
      <c r="CK149" s="729"/>
      <c r="CL149" s="752"/>
      <c r="CO149" s="18"/>
      <c r="CS149" s="18"/>
      <c r="CT149" s="342"/>
      <c r="CV149" s="181"/>
      <c r="CW149" s="181"/>
      <c r="CX149" s="18"/>
      <c r="CY149" s="247"/>
      <c r="DA149" s="181"/>
      <c r="DB149" s="729"/>
      <c r="DC149" s="17"/>
      <c r="DE149" s="12"/>
      <c r="DG149" s="162"/>
      <c r="DH149" s="181"/>
      <c r="DI149" s="181"/>
      <c r="DJ149" s="181"/>
      <c r="DK149" s="17"/>
      <c r="DO149" s="729"/>
      <c r="DP149" s="181"/>
      <c r="DS149" s="163"/>
      <c r="DT149" s="763"/>
      <c r="DU149" s="12"/>
      <c r="DV149" s="12"/>
      <c r="DW149" s="12"/>
      <c r="DX149" s="768"/>
      <c r="DY149" s="763"/>
      <c r="DZ149" s="12"/>
      <c r="EA149" s="12"/>
      <c r="EB149" s="12"/>
      <c r="EC149" s="763">
        <v>1500</v>
      </c>
      <c r="ED149" s="12"/>
      <c r="EE149" s="12"/>
      <c r="EF149" s="768"/>
      <c r="EG149" s="12"/>
      <c r="EH149" s="12"/>
      <c r="EI149" s="12"/>
      <c r="EJ149" s="12"/>
      <c r="EK149" s="768"/>
      <c r="EL149" s="162"/>
      <c r="EO149" s="163"/>
      <c r="EP149" s="162"/>
      <c r="ET149" s="163"/>
      <c r="EU149" s="162"/>
      <c r="EX149" s="163"/>
      <c r="EY149" s="162"/>
      <c r="FB149" s="163"/>
    </row>
    <row r="150" spans="1:158" ht="21" customHeight="1" thickBot="1" x14ac:dyDescent="0.25">
      <c r="A150" s="1188"/>
      <c r="B150" s="436" t="str">
        <f>+B139</f>
        <v>Weinbrenner</v>
      </c>
      <c r="C150" s="249" t="s">
        <v>29</v>
      </c>
      <c r="D150" s="249"/>
      <c r="E150" s="1189"/>
      <c r="F150" s="358" t="s">
        <v>29</v>
      </c>
      <c r="G150" s="773">
        <v>750</v>
      </c>
      <c r="H150" s="11">
        <f t="shared" si="6"/>
        <v>750</v>
      </c>
      <c r="I150" s="774">
        <f t="shared" si="7"/>
        <v>0</v>
      </c>
      <c r="P150" s="14"/>
      <c r="T150" s="123"/>
      <c r="U150" s="61"/>
      <c r="V150" s="123"/>
      <c r="W150" s="123"/>
      <c r="X150" s="19"/>
      <c r="Y150" s="123"/>
      <c r="Z150" s="123"/>
      <c r="AA150" s="61"/>
      <c r="AB150" s="123"/>
      <c r="AC150" s="61"/>
      <c r="AD150" s="123"/>
      <c r="AE150" s="123"/>
      <c r="AF150" s="19"/>
      <c r="AG150" s="123"/>
      <c r="AH150" s="123"/>
      <c r="AI150" s="124"/>
      <c r="AJ150" s="124"/>
      <c r="AK150" s="70"/>
      <c r="AL150" s="124"/>
      <c r="AM150" s="123"/>
      <c r="AN150" s="123"/>
      <c r="AO150" s="19"/>
      <c r="AP150" s="123"/>
      <c r="AQ150" s="123"/>
      <c r="AR150" s="123"/>
      <c r="AS150" s="123"/>
      <c r="AT150" s="61"/>
      <c r="AU150" s="123"/>
      <c r="AV150" s="741"/>
      <c r="AW150" s="741"/>
      <c r="AX150" s="108"/>
      <c r="AY150" s="63"/>
      <c r="AZ150" s="125"/>
      <c r="BA150" s="125"/>
      <c r="BB150" s="64"/>
      <c r="BC150" s="63"/>
      <c r="BD150" s="73"/>
      <c r="BE150" s="74"/>
      <c r="BF150" s="75"/>
      <c r="BG150" s="73"/>
      <c r="BH150" s="74"/>
      <c r="BI150" s="74"/>
      <c r="BJ150" s="75"/>
      <c r="BK150" s="74"/>
      <c r="BL150" s="74"/>
      <c r="BM150" s="73"/>
      <c r="BN150" s="74"/>
      <c r="BO150" s="75"/>
      <c r="BP150" s="74"/>
      <c r="BQ150" s="74"/>
      <c r="BR150" s="63"/>
      <c r="BS150" s="108"/>
      <c r="BT150" s="67"/>
      <c r="BU150" s="108"/>
      <c r="BV150" s="108"/>
      <c r="BW150" s="743"/>
      <c r="BX150" s="61"/>
      <c r="BY150" s="108"/>
      <c r="BZ150" s="108"/>
      <c r="CA150" s="108"/>
      <c r="CB150" s="123"/>
      <c r="CC150" s="14"/>
      <c r="CE150" s="12"/>
      <c r="CF150" s="12"/>
      <c r="CG150" s="17"/>
      <c r="CH150" s="181"/>
      <c r="CI150" s="12"/>
      <c r="CJ150" s="181"/>
      <c r="CK150" s="729"/>
      <c r="CL150" s="752"/>
      <c r="CO150" s="18"/>
      <c r="CS150" s="18"/>
      <c r="CT150" s="342"/>
      <c r="CV150" s="181"/>
      <c r="CW150" s="181"/>
      <c r="CX150" s="18"/>
      <c r="CY150" s="247"/>
      <c r="DA150" s="181"/>
      <c r="DB150" s="729"/>
      <c r="DC150" s="17"/>
      <c r="DE150" s="12"/>
      <c r="DG150" s="162"/>
      <c r="DH150" s="181"/>
      <c r="DI150" s="181"/>
      <c r="DJ150" s="181"/>
      <c r="DK150" s="17"/>
      <c r="DO150" s="729"/>
      <c r="DP150" s="181"/>
      <c r="DS150" s="163"/>
      <c r="DT150" s="763"/>
      <c r="DU150" s="12"/>
      <c r="DV150" s="12"/>
      <c r="DW150" s="12"/>
      <c r="DX150" s="768"/>
      <c r="DY150" s="763"/>
      <c r="DZ150" s="12"/>
      <c r="EA150" s="12"/>
      <c r="EB150" s="12"/>
      <c r="EC150" s="763">
        <v>750</v>
      </c>
      <c r="ED150" s="12"/>
      <c r="EE150" s="12"/>
      <c r="EF150" s="768"/>
      <c r="EG150" s="12"/>
      <c r="EH150" s="12"/>
      <c r="EI150" s="12"/>
      <c r="EJ150" s="12"/>
      <c r="EK150" s="768"/>
      <c r="EL150" s="162"/>
      <c r="EO150" s="163"/>
      <c r="EP150" s="162"/>
      <c r="ET150" s="163"/>
      <c r="EU150" s="162"/>
      <c r="EX150" s="163"/>
      <c r="EY150" s="162"/>
      <c r="FB150" s="163"/>
    </row>
    <row r="151" spans="1:158" ht="21" customHeight="1" thickBot="1" x14ac:dyDescent="0.25">
      <c r="A151" s="1188"/>
      <c r="B151" s="249" t="str">
        <f>+B140</f>
        <v>Chippewa</v>
      </c>
      <c r="C151" s="249" t="s">
        <v>8</v>
      </c>
      <c r="D151" s="249"/>
      <c r="E151" s="1189"/>
      <c r="F151" s="249" t="s">
        <v>8</v>
      </c>
      <c r="G151" s="773">
        <v>1000</v>
      </c>
      <c r="H151" s="11">
        <f t="shared" si="6"/>
        <v>1000</v>
      </c>
      <c r="I151" s="774">
        <f t="shared" si="7"/>
        <v>0</v>
      </c>
      <c r="P151" s="14"/>
      <c r="T151" s="123"/>
      <c r="U151" s="61"/>
      <c r="V151" s="123"/>
      <c r="W151" s="123"/>
      <c r="X151" s="19"/>
      <c r="Y151" s="123"/>
      <c r="Z151" s="123"/>
      <c r="AA151" s="61"/>
      <c r="AB151" s="123"/>
      <c r="AC151" s="61"/>
      <c r="AD151" s="123"/>
      <c r="AE151" s="123"/>
      <c r="AF151" s="19"/>
      <c r="AG151" s="123"/>
      <c r="AH151" s="123"/>
      <c r="AI151" s="124"/>
      <c r="AJ151" s="124"/>
      <c r="AK151" s="70"/>
      <c r="AL151" s="124"/>
      <c r="AM151" s="123"/>
      <c r="AN151" s="123"/>
      <c r="AO151" s="19"/>
      <c r="AP151" s="123"/>
      <c r="AQ151" s="123"/>
      <c r="AR151" s="123"/>
      <c r="AS151" s="123"/>
      <c r="AT151" s="61"/>
      <c r="AU151" s="123"/>
      <c r="AV151" s="741"/>
      <c r="AW151" s="741"/>
      <c r="AX151" s="108"/>
      <c r="AY151" s="63"/>
      <c r="AZ151" s="125"/>
      <c r="BA151" s="125"/>
      <c r="BB151" s="64"/>
      <c r="BC151" s="63"/>
      <c r="BD151" s="73"/>
      <c r="BE151" s="74"/>
      <c r="BF151" s="75"/>
      <c r="BG151" s="73"/>
      <c r="BH151" s="74"/>
      <c r="BI151" s="74"/>
      <c r="BJ151" s="75"/>
      <c r="BK151" s="74"/>
      <c r="BL151" s="74"/>
      <c r="BM151" s="73"/>
      <c r="BN151" s="74"/>
      <c r="BO151" s="75"/>
      <c r="BP151" s="74"/>
      <c r="BQ151" s="74"/>
      <c r="BR151" s="63"/>
      <c r="BS151" s="108"/>
      <c r="BT151" s="67"/>
      <c r="BU151" s="108"/>
      <c r="BV151" s="108"/>
      <c r="BW151" s="743"/>
      <c r="BX151" s="61"/>
      <c r="BY151" s="108"/>
      <c r="BZ151" s="108"/>
      <c r="CA151" s="108"/>
      <c r="CB151" s="123"/>
      <c r="CC151" s="14"/>
      <c r="CE151" s="12"/>
      <c r="CF151" s="12"/>
      <c r="CG151" s="17"/>
      <c r="CH151" s="181"/>
      <c r="CI151" s="12"/>
      <c r="CJ151" s="181"/>
      <c r="CK151" s="729"/>
      <c r="CL151" s="752"/>
      <c r="CO151" s="18"/>
      <c r="CS151" s="18"/>
      <c r="CT151" s="342"/>
      <c r="CV151" s="181"/>
      <c r="CW151" s="181"/>
      <c r="CX151" s="18"/>
      <c r="CY151" s="247"/>
      <c r="DA151" s="181"/>
      <c r="DB151" s="729"/>
      <c r="DC151" s="17"/>
      <c r="DE151" s="12"/>
      <c r="DG151" s="162"/>
      <c r="DH151" s="181"/>
      <c r="DI151" s="181"/>
      <c r="DJ151" s="181"/>
      <c r="DK151" s="17"/>
      <c r="DO151" s="729"/>
      <c r="DP151" s="181"/>
      <c r="DS151" s="163"/>
      <c r="DT151" s="763"/>
      <c r="DU151" s="12"/>
      <c r="DV151" s="12"/>
      <c r="DW151" s="12"/>
      <c r="DX151" s="768"/>
      <c r="DY151" s="763"/>
      <c r="DZ151" s="12"/>
      <c r="EA151" s="12"/>
      <c r="EB151" s="12">
        <v>1000</v>
      </c>
      <c r="EC151" s="763"/>
      <c r="ED151" s="12"/>
      <c r="EE151" s="12"/>
      <c r="EF151" s="768"/>
      <c r="EG151" s="12"/>
      <c r="EH151" s="12"/>
      <c r="EI151" s="12"/>
      <c r="EJ151" s="12"/>
      <c r="EK151" s="768"/>
      <c r="EL151" s="162"/>
      <c r="EO151" s="163"/>
      <c r="EP151" s="162"/>
      <c r="ET151" s="163"/>
      <c r="EU151" s="162"/>
      <c r="EX151" s="163"/>
      <c r="EY151" s="162"/>
      <c r="FB151" s="163"/>
    </row>
    <row r="152" spans="1:158" ht="21" customHeight="1" thickBot="1" x14ac:dyDescent="0.25">
      <c r="A152" s="1188"/>
      <c r="B152" s="249" t="str">
        <f>+B141</f>
        <v>WWW</v>
      </c>
      <c r="C152" s="249" t="s">
        <v>201</v>
      </c>
      <c r="D152" s="249"/>
      <c r="E152" s="1189"/>
      <c r="F152" s="249" t="s">
        <v>201</v>
      </c>
      <c r="G152" s="773"/>
      <c r="H152" s="11">
        <f t="shared" si="6"/>
        <v>0</v>
      </c>
      <c r="I152" s="774">
        <f t="shared" si="7"/>
        <v>0</v>
      </c>
      <c r="P152" s="14"/>
      <c r="T152" s="123"/>
      <c r="U152" s="61"/>
      <c r="V152" s="123"/>
      <c r="W152" s="123"/>
      <c r="X152" s="19"/>
      <c r="Y152" s="123"/>
      <c r="Z152" s="123"/>
      <c r="AA152" s="61"/>
      <c r="AB152" s="123"/>
      <c r="AC152" s="61"/>
      <c r="AD152" s="123"/>
      <c r="AE152" s="123"/>
      <c r="AF152" s="19"/>
      <c r="AG152" s="123"/>
      <c r="AH152" s="123"/>
      <c r="AI152" s="124"/>
      <c r="AJ152" s="124"/>
      <c r="AK152" s="70"/>
      <c r="AL152" s="124"/>
      <c r="AM152" s="123"/>
      <c r="AN152" s="123"/>
      <c r="AO152" s="19"/>
      <c r="AP152" s="123"/>
      <c r="AQ152" s="123"/>
      <c r="AR152" s="123"/>
      <c r="AS152" s="123"/>
      <c r="AT152" s="61"/>
      <c r="AU152" s="123"/>
      <c r="AV152" s="741"/>
      <c r="AW152" s="741"/>
      <c r="AX152" s="108"/>
      <c r="AY152" s="63"/>
      <c r="AZ152" s="125"/>
      <c r="BA152" s="125"/>
      <c r="BB152" s="64"/>
      <c r="BC152" s="63"/>
      <c r="BD152" s="73"/>
      <c r="BE152" s="74"/>
      <c r="BF152" s="75"/>
      <c r="BG152" s="73"/>
      <c r="BH152" s="74"/>
      <c r="BI152" s="74"/>
      <c r="BJ152" s="75"/>
      <c r="BK152" s="74"/>
      <c r="BL152" s="74"/>
      <c r="BM152" s="73"/>
      <c r="BN152" s="74"/>
      <c r="BO152" s="75"/>
      <c r="BP152" s="74"/>
      <c r="BQ152" s="74"/>
      <c r="BR152" s="63"/>
      <c r="BS152" s="108"/>
      <c r="BT152" s="67"/>
      <c r="BU152" s="108"/>
      <c r="BV152" s="108"/>
      <c r="BW152" s="743"/>
      <c r="BX152" s="61"/>
      <c r="BY152" s="108"/>
      <c r="BZ152" s="108"/>
      <c r="CA152" s="108"/>
      <c r="CB152" s="123"/>
      <c r="CC152" s="14"/>
      <c r="CE152" s="12"/>
      <c r="CF152" s="12"/>
      <c r="CG152" s="17"/>
      <c r="CH152" s="181"/>
      <c r="CI152" s="12"/>
      <c r="CJ152" s="181"/>
      <c r="CK152" s="729"/>
      <c r="CL152" s="752"/>
      <c r="CO152" s="18"/>
      <c r="CS152" s="18"/>
      <c r="CT152" s="342"/>
      <c r="CV152" s="181"/>
      <c r="CW152" s="181"/>
      <c r="CX152" s="18"/>
      <c r="CY152" s="247"/>
      <c r="DA152" s="181"/>
      <c r="DB152" s="729"/>
      <c r="DC152" s="17"/>
      <c r="DE152" s="12"/>
      <c r="DG152" s="162"/>
      <c r="DH152" s="181"/>
      <c r="DI152" s="181"/>
      <c r="DJ152" s="181"/>
      <c r="DK152" s="17"/>
      <c r="DO152" s="729"/>
      <c r="DP152" s="181"/>
      <c r="DS152" s="163"/>
      <c r="DT152" s="763"/>
      <c r="DU152" s="12"/>
      <c r="DV152" s="12"/>
      <c r="DW152" s="12"/>
      <c r="DX152" s="768"/>
      <c r="DY152" s="763"/>
      <c r="DZ152" s="12"/>
      <c r="EA152" s="12"/>
      <c r="EB152" s="12"/>
      <c r="EC152" s="763"/>
      <c r="ED152" s="12"/>
      <c r="EE152" s="12"/>
      <c r="EF152" s="768"/>
      <c r="EG152" s="12"/>
      <c r="EH152" s="12"/>
      <c r="EI152" s="12"/>
      <c r="EJ152" s="12"/>
      <c r="EK152" s="768"/>
      <c r="EL152" s="162"/>
      <c r="EO152" s="163"/>
      <c r="EP152" s="162"/>
      <c r="ET152" s="163"/>
      <c r="EU152" s="162"/>
      <c r="EX152" s="163"/>
      <c r="EY152" s="162"/>
      <c r="FB152" s="163"/>
    </row>
    <row r="153" spans="1:158" ht="21" customHeight="1" thickBot="1" x14ac:dyDescent="0.25">
      <c r="A153" s="1188"/>
      <c r="B153" s="249" t="str">
        <f>+B142</f>
        <v>USB</v>
      </c>
      <c r="C153" s="249" t="s">
        <v>103</v>
      </c>
      <c r="D153" s="249"/>
      <c r="E153" s="1189"/>
      <c r="F153" s="249" t="s">
        <v>202</v>
      </c>
      <c r="G153" s="773">
        <v>0</v>
      </c>
      <c r="H153" s="11">
        <f t="shared" si="6"/>
        <v>0</v>
      </c>
      <c r="I153" s="774">
        <f t="shared" si="7"/>
        <v>0</v>
      </c>
      <c r="P153" s="14"/>
      <c r="T153" s="123"/>
      <c r="U153" s="61"/>
      <c r="V153" s="123"/>
      <c r="W153" s="123"/>
      <c r="X153" s="19"/>
      <c r="Y153" s="123"/>
      <c r="Z153" s="123"/>
      <c r="AA153" s="61"/>
      <c r="AB153" s="123"/>
      <c r="AC153" s="61"/>
      <c r="AD153" s="123"/>
      <c r="AE153" s="123"/>
      <c r="AF153" s="19"/>
      <c r="AG153" s="123"/>
      <c r="AH153" s="123"/>
      <c r="AI153" s="124"/>
      <c r="AJ153" s="124"/>
      <c r="AK153" s="70"/>
      <c r="AL153" s="124"/>
      <c r="AM153" s="123"/>
      <c r="AN153" s="123"/>
      <c r="AO153" s="19"/>
      <c r="AP153" s="123"/>
      <c r="AQ153" s="123"/>
      <c r="AR153" s="123"/>
      <c r="AS153" s="123"/>
      <c r="AT153" s="61"/>
      <c r="AU153" s="123"/>
      <c r="AV153" s="741"/>
      <c r="AW153" s="741"/>
      <c r="AX153" s="108"/>
      <c r="AY153" s="63"/>
      <c r="AZ153" s="125"/>
      <c r="BA153" s="125"/>
      <c r="BB153" s="64"/>
      <c r="BC153" s="63"/>
      <c r="BD153" s="73"/>
      <c r="BE153" s="74"/>
      <c r="BF153" s="75"/>
      <c r="BG153" s="73"/>
      <c r="BH153" s="74"/>
      <c r="BI153" s="74"/>
      <c r="BJ153" s="75"/>
      <c r="BK153" s="74"/>
      <c r="BL153" s="74"/>
      <c r="BM153" s="73"/>
      <c r="BN153" s="74"/>
      <c r="BO153" s="75"/>
      <c r="BP153" s="74"/>
      <c r="BQ153" s="74"/>
      <c r="BR153" s="63"/>
      <c r="BS153" s="108"/>
      <c r="BT153" s="67"/>
      <c r="BU153" s="108"/>
      <c r="BV153" s="108"/>
      <c r="BW153" s="743"/>
      <c r="BX153" s="61"/>
      <c r="BY153" s="108"/>
      <c r="BZ153" s="108"/>
      <c r="CA153" s="108"/>
      <c r="CB153" s="123"/>
      <c r="CC153" s="14"/>
      <c r="CE153" s="12"/>
      <c r="CF153" s="12"/>
      <c r="CG153" s="17"/>
      <c r="CH153" s="181"/>
      <c r="CI153" s="12"/>
      <c r="CJ153" s="181"/>
      <c r="CK153" s="729"/>
      <c r="CL153" s="752"/>
      <c r="CO153" s="18"/>
      <c r="CS153" s="18"/>
      <c r="CT153" s="342"/>
      <c r="CV153" s="181"/>
      <c r="CW153" s="181"/>
      <c r="CX153" s="18"/>
      <c r="CY153" s="247"/>
      <c r="DA153" s="181"/>
      <c r="DB153" s="729"/>
      <c r="DC153" s="17"/>
      <c r="DE153" s="12"/>
      <c r="DG153" s="162"/>
      <c r="DH153" s="181"/>
      <c r="DI153" s="181"/>
      <c r="DJ153" s="181"/>
      <c r="DK153" s="17"/>
      <c r="DO153" s="729"/>
      <c r="DP153" s="181"/>
      <c r="DS153" s="163"/>
      <c r="DT153" s="763"/>
      <c r="DU153" s="12"/>
      <c r="DV153" s="12"/>
      <c r="DW153" s="12"/>
      <c r="DX153" s="768"/>
      <c r="DY153" s="763"/>
      <c r="DZ153" s="12"/>
      <c r="EA153" s="12"/>
      <c r="EB153" s="12"/>
      <c r="EC153" s="763"/>
      <c r="ED153" s="12"/>
      <c r="EE153" s="12"/>
      <c r="EF153" s="768"/>
      <c r="EG153" s="12"/>
      <c r="EH153" s="12"/>
      <c r="EI153" s="12"/>
      <c r="EJ153" s="12"/>
      <c r="EK153" s="768"/>
      <c r="EL153" s="162"/>
      <c r="EO153" s="163"/>
      <c r="EP153" s="162"/>
      <c r="ET153" s="163"/>
      <c r="EU153" s="162"/>
      <c r="EX153" s="163"/>
      <c r="EY153" s="162"/>
      <c r="FB153" s="163"/>
    </row>
    <row r="154" spans="1:158" ht="21" customHeight="1" thickBot="1" x14ac:dyDescent="0.25">
      <c r="A154" s="1186" t="s">
        <v>219</v>
      </c>
      <c r="B154" s="249" t="s">
        <v>220</v>
      </c>
      <c r="C154" s="249" t="s">
        <v>144</v>
      </c>
      <c r="D154" s="249"/>
      <c r="E154" s="1187">
        <v>46266</v>
      </c>
      <c r="F154" s="249" t="s">
        <v>74</v>
      </c>
      <c r="G154" s="773">
        <v>3747</v>
      </c>
      <c r="H154" s="11">
        <f t="shared" si="6"/>
        <v>3747</v>
      </c>
      <c r="I154" s="774">
        <f t="shared" si="7"/>
        <v>0</v>
      </c>
      <c r="P154" s="14"/>
      <c r="T154" s="123"/>
      <c r="U154" s="61"/>
      <c r="V154" s="123"/>
      <c r="W154" s="123"/>
      <c r="X154" s="19"/>
      <c r="Y154" s="123"/>
      <c r="Z154" s="123"/>
      <c r="AA154" s="61"/>
      <c r="AB154" s="123"/>
      <c r="AC154" s="61"/>
      <c r="AD154" s="123"/>
      <c r="AE154" s="123"/>
      <c r="AF154" s="19"/>
      <c r="AG154" s="123"/>
      <c r="AH154" s="123"/>
      <c r="AI154" s="124"/>
      <c r="AJ154" s="124"/>
      <c r="AK154" s="70"/>
      <c r="AL154" s="124"/>
      <c r="AM154" s="123"/>
      <c r="AN154" s="123"/>
      <c r="AO154" s="19"/>
      <c r="AP154" s="123"/>
      <c r="AQ154" s="123"/>
      <c r="AR154" s="123"/>
      <c r="AS154" s="123"/>
      <c r="AT154" s="61"/>
      <c r="AU154" s="123"/>
      <c r="AV154" s="741"/>
      <c r="AW154" s="741"/>
      <c r="AX154" s="108"/>
      <c r="AY154" s="63"/>
      <c r="AZ154" s="125"/>
      <c r="BA154" s="125"/>
      <c r="BB154" s="64"/>
      <c r="BC154" s="63"/>
      <c r="BD154" s="73"/>
      <c r="BE154" s="74"/>
      <c r="BF154" s="75"/>
      <c r="BG154" s="73"/>
      <c r="BH154" s="74"/>
      <c r="BI154" s="74"/>
      <c r="BJ154" s="75"/>
      <c r="BK154" s="74"/>
      <c r="BL154" s="74"/>
      <c r="BM154" s="73"/>
      <c r="BN154" s="74"/>
      <c r="BO154" s="75"/>
      <c r="BP154" s="74"/>
      <c r="BQ154" s="74"/>
      <c r="BR154" s="63"/>
      <c r="BS154" s="108"/>
      <c r="BT154" s="67"/>
      <c r="BU154" s="108"/>
      <c r="BV154" s="108"/>
      <c r="BW154" s="743"/>
      <c r="BX154" s="61"/>
      <c r="BY154" s="108"/>
      <c r="BZ154" s="108"/>
      <c r="CA154" s="108"/>
      <c r="CB154" s="123"/>
      <c r="CC154" s="14"/>
      <c r="CE154" s="12"/>
      <c r="CF154" s="12"/>
      <c r="CG154" s="17"/>
      <c r="CH154" s="181"/>
      <c r="CI154" s="12"/>
      <c r="CJ154" s="181"/>
      <c r="CK154" s="729"/>
      <c r="CL154" s="752"/>
      <c r="CO154" s="18"/>
      <c r="CS154" s="18"/>
      <c r="CT154" s="342"/>
      <c r="CV154" s="181"/>
      <c r="CW154" s="181"/>
      <c r="CX154" s="18"/>
      <c r="CY154" s="247"/>
      <c r="DA154" s="181"/>
      <c r="DB154" s="729"/>
      <c r="DC154" s="17"/>
      <c r="DE154" s="12"/>
      <c r="DG154" s="162"/>
      <c r="DH154" s="181"/>
      <c r="DI154" s="181"/>
      <c r="DJ154" s="181"/>
      <c r="DK154" s="17"/>
      <c r="DO154" s="18"/>
      <c r="DS154" s="163"/>
      <c r="DT154" s="763"/>
      <c r="DU154" s="12"/>
      <c r="DV154" s="12"/>
      <c r="DW154" s="12"/>
      <c r="DX154" s="768"/>
      <c r="DY154" s="763"/>
      <c r="DZ154" s="12"/>
      <c r="EA154" s="12"/>
      <c r="EB154" s="12"/>
      <c r="EC154" s="763"/>
      <c r="ED154" s="12">
        <v>2700</v>
      </c>
      <c r="EE154" s="12">
        <v>1047</v>
      </c>
      <c r="EF154" s="768"/>
      <c r="EG154" s="12"/>
      <c r="EH154" s="12"/>
      <c r="EI154" s="12"/>
      <c r="EJ154" s="12"/>
      <c r="EK154" s="768"/>
      <c r="EL154" s="162"/>
      <c r="EO154" s="163"/>
      <c r="EP154" s="162"/>
      <c r="ET154" s="163"/>
      <c r="EU154" s="162"/>
      <c r="EX154" s="163"/>
      <c r="EY154" s="162"/>
      <c r="FB154" s="163"/>
    </row>
    <row r="155" spans="1:158" ht="21" customHeight="1" thickBot="1" x14ac:dyDescent="0.25">
      <c r="A155" s="1186"/>
      <c r="B155" s="249" t="s">
        <v>221</v>
      </c>
      <c r="C155" s="249" t="s">
        <v>148</v>
      </c>
      <c r="D155" s="249"/>
      <c r="E155" s="1187"/>
      <c r="F155" s="249" t="s">
        <v>74</v>
      </c>
      <c r="G155" s="773">
        <v>1286</v>
      </c>
      <c r="H155" s="11">
        <f t="shared" si="6"/>
        <v>1286</v>
      </c>
      <c r="I155" s="774">
        <f t="shared" si="7"/>
        <v>0</v>
      </c>
      <c r="P155" s="14"/>
      <c r="T155" s="123"/>
      <c r="U155" s="61"/>
      <c r="V155" s="123"/>
      <c r="W155" s="123"/>
      <c r="X155" s="19"/>
      <c r="Y155" s="123"/>
      <c r="Z155" s="123"/>
      <c r="AA155" s="61"/>
      <c r="AB155" s="123"/>
      <c r="AC155" s="61"/>
      <c r="AD155" s="123"/>
      <c r="AE155" s="123"/>
      <c r="AF155" s="19"/>
      <c r="AG155" s="123"/>
      <c r="AH155" s="123"/>
      <c r="AI155" s="124"/>
      <c r="AJ155" s="124"/>
      <c r="AK155" s="70"/>
      <c r="AL155" s="124"/>
      <c r="AM155" s="123"/>
      <c r="AN155" s="123"/>
      <c r="AO155" s="19"/>
      <c r="AP155" s="123"/>
      <c r="AQ155" s="123"/>
      <c r="AR155" s="123"/>
      <c r="AS155" s="123"/>
      <c r="AT155" s="61"/>
      <c r="AU155" s="123"/>
      <c r="AV155" s="741"/>
      <c r="AW155" s="741"/>
      <c r="AX155" s="108"/>
      <c r="AY155" s="63"/>
      <c r="AZ155" s="125"/>
      <c r="BA155" s="125"/>
      <c r="BB155" s="64"/>
      <c r="BC155" s="63"/>
      <c r="BD155" s="73"/>
      <c r="BE155" s="74"/>
      <c r="BF155" s="75"/>
      <c r="BG155" s="73"/>
      <c r="BH155" s="74"/>
      <c r="BI155" s="74"/>
      <c r="BJ155" s="75"/>
      <c r="BK155" s="74"/>
      <c r="BL155" s="74"/>
      <c r="BM155" s="73"/>
      <c r="BN155" s="74"/>
      <c r="BO155" s="75"/>
      <c r="BP155" s="74"/>
      <c r="BQ155" s="74"/>
      <c r="BR155" s="63"/>
      <c r="BS155" s="108"/>
      <c r="BT155" s="67"/>
      <c r="BU155" s="108"/>
      <c r="BV155" s="108"/>
      <c r="BW155" s="743"/>
      <c r="BX155" s="61"/>
      <c r="BY155" s="108"/>
      <c r="BZ155" s="108"/>
      <c r="CA155" s="108"/>
      <c r="CB155" s="123"/>
      <c r="CC155" s="14"/>
      <c r="CE155" s="12"/>
      <c r="CF155" s="12"/>
      <c r="CG155" s="17"/>
      <c r="CH155" s="181"/>
      <c r="CI155" s="12"/>
      <c r="CJ155" s="181"/>
      <c r="CK155" s="729"/>
      <c r="CL155" s="752"/>
      <c r="CO155" s="18"/>
      <c r="CS155" s="18"/>
      <c r="CT155" s="342"/>
      <c r="CV155" s="181"/>
      <c r="CW155" s="181"/>
      <c r="CX155" s="18"/>
      <c r="CY155" s="247"/>
      <c r="DA155" s="181"/>
      <c r="DB155" s="729"/>
      <c r="DC155" s="17"/>
      <c r="DE155" s="12"/>
      <c r="DG155" s="162"/>
      <c r="DH155" s="181"/>
      <c r="DI155" s="181"/>
      <c r="DJ155" s="181"/>
      <c r="DK155" s="17"/>
      <c r="DO155" s="18"/>
      <c r="DS155" s="163"/>
      <c r="DT155" s="763"/>
      <c r="DU155" s="12"/>
      <c r="DV155" s="12"/>
      <c r="DW155" s="12"/>
      <c r="DX155" s="768"/>
      <c r="DY155" s="763"/>
      <c r="DZ155" s="12"/>
      <c r="EA155" s="12"/>
      <c r="EB155" s="12"/>
      <c r="EC155" s="763"/>
      <c r="ED155" s="12"/>
      <c r="EE155" s="12">
        <v>1286</v>
      </c>
      <c r="EF155" s="768"/>
      <c r="EG155" s="12"/>
      <c r="EH155" s="12"/>
      <c r="EI155" s="12"/>
      <c r="EJ155" s="12"/>
      <c r="EK155" s="768"/>
      <c r="EL155" s="162"/>
      <c r="EO155" s="163"/>
      <c r="EP155" s="162"/>
      <c r="ET155" s="163"/>
      <c r="EU155" s="162"/>
      <c r="EX155" s="163"/>
      <c r="EY155" s="162"/>
      <c r="FB155" s="163"/>
    </row>
    <row r="156" spans="1:158" ht="21" customHeight="1" thickBot="1" x14ac:dyDescent="0.25">
      <c r="A156" s="1186"/>
      <c r="B156" s="249" t="s">
        <v>211</v>
      </c>
      <c r="C156" s="249" t="s">
        <v>167</v>
      </c>
      <c r="D156" s="249"/>
      <c r="E156" s="1187"/>
      <c r="F156" s="249" t="s">
        <v>74</v>
      </c>
      <c r="G156" s="773">
        <v>600</v>
      </c>
      <c r="H156" s="11">
        <f t="shared" si="6"/>
        <v>600</v>
      </c>
      <c r="I156" s="774">
        <f t="shared" si="7"/>
        <v>0</v>
      </c>
      <c r="P156" s="14"/>
      <c r="T156" s="123"/>
      <c r="U156" s="61"/>
      <c r="V156" s="123"/>
      <c r="W156" s="123"/>
      <c r="X156" s="19"/>
      <c r="Y156" s="123"/>
      <c r="Z156" s="123"/>
      <c r="AA156" s="61"/>
      <c r="AB156" s="123"/>
      <c r="AC156" s="61"/>
      <c r="AD156" s="123"/>
      <c r="AE156" s="123"/>
      <c r="AF156" s="19"/>
      <c r="AG156" s="123"/>
      <c r="AH156" s="123"/>
      <c r="AI156" s="124"/>
      <c r="AJ156" s="124"/>
      <c r="AK156" s="70"/>
      <c r="AL156" s="124"/>
      <c r="AM156" s="123"/>
      <c r="AN156" s="123"/>
      <c r="AO156" s="19"/>
      <c r="AP156" s="123"/>
      <c r="AQ156" s="123"/>
      <c r="AR156" s="123"/>
      <c r="AS156" s="123"/>
      <c r="AT156" s="61"/>
      <c r="AU156" s="123"/>
      <c r="AV156" s="741"/>
      <c r="AW156" s="741"/>
      <c r="AX156" s="108"/>
      <c r="AY156" s="63"/>
      <c r="AZ156" s="125"/>
      <c r="BA156" s="125"/>
      <c r="BB156" s="64"/>
      <c r="BC156" s="63"/>
      <c r="BD156" s="73"/>
      <c r="BE156" s="74"/>
      <c r="BF156" s="75"/>
      <c r="BG156" s="73"/>
      <c r="BH156" s="74"/>
      <c r="BI156" s="74"/>
      <c r="BJ156" s="75"/>
      <c r="BK156" s="74"/>
      <c r="BL156" s="74"/>
      <c r="BM156" s="73"/>
      <c r="BN156" s="74"/>
      <c r="BO156" s="75"/>
      <c r="BP156" s="74"/>
      <c r="BQ156" s="74"/>
      <c r="BR156" s="63"/>
      <c r="BS156" s="108"/>
      <c r="BT156" s="67"/>
      <c r="BU156" s="108"/>
      <c r="BV156" s="108"/>
      <c r="BW156" s="743"/>
      <c r="BX156" s="61"/>
      <c r="BY156" s="108"/>
      <c r="BZ156" s="108"/>
      <c r="CA156" s="108"/>
      <c r="CB156" s="123"/>
      <c r="CC156" s="14"/>
      <c r="CE156" s="12"/>
      <c r="CF156" s="12"/>
      <c r="CG156" s="17"/>
      <c r="CH156" s="181"/>
      <c r="CI156" s="12"/>
      <c r="CJ156" s="181"/>
      <c r="CK156" s="729"/>
      <c r="CL156" s="752"/>
      <c r="CO156" s="18"/>
      <c r="CS156" s="18"/>
      <c r="CT156" s="342"/>
      <c r="CV156" s="181"/>
      <c r="CW156" s="181"/>
      <c r="CX156" s="18"/>
      <c r="CY156" s="247"/>
      <c r="DA156" s="181"/>
      <c r="DB156" s="729"/>
      <c r="DC156" s="17"/>
      <c r="DE156" s="12"/>
      <c r="DG156" s="162"/>
      <c r="DH156" s="181"/>
      <c r="DI156" s="181"/>
      <c r="DJ156" s="181"/>
      <c r="DK156" s="17"/>
      <c r="DO156" s="18"/>
      <c r="DS156" s="163"/>
      <c r="DT156" s="763"/>
      <c r="DU156" s="12"/>
      <c r="DV156" s="12"/>
      <c r="DW156" s="12"/>
      <c r="DX156" s="768"/>
      <c r="DY156" s="763"/>
      <c r="DZ156" s="12"/>
      <c r="EA156" s="12"/>
      <c r="EB156" s="12"/>
      <c r="EC156" s="763"/>
      <c r="ED156" s="12"/>
      <c r="EE156" s="12">
        <v>600</v>
      </c>
      <c r="EF156" s="768"/>
      <c r="EG156" s="12"/>
      <c r="EH156" s="12"/>
      <c r="EI156" s="12"/>
      <c r="EJ156" s="12"/>
      <c r="EK156" s="768"/>
      <c r="EL156" s="162"/>
      <c r="EO156" s="163"/>
      <c r="EP156" s="162"/>
      <c r="ET156" s="163"/>
      <c r="EU156" s="162"/>
      <c r="EX156" s="163"/>
      <c r="EY156" s="162"/>
      <c r="FB156" s="163"/>
    </row>
    <row r="157" spans="1:158" ht="21" customHeight="1" thickBot="1" x14ac:dyDescent="0.25">
      <c r="A157" s="1186"/>
      <c r="B157" s="249" t="s">
        <v>194</v>
      </c>
      <c r="C157" s="249" t="s">
        <v>169</v>
      </c>
      <c r="D157" s="249"/>
      <c r="E157" s="1187"/>
      <c r="F157" s="249" t="s">
        <v>74</v>
      </c>
      <c r="G157" s="773">
        <v>600</v>
      </c>
      <c r="H157" s="11">
        <f t="shared" si="6"/>
        <v>600</v>
      </c>
      <c r="I157" s="774">
        <f t="shared" si="7"/>
        <v>0</v>
      </c>
      <c r="P157" s="14"/>
      <c r="T157" s="123"/>
      <c r="U157" s="61"/>
      <c r="V157" s="123"/>
      <c r="W157" s="123"/>
      <c r="X157" s="19"/>
      <c r="Y157" s="123"/>
      <c r="Z157" s="123"/>
      <c r="AA157" s="61"/>
      <c r="AB157" s="123"/>
      <c r="AC157" s="61"/>
      <c r="AD157" s="123"/>
      <c r="AE157" s="123"/>
      <c r="AF157" s="19"/>
      <c r="AG157" s="123"/>
      <c r="AH157" s="123"/>
      <c r="AI157" s="124"/>
      <c r="AJ157" s="124"/>
      <c r="AK157" s="70"/>
      <c r="AL157" s="124"/>
      <c r="AM157" s="123"/>
      <c r="AN157" s="123"/>
      <c r="AO157" s="19"/>
      <c r="AP157" s="123"/>
      <c r="AQ157" s="123"/>
      <c r="AR157" s="123"/>
      <c r="AS157" s="123"/>
      <c r="AT157" s="61"/>
      <c r="AU157" s="123"/>
      <c r="AV157" s="741"/>
      <c r="AW157" s="741"/>
      <c r="AX157" s="108"/>
      <c r="AY157" s="63"/>
      <c r="AZ157" s="125"/>
      <c r="BA157" s="125"/>
      <c r="BB157" s="64"/>
      <c r="BC157" s="63"/>
      <c r="BD157" s="73"/>
      <c r="BE157" s="74"/>
      <c r="BF157" s="75"/>
      <c r="BG157" s="73"/>
      <c r="BH157" s="74"/>
      <c r="BI157" s="74"/>
      <c r="BJ157" s="75"/>
      <c r="BK157" s="74"/>
      <c r="BL157" s="74"/>
      <c r="BM157" s="73"/>
      <c r="BN157" s="74"/>
      <c r="BO157" s="75"/>
      <c r="BP157" s="74"/>
      <c r="BQ157" s="74"/>
      <c r="BR157" s="63"/>
      <c r="BS157" s="108"/>
      <c r="BT157" s="67"/>
      <c r="BU157" s="108"/>
      <c r="BV157" s="108"/>
      <c r="BW157" s="743"/>
      <c r="BX157" s="61"/>
      <c r="BY157" s="108"/>
      <c r="BZ157" s="108"/>
      <c r="CA157" s="108"/>
      <c r="CB157" s="123"/>
      <c r="CC157" s="14"/>
      <c r="CE157" s="12"/>
      <c r="CF157" s="12"/>
      <c r="CG157" s="17"/>
      <c r="CH157" s="181"/>
      <c r="CI157" s="12"/>
      <c r="CJ157" s="181"/>
      <c r="CK157" s="729"/>
      <c r="CL157" s="752"/>
      <c r="CO157" s="18"/>
      <c r="CS157" s="18"/>
      <c r="CT157" s="342"/>
      <c r="CV157" s="181"/>
      <c r="CW157" s="181"/>
      <c r="CX157" s="18"/>
      <c r="CY157" s="247"/>
      <c r="DA157" s="181"/>
      <c r="DB157" s="729"/>
      <c r="DC157" s="17"/>
      <c r="DE157" s="12"/>
      <c r="DG157" s="162"/>
      <c r="DH157" s="181"/>
      <c r="DI157" s="181"/>
      <c r="DJ157" s="181"/>
      <c r="DK157" s="17"/>
      <c r="DO157" s="18"/>
      <c r="DS157" s="163"/>
      <c r="DT157" s="763"/>
      <c r="DU157" s="12"/>
      <c r="DV157" s="12"/>
      <c r="DW157" s="12"/>
      <c r="DX157" s="768"/>
      <c r="DY157" s="763"/>
      <c r="DZ157" s="12"/>
      <c r="EA157" s="12"/>
      <c r="EB157" s="12"/>
      <c r="EC157" s="763"/>
      <c r="ED157" s="12"/>
      <c r="EE157" s="12">
        <v>600</v>
      </c>
      <c r="EF157" s="768"/>
      <c r="EG157" s="12"/>
      <c r="EH157" s="12"/>
      <c r="EI157" s="12"/>
      <c r="EJ157" s="12"/>
      <c r="EK157" s="768"/>
      <c r="EL157" s="162"/>
      <c r="EO157" s="163"/>
      <c r="EP157" s="162"/>
      <c r="ET157" s="163"/>
      <c r="EU157" s="162"/>
      <c r="EX157" s="163"/>
      <c r="EY157" s="162"/>
      <c r="FB157" s="163"/>
    </row>
    <row r="158" spans="1:158" ht="21" customHeight="1" thickBot="1" x14ac:dyDescent="0.25">
      <c r="A158" s="1186"/>
      <c r="B158" s="249" t="s">
        <v>170</v>
      </c>
      <c r="C158" s="249" t="s">
        <v>171</v>
      </c>
      <c r="D158" s="249"/>
      <c r="E158" s="1187"/>
      <c r="F158" s="249" t="s">
        <v>74</v>
      </c>
      <c r="G158" s="773">
        <v>600</v>
      </c>
      <c r="H158" s="11">
        <f t="shared" si="6"/>
        <v>600</v>
      </c>
      <c r="I158" s="774">
        <f t="shared" si="7"/>
        <v>0</v>
      </c>
      <c r="P158" s="14"/>
      <c r="T158" s="123"/>
      <c r="U158" s="61"/>
      <c r="V158" s="123"/>
      <c r="W158" s="123"/>
      <c r="X158" s="19"/>
      <c r="Y158" s="123"/>
      <c r="Z158" s="123"/>
      <c r="AA158" s="61"/>
      <c r="AB158" s="123"/>
      <c r="AC158" s="61"/>
      <c r="AD158" s="123"/>
      <c r="AE158" s="123"/>
      <c r="AF158" s="19"/>
      <c r="AG158" s="123"/>
      <c r="AH158" s="123"/>
      <c r="AI158" s="124"/>
      <c r="AJ158" s="124"/>
      <c r="AK158" s="70"/>
      <c r="AL158" s="124"/>
      <c r="AM158" s="123"/>
      <c r="AN158" s="123"/>
      <c r="AO158" s="19"/>
      <c r="AP158" s="123"/>
      <c r="AQ158" s="123"/>
      <c r="AR158" s="123"/>
      <c r="AS158" s="123"/>
      <c r="AT158" s="61"/>
      <c r="AU158" s="123"/>
      <c r="AV158" s="741"/>
      <c r="AW158" s="741"/>
      <c r="AX158" s="108"/>
      <c r="AY158" s="63"/>
      <c r="AZ158" s="125"/>
      <c r="BA158" s="125"/>
      <c r="BB158" s="64"/>
      <c r="BC158" s="63"/>
      <c r="BD158" s="73"/>
      <c r="BE158" s="74"/>
      <c r="BF158" s="75"/>
      <c r="BG158" s="73"/>
      <c r="BH158" s="74"/>
      <c r="BI158" s="74"/>
      <c r="BJ158" s="75"/>
      <c r="BK158" s="74"/>
      <c r="BL158" s="74"/>
      <c r="BM158" s="73"/>
      <c r="BN158" s="74"/>
      <c r="BO158" s="75"/>
      <c r="BP158" s="74"/>
      <c r="BQ158" s="74"/>
      <c r="BR158" s="63"/>
      <c r="BS158" s="108"/>
      <c r="BT158" s="67"/>
      <c r="BU158" s="108"/>
      <c r="BV158" s="108"/>
      <c r="BW158" s="743"/>
      <c r="BX158" s="61"/>
      <c r="BY158" s="108"/>
      <c r="BZ158" s="108"/>
      <c r="CA158" s="108"/>
      <c r="CB158" s="123"/>
      <c r="CC158" s="14"/>
      <c r="CE158" s="12"/>
      <c r="CF158" s="12"/>
      <c r="CG158" s="17"/>
      <c r="CH158" s="181"/>
      <c r="CI158" s="12"/>
      <c r="CJ158" s="181"/>
      <c r="CK158" s="729"/>
      <c r="CL158" s="752"/>
      <c r="CO158" s="18"/>
      <c r="CS158" s="18"/>
      <c r="CT158" s="342"/>
      <c r="CV158" s="181"/>
      <c r="CW158" s="181"/>
      <c r="CX158" s="18"/>
      <c r="CY158" s="247"/>
      <c r="DA158" s="181"/>
      <c r="DB158" s="729"/>
      <c r="DC158" s="17"/>
      <c r="DE158" s="12"/>
      <c r="DG158" s="162"/>
      <c r="DH158" s="181"/>
      <c r="DI158" s="181"/>
      <c r="DJ158" s="181"/>
      <c r="DK158" s="17"/>
      <c r="DO158" s="18"/>
      <c r="DS158" s="163"/>
      <c r="DT158" s="763"/>
      <c r="DU158" s="12"/>
      <c r="DV158" s="12"/>
      <c r="DW158" s="12"/>
      <c r="DX158" s="768"/>
      <c r="DY158" s="763"/>
      <c r="DZ158" s="12"/>
      <c r="EA158" s="12"/>
      <c r="EB158" s="12"/>
      <c r="EC158" s="763"/>
      <c r="ED158" s="12"/>
      <c r="EE158" s="12"/>
      <c r="EF158" s="768">
        <v>600</v>
      </c>
      <c r="EG158" s="12"/>
      <c r="EH158" s="12"/>
      <c r="EI158" s="12"/>
      <c r="EJ158" s="12"/>
      <c r="EK158" s="768"/>
      <c r="EL158" s="162"/>
      <c r="EO158" s="163"/>
      <c r="EP158" s="162"/>
      <c r="ET158" s="163"/>
      <c r="EU158" s="162"/>
      <c r="EX158" s="163"/>
      <c r="EY158" s="162"/>
      <c r="FB158" s="163"/>
    </row>
    <row r="159" spans="1:158" ht="21" customHeight="1" thickBot="1" x14ac:dyDescent="0.25">
      <c r="A159" s="1186"/>
      <c r="B159" s="249" t="s">
        <v>222</v>
      </c>
      <c r="C159" s="249" t="s">
        <v>95</v>
      </c>
      <c r="D159" s="249"/>
      <c r="E159" s="1187"/>
      <c r="F159" s="249" t="s">
        <v>74</v>
      </c>
      <c r="G159" s="773">
        <v>997</v>
      </c>
      <c r="H159" s="11">
        <f t="shared" si="6"/>
        <v>997</v>
      </c>
      <c r="I159" s="774">
        <f t="shared" si="7"/>
        <v>0</v>
      </c>
      <c r="P159" s="14"/>
      <c r="T159" s="123"/>
      <c r="U159" s="61"/>
      <c r="V159" s="123"/>
      <c r="W159" s="123"/>
      <c r="X159" s="19"/>
      <c r="Y159" s="123"/>
      <c r="Z159" s="123"/>
      <c r="AA159" s="61"/>
      <c r="AB159" s="123"/>
      <c r="AC159" s="61"/>
      <c r="AD159" s="123"/>
      <c r="AE159" s="123"/>
      <c r="AF159" s="19"/>
      <c r="AG159" s="123"/>
      <c r="AH159" s="123"/>
      <c r="AI159" s="124"/>
      <c r="AJ159" s="124"/>
      <c r="AK159" s="70"/>
      <c r="AL159" s="124"/>
      <c r="AM159" s="123"/>
      <c r="AN159" s="123"/>
      <c r="AO159" s="19"/>
      <c r="AP159" s="123"/>
      <c r="AQ159" s="123"/>
      <c r="AR159" s="123"/>
      <c r="AS159" s="123"/>
      <c r="AT159" s="61"/>
      <c r="AU159" s="123"/>
      <c r="AV159" s="741"/>
      <c r="AW159" s="741"/>
      <c r="AX159" s="108"/>
      <c r="AY159" s="63"/>
      <c r="AZ159" s="125"/>
      <c r="BA159" s="125"/>
      <c r="BB159" s="64"/>
      <c r="BC159" s="63"/>
      <c r="BD159" s="73"/>
      <c r="BE159" s="74"/>
      <c r="BF159" s="75"/>
      <c r="BG159" s="73"/>
      <c r="BH159" s="74"/>
      <c r="BI159" s="74"/>
      <c r="BJ159" s="75"/>
      <c r="BK159" s="74"/>
      <c r="BL159" s="74"/>
      <c r="BM159" s="73"/>
      <c r="BN159" s="74"/>
      <c r="BO159" s="75"/>
      <c r="BP159" s="74"/>
      <c r="BQ159" s="74"/>
      <c r="BR159" s="63"/>
      <c r="BS159" s="108"/>
      <c r="BT159" s="67"/>
      <c r="BU159" s="108"/>
      <c r="BV159" s="108"/>
      <c r="BW159" s="743"/>
      <c r="BX159" s="61"/>
      <c r="BY159" s="108"/>
      <c r="BZ159" s="108"/>
      <c r="CA159" s="108"/>
      <c r="CB159" s="123"/>
      <c r="CC159" s="14"/>
      <c r="CE159" s="12"/>
      <c r="CF159" s="12"/>
      <c r="CG159" s="17"/>
      <c r="CH159" s="181"/>
      <c r="CI159" s="12"/>
      <c r="CJ159" s="181"/>
      <c r="CK159" s="729"/>
      <c r="CL159" s="752"/>
      <c r="CO159" s="18"/>
      <c r="CS159" s="18"/>
      <c r="CT159" s="342"/>
      <c r="CV159" s="181"/>
      <c r="CW159" s="181"/>
      <c r="CX159" s="18"/>
      <c r="CY159" s="247"/>
      <c r="DA159" s="181"/>
      <c r="DB159" s="729"/>
      <c r="DC159" s="17"/>
      <c r="DE159" s="12"/>
      <c r="DG159" s="162"/>
      <c r="DH159" s="181"/>
      <c r="DI159" s="181"/>
      <c r="DJ159" s="181"/>
      <c r="DK159" s="17"/>
      <c r="DO159" s="18"/>
      <c r="DS159" s="163"/>
      <c r="DT159" s="763"/>
      <c r="DU159" s="12"/>
      <c r="DV159" s="12"/>
      <c r="DW159" s="12"/>
      <c r="DX159" s="768"/>
      <c r="DY159" s="763"/>
      <c r="DZ159" s="12"/>
      <c r="EA159" s="12"/>
      <c r="EB159" s="12"/>
      <c r="EC159" s="763"/>
      <c r="ED159" s="12"/>
      <c r="EE159" s="12"/>
      <c r="EF159" s="768">
        <v>997</v>
      </c>
      <c r="EG159" s="12"/>
      <c r="EH159" s="12"/>
      <c r="EI159" s="12"/>
      <c r="EJ159" s="12"/>
      <c r="EK159" s="768"/>
      <c r="EL159" s="162"/>
      <c r="EO159" s="163"/>
      <c r="EP159" s="162"/>
      <c r="ET159" s="163"/>
      <c r="EU159" s="162"/>
      <c r="EX159" s="163"/>
      <c r="EY159" s="162"/>
      <c r="FB159" s="163"/>
    </row>
    <row r="160" spans="1:158" ht="21" customHeight="1" thickBot="1" x14ac:dyDescent="0.25">
      <c r="A160" s="1186" t="s">
        <v>207</v>
      </c>
      <c r="B160" s="249">
        <f t="shared" ref="B160:B165" si="8">+B148</f>
        <v>0</v>
      </c>
      <c r="C160" s="249" t="s">
        <v>223</v>
      </c>
      <c r="D160" s="249"/>
      <c r="E160" s="1187">
        <f>+E154</f>
        <v>46266</v>
      </c>
      <c r="F160" s="249" t="s">
        <v>224</v>
      </c>
      <c r="G160" s="773"/>
      <c r="H160" s="11"/>
      <c r="I160" s="774">
        <f t="shared" si="7"/>
        <v>0</v>
      </c>
      <c r="P160" s="14"/>
      <c r="T160" s="123"/>
      <c r="U160" s="61"/>
      <c r="V160" s="123"/>
      <c r="W160" s="123"/>
      <c r="X160" s="19"/>
      <c r="Y160" s="123"/>
      <c r="Z160" s="123"/>
      <c r="AA160" s="61"/>
      <c r="AB160" s="123"/>
      <c r="AC160" s="61"/>
      <c r="AD160" s="123"/>
      <c r="AE160" s="123"/>
      <c r="AF160" s="19"/>
      <c r="AG160" s="123"/>
      <c r="AH160" s="123"/>
      <c r="AI160" s="124"/>
      <c r="AJ160" s="124"/>
      <c r="AK160" s="70"/>
      <c r="AL160" s="124"/>
      <c r="AM160" s="123"/>
      <c r="AN160" s="123"/>
      <c r="AO160" s="19"/>
      <c r="AP160" s="123"/>
      <c r="AQ160" s="123"/>
      <c r="AR160" s="123"/>
      <c r="AS160" s="123"/>
      <c r="AT160" s="61"/>
      <c r="AU160" s="123"/>
      <c r="AV160" s="741"/>
      <c r="AW160" s="741"/>
      <c r="AX160" s="108"/>
      <c r="AY160" s="63"/>
      <c r="AZ160" s="125"/>
      <c r="BA160" s="125"/>
      <c r="BB160" s="64"/>
      <c r="BC160" s="63"/>
      <c r="BD160" s="73"/>
      <c r="BE160" s="74"/>
      <c r="BF160" s="75"/>
      <c r="BG160" s="73"/>
      <c r="BH160" s="74"/>
      <c r="BI160" s="74"/>
      <c r="BJ160" s="75"/>
      <c r="BK160" s="74"/>
      <c r="BL160" s="74"/>
      <c r="BM160" s="73"/>
      <c r="BN160" s="74"/>
      <c r="BO160" s="75"/>
      <c r="BP160" s="74"/>
      <c r="BQ160" s="74"/>
      <c r="BR160" s="63"/>
      <c r="BS160" s="108"/>
      <c r="BT160" s="67"/>
      <c r="BU160" s="108"/>
      <c r="BV160" s="108"/>
      <c r="BW160" s="743"/>
      <c r="BX160" s="61"/>
      <c r="BY160" s="108"/>
      <c r="BZ160" s="108"/>
      <c r="CA160" s="108"/>
      <c r="CB160" s="123"/>
      <c r="CC160" s="14"/>
      <c r="CE160" s="12"/>
      <c r="CF160" s="12"/>
      <c r="CG160" s="17"/>
      <c r="CH160" s="181"/>
      <c r="CI160" s="12"/>
      <c r="CJ160" s="181"/>
      <c r="CK160" s="729"/>
      <c r="CL160" s="752"/>
      <c r="CO160" s="18"/>
      <c r="CS160" s="18"/>
      <c r="CT160" s="342"/>
      <c r="CV160" s="181"/>
      <c r="CW160" s="181"/>
      <c r="CX160" s="18"/>
      <c r="CY160" s="247"/>
      <c r="DA160" s="181"/>
      <c r="DB160" s="729"/>
      <c r="DC160" s="17"/>
      <c r="DE160" s="12"/>
      <c r="DG160" s="162"/>
      <c r="DH160" s="181"/>
      <c r="DI160" s="181"/>
      <c r="DJ160" s="181"/>
      <c r="DK160" s="17"/>
      <c r="DO160" s="729"/>
      <c r="DP160" s="181"/>
      <c r="DS160" s="163"/>
      <c r="DT160" s="763"/>
      <c r="DU160" s="12"/>
      <c r="DV160" s="12"/>
      <c r="DW160" s="12"/>
      <c r="DX160" s="768"/>
      <c r="DY160" s="763"/>
      <c r="DZ160" s="12"/>
      <c r="EA160" s="12"/>
      <c r="EB160" s="12"/>
      <c r="EC160" s="763"/>
      <c r="ED160" s="12"/>
      <c r="EE160" s="12"/>
      <c r="EF160" s="768"/>
      <c r="EG160" s="12"/>
      <c r="EH160" s="12"/>
      <c r="EI160" s="12"/>
      <c r="EJ160" s="12"/>
      <c r="EK160" s="768"/>
      <c r="EL160" s="162"/>
      <c r="EO160" s="163"/>
      <c r="EP160" s="162"/>
      <c r="ET160" s="163"/>
      <c r="EU160" s="162"/>
      <c r="EX160" s="163"/>
      <c r="EY160" s="162"/>
      <c r="FB160" s="163"/>
    </row>
    <row r="161" spans="1:158" ht="21" customHeight="1" thickBot="1" x14ac:dyDescent="0.25">
      <c r="A161" s="1188"/>
      <c r="B161" s="249" t="str">
        <f t="shared" si="8"/>
        <v>Firedex</v>
      </c>
      <c r="C161" s="249" t="s">
        <v>197</v>
      </c>
      <c r="D161" s="249"/>
      <c r="E161" s="1189"/>
      <c r="F161" s="249" t="s">
        <v>15</v>
      </c>
      <c r="G161" s="773">
        <v>1500</v>
      </c>
      <c r="H161" s="11">
        <f t="shared" si="6"/>
        <v>1500</v>
      </c>
      <c r="I161" s="774">
        <f t="shared" si="7"/>
        <v>0</v>
      </c>
      <c r="P161" s="14"/>
      <c r="T161" s="123"/>
      <c r="U161" s="61"/>
      <c r="V161" s="123"/>
      <c r="W161" s="123"/>
      <c r="X161" s="19"/>
      <c r="Y161" s="123"/>
      <c r="Z161" s="123"/>
      <c r="AA161" s="61"/>
      <c r="AB161" s="123"/>
      <c r="AC161" s="61"/>
      <c r="AD161" s="123"/>
      <c r="AE161" s="123"/>
      <c r="AF161" s="19"/>
      <c r="AG161" s="123"/>
      <c r="AH161" s="123"/>
      <c r="AI161" s="124"/>
      <c r="AJ161" s="124"/>
      <c r="AK161" s="70"/>
      <c r="AL161" s="124"/>
      <c r="AM161" s="123"/>
      <c r="AN161" s="123"/>
      <c r="AO161" s="19"/>
      <c r="AP161" s="123"/>
      <c r="AQ161" s="123"/>
      <c r="AR161" s="123"/>
      <c r="AS161" s="123"/>
      <c r="AT161" s="61"/>
      <c r="AU161" s="123"/>
      <c r="AV161" s="741"/>
      <c r="AW161" s="741"/>
      <c r="AX161" s="108"/>
      <c r="AY161" s="63"/>
      <c r="AZ161" s="125"/>
      <c r="BA161" s="125"/>
      <c r="BB161" s="64"/>
      <c r="BC161" s="63"/>
      <c r="BD161" s="73"/>
      <c r="BE161" s="74"/>
      <c r="BF161" s="75"/>
      <c r="BG161" s="73"/>
      <c r="BH161" s="74"/>
      <c r="BI161" s="74"/>
      <c r="BJ161" s="75"/>
      <c r="BK161" s="74"/>
      <c r="BL161" s="74"/>
      <c r="BM161" s="73"/>
      <c r="BN161" s="74"/>
      <c r="BO161" s="75"/>
      <c r="BP161" s="74"/>
      <c r="BQ161" s="74"/>
      <c r="BR161" s="63"/>
      <c r="BS161" s="108"/>
      <c r="BT161" s="67"/>
      <c r="BU161" s="108"/>
      <c r="BV161" s="108"/>
      <c r="BW161" s="743"/>
      <c r="BX161" s="61"/>
      <c r="BY161" s="108"/>
      <c r="BZ161" s="108"/>
      <c r="CA161" s="108"/>
      <c r="CB161" s="123"/>
      <c r="CC161" s="14"/>
      <c r="CE161" s="12"/>
      <c r="CF161" s="12"/>
      <c r="CG161" s="17"/>
      <c r="CH161" s="181"/>
      <c r="CI161" s="12"/>
      <c r="CJ161" s="181"/>
      <c r="CK161" s="729"/>
      <c r="CL161" s="752"/>
      <c r="CO161" s="18"/>
      <c r="CS161" s="18"/>
      <c r="CT161" s="342"/>
      <c r="CV161" s="181"/>
      <c r="CW161" s="181"/>
      <c r="CX161" s="18"/>
      <c r="CY161" s="247"/>
      <c r="DA161" s="181"/>
      <c r="DB161" s="729"/>
      <c r="DC161" s="17"/>
      <c r="DE161" s="12"/>
      <c r="DG161" s="162"/>
      <c r="DH161" s="181"/>
      <c r="DI161" s="181"/>
      <c r="DJ161" s="181"/>
      <c r="DK161" s="17"/>
      <c r="DO161" s="729"/>
      <c r="DP161" s="181"/>
      <c r="DS161" s="163"/>
      <c r="DT161" s="763"/>
      <c r="DU161" s="12"/>
      <c r="DV161" s="12"/>
      <c r="DW161" s="12"/>
      <c r="DX161" s="768"/>
      <c r="DY161" s="763"/>
      <c r="DZ161" s="12"/>
      <c r="EA161" s="12"/>
      <c r="EB161" s="12"/>
      <c r="EC161" s="763"/>
      <c r="ED161" s="12"/>
      <c r="EE161" s="12"/>
      <c r="EF161" s="768"/>
      <c r="EG161" s="12">
        <v>1500</v>
      </c>
      <c r="EH161" s="12"/>
      <c r="EI161" s="12"/>
      <c r="EJ161" s="12"/>
      <c r="EK161" s="768"/>
      <c r="EL161" s="162"/>
      <c r="EO161" s="163"/>
      <c r="EP161" s="162"/>
      <c r="ET161" s="163"/>
      <c r="EU161" s="162"/>
      <c r="EX161" s="163"/>
      <c r="EY161" s="162"/>
      <c r="FB161" s="163"/>
    </row>
    <row r="162" spans="1:158" ht="21" customHeight="1" thickBot="1" x14ac:dyDescent="0.25">
      <c r="A162" s="1188"/>
      <c r="B162" s="249" t="str">
        <f t="shared" si="8"/>
        <v>Weinbrenner</v>
      </c>
      <c r="C162" s="249" t="s">
        <v>29</v>
      </c>
      <c r="D162" s="249"/>
      <c r="E162" s="1189"/>
      <c r="F162" s="249" t="s">
        <v>29</v>
      </c>
      <c r="G162" s="773">
        <v>750</v>
      </c>
      <c r="H162" s="11">
        <f t="shared" si="6"/>
        <v>750</v>
      </c>
      <c r="I162" s="774">
        <f t="shared" si="7"/>
        <v>0</v>
      </c>
      <c r="P162" s="14"/>
      <c r="T162" s="123"/>
      <c r="U162" s="61"/>
      <c r="V162" s="123"/>
      <c r="W162" s="123"/>
      <c r="X162" s="19"/>
      <c r="Y162" s="123"/>
      <c r="Z162" s="123"/>
      <c r="AA162" s="61"/>
      <c r="AB162" s="123"/>
      <c r="AC162" s="61"/>
      <c r="AD162" s="123"/>
      <c r="AE162" s="123"/>
      <c r="AF162" s="19"/>
      <c r="AG162" s="123"/>
      <c r="AH162" s="123"/>
      <c r="AI162" s="124"/>
      <c r="AJ162" s="124"/>
      <c r="AK162" s="70"/>
      <c r="AL162" s="124"/>
      <c r="AM162" s="123"/>
      <c r="AN162" s="123"/>
      <c r="AO162" s="19"/>
      <c r="AP162" s="123"/>
      <c r="AQ162" s="123"/>
      <c r="AR162" s="123"/>
      <c r="AS162" s="123"/>
      <c r="AT162" s="61"/>
      <c r="AU162" s="123"/>
      <c r="AV162" s="741"/>
      <c r="AW162" s="741"/>
      <c r="AX162" s="108"/>
      <c r="AY162" s="63"/>
      <c r="AZ162" s="125"/>
      <c r="BA162" s="125"/>
      <c r="BB162" s="64"/>
      <c r="BC162" s="63"/>
      <c r="BD162" s="73"/>
      <c r="BE162" s="74"/>
      <c r="BF162" s="75"/>
      <c r="BG162" s="73"/>
      <c r="BH162" s="74"/>
      <c r="BI162" s="74"/>
      <c r="BJ162" s="75"/>
      <c r="BK162" s="74"/>
      <c r="BL162" s="74"/>
      <c r="BM162" s="73"/>
      <c r="BN162" s="74"/>
      <c r="BO162" s="75"/>
      <c r="BP162" s="74"/>
      <c r="BQ162" s="74"/>
      <c r="BR162" s="63"/>
      <c r="BS162" s="108"/>
      <c r="BT162" s="67"/>
      <c r="BU162" s="108"/>
      <c r="BV162" s="108"/>
      <c r="BW162" s="743"/>
      <c r="BX162" s="61"/>
      <c r="BY162" s="108"/>
      <c r="BZ162" s="108"/>
      <c r="CA162" s="108"/>
      <c r="CB162" s="123"/>
      <c r="CC162" s="14"/>
      <c r="CE162" s="12"/>
      <c r="CF162" s="12"/>
      <c r="CG162" s="17"/>
      <c r="CH162" s="181"/>
      <c r="CI162" s="12"/>
      <c r="CJ162" s="181"/>
      <c r="CK162" s="729"/>
      <c r="CL162" s="752"/>
      <c r="CO162" s="18"/>
      <c r="CS162" s="18"/>
      <c r="CT162" s="342"/>
      <c r="CV162" s="181"/>
      <c r="CW162" s="181"/>
      <c r="CX162" s="18"/>
      <c r="CY162" s="247"/>
      <c r="DA162" s="181"/>
      <c r="DB162" s="729"/>
      <c r="DC162" s="17"/>
      <c r="DE162" s="12"/>
      <c r="DG162" s="162"/>
      <c r="DH162" s="181"/>
      <c r="DI162" s="181"/>
      <c r="DJ162" s="181"/>
      <c r="DK162" s="17"/>
      <c r="DO162" s="729"/>
      <c r="DP162" s="181"/>
      <c r="DS162" s="163"/>
      <c r="DT162" s="763"/>
      <c r="DU162" s="12"/>
      <c r="DV162" s="12"/>
      <c r="DW162" s="12"/>
      <c r="DX162" s="768"/>
      <c r="DY162" s="763"/>
      <c r="DZ162" s="12"/>
      <c r="EA162" s="12"/>
      <c r="EB162" s="12"/>
      <c r="EC162" s="763"/>
      <c r="ED162" s="12"/>
      <c r="EE162" s="12"/>
      <c r="EF162" s="768"/>
      <c r="EG162" s="12">
        <v>750</v>
      </c>
      <c r="EH162" s="12"/>
      <c r="EI162" s="12"/>
      <c r="EJ162" s="12"/>
      <c r="EK162" s="768"/>
      <c r="EL162" s="162"/>
      <c r="EO162" s="163"/>
      <c r="EP162" s="162"/>
      <c r="ET162" s="163"/>
      <c r="EU162" s="162"/>
      <c r="EX162" s="163"/>
      <c r="EY162" s="162"/>
      <c r="FB162" s="163"/>
    </row>
    <row r="163" spans="1:158" ht="21" customHeight="1" thickBot="1" x14ac:dyDescent="0.25">
      <c r="A163" s="1188"/>
      <c r="B163" s="249" t="str">
        <f t="shared" si="8"/>
        <v>Chippewa</v>
      </c>
      <c r="C163" s="249" t="s">
        <v>8</v>
      </c>
      <c r="D163" s="249"/>
      <c r="E163" s="1189"/>
      <c r="F163" s="249" t="s">
        <v>8</v>
      </c>
      <c r="G163" s="773">
        <v>1000</v>
      </c>
      <c r="H163" s="11">
        <f t="shared" si="6"/>
        <v>1000</v>
      </c>
      <c r="I163" s="774">
        <f t="shared" si="7"/>
        <v>0</v>
      </c>
      <c r="P163" s="14"/>
      <c r="T163" s="123"/>
      <c r="U163" s="61"/>
      <c r="V163" s="123"/>
      <c r="W163" s="123"/>
      <c r="X163" s="19"/>
      <c r="Y163" s="123"/>
      <c r="Z163" s="123"/>
      <c r="AA163" s="61"/>
      <c r="AB163" s="123"/>
      <c r="AC163" s="61"/>
      <c r="AD163" s="123"/>
      <c r="AE163" s="123"/>
      <c r="AF163" s="19"/>
      <c r="AG163" s="123"/>
      <c r="AH163" s="123"/>
      <c r="AI163" s="124"/>
      <c r="AJ163" s="124"/>
      <c r="AK163" s="70"/>
      <c r="AL163" s="124"/>
      <c r="AM163" s="123"/>
      <c r="AN163" s="123"/>
      <c r="AO163" s="19"/>
      <c r="AP163" s="123"/>
      <c r="AQ163" s="123"/>
      <c r="AR163" s="123"/>
      <c r="AS163" s="123"/>
      <c r="AT163" s="61"/>
      <c r="AU163" s="123"/>
      <c r="AV163" s="741"/>
      <c r="AW163" s="741"/>
      <c r="AX163" s="108"/>
      <c r="AY163" s="63"/>
      <c r="AZ163" s="125"/>
      <c r="BA163" s="125"/>
      <c r="BB163" s="64"/>
      <c r="BC163" s="63"/>
      <c r="BD163" s="73"/>
      <c r="BE163" s="74"/>
      <c r="BF163" s="75"/>
      <c r="BG163" s="73"/>
      <c r="BH163" s="74"/>
      <c r="BI163" s="74"/>
      <c r="BJ163" s="75"/>
      <c r="BK163" s="74"/>
      <c r="BL163" s="74"/>
      <c r="BM163" s="73"/>
      <c r="BN163" s="74"/>
      <c r="BO163" s="75"/>
      <c r="BP163" s="74"/>
      <c r="BQ163" s="74"/>
      <c r="BR163" s="63"/>
      <c r="BS163" s="108"/>
      <c r="BT163" s="67"/>
      <c r="BU163" s="108"/>
      <c r="BV163" s="108"/>
      <c r="BW163" s="743"/>
      <c r="BX163" s="61"/>
      <c r="BY163" s="108"/>
      <c r="BZ163" s="108"/>
      <c r="CA163" s="108"/>
      <c r="CB163" s="123"/>
      <c r="CC163" s="14"/>
      <c r="CE163" s="12"/>
      <c r="CF163" s="12"/>
      <c r="CG163" s="17"/>
      <c r="CH163" s="181"/>
      <c r="CI163" s="12"/>
      <c r="CJ163" s="181"/>
      <c r="CK163" s="729"/>
      <c r="CL163" s="752"/>
      <c r="CO163" s="18"/>
      <c r="CS163" s="18"/>
      <c r="CT163" s="342"/>
      <c r="CV163" s="181"/>
      <c r="CW163" s="181"/>
      <c r="CX163" s="18"/>
      <c r="CY163" s="247"/>
      <c r="DA163" s="181"/>
      <c r="DB163" s="729"/>
      <c r="DC163" s="17"/>
      <c r="DE163" s="12"/>
      <c r="DG163" s="162"/>
      <c r="DH163" s="181"/>
      <c r="DI163" s="181"/>
      <c r="DJ163" s="181"/>
      <c r="DK163" s="17"/>
      <c r="DO163" s="729"/>
      <c r="DP163" s="181"/>
      <c r="DS163" s="163"/>
      <c r="DT163" s="763"/>
      <c r="DU163" s="12"/>
      <c r="DV163" s="12"/>
      <c r="DW163" s="12"/>
      <c r="DX163" s="768"/>
      <c r="DY163" s="763"/>
      <c r="DZ163" s="12"/>
      <c r="EA163" s="12"/>
      <c r="EB163" s="12"/>
      <c r="EC163" s="763"/>
      <c r="ED163" s="12"/>
      <c r="EE163" s="12"/>
      <c r="EF163" s="768">
        <v>1000</v>
      </c>
      <c r="EG163" s="12"/>
      <c r="EH163" s="12"/>
      <c r="EI163" s="12"/>
      <c r="EJ163" s="12"/>
      <c r="EK163" s="768"/>
      <c r="EL163" s="162"/>
      <c r="EO163" s="163"/>
      <c r="EP163" s="162"/>
      <c r="ET163" s="163"/>
      <c r="EU163" s="162"/>
      <c r="EX163" s="163"/>
      <c r="EY163" s="162"/>
      <c r="FB163" s="163"/>
    </row>
    <row r="164" spans="1:158" ht="21" customHeight="1" thickBot="1" x14ac:dyDescent="0.25">
      <c r="A164" s="1188"/>
      <c r="B164" s="249" t="str">
        <f t="shared" si="8"/>
        <v>WWW</v>
      </c>
      <c r="C164" s="249" t="s">
        <v>201</v>
      </c>
      <c r="D164" s="249"/>
      <c r="E164" s="1189"/>
      <c r="F164" s="249" t="s">
        <v>201</v>
      </c>
      <c r="G164" s="773"/>
      <c r="H164" s="11">
        <f t="shared" si="6"/>
        <v>0</v>
      </c>
      <c r="I164" s="774">
        <f t="shared" si="7"/>
        <v>0</v>
      </c>
      <c r="P164" s="14"/>
      <c r="T164" s="123"/>
      <c r="U164" s="61"/>
      <c r="V164" s="123"/>
      <c r="W164" s="123"/>
      <c r="X164" s="19"/>
      <c r="Y164" s="123"/>
      <c r="Z164" s="123"/>
      <c r="AA164" s="61"/>
      <c r="AB164" s="123"/>
      <c r="AC164" s="61"/>
      <c r="AD164" s="123"/>
      <c r="AE164" s="123"/>
      <c r="AF164" s="19"/>
      <c r="AG164" s="123"/>
      <c r="AH164" s="123"/>
      <c r="AI164" s="124"/>
      <c r="AJ164" s="124"/>
      <c r="AK164" s="70"/>
      <c r="AL164" s="124"/>
      <c r="AM164" s="123"/>
      <c r="AN164" s="123"/>
      <c r="AO164" s="19"/>
      <c r="AP164" s="123"/>
      <c r="AQ164" s="123"/>
      <c r="AR164" s="123"/>
      <c r="AS164" s="123"/>
      <c r="AT164" s="61"/>
      <c r="AU164" s="123"/>
      <c r="AV164" s="741"/>
      <c r="AW164" s="741"/>
      <c r="AX164" s="108"/>
      <c r="AY164" s="63"/>
      <c r="AZ164" s="125"/>
      <c r="BA164" s="125"/>
      <c r="BB164" s="64"/>
      <c r="BC164" s="63"/>
      <c r="BD164" s="73"/>
      <c r="BE164" s="74"/>
      <c r="BF164" s="75"/>
      <c r="BG164" s="73"/>
      <c r="BH164" s="74"/>
      <c r="BI164" s="74"/>
      <c r="BJ164" s="75"/>
      <c r="BK164" s="74"/>
      <c r="BL164" s="74"/>
      <c r="BM164" s="73"/>
      <c r="BN164" s="74"/>
      <c r="BO164" s="75"/>
      <c r="BP164" s="74"/>
      <c r="BQ164" s="74"/>
      <c r="BR164" s="63"/>
      <c r="BS164" s="108"/>
      <c r="BT164" s="67"/>
      <c r="BU164" s="108"/>
      <c r="BV164" s="108"/>
      <c r="BW164" s="743"/>
      <c r="BX164" s="61"/>
      <c r="BY164" s="108"/>
      <c r="BZ164" s="108"/>
      <c r="CA164" s="108"/>
      <c r="CB164" s="123"/>
      <c r="CC164" s="14"/>
      <c r="CE164" s="12"/>
      <c r="CF164" s="12"/>
      <c r="CG164" s="17"/>
      <c r="CH164" s="181"/>
      <c r="CI164" s="12"/>
      <c r="CJ164" s="181"/>
      <c r="CK164" s="729"/>
      <c r="CL164" s="752"/>
      <c r="CO164" s="18"/>
      <c r="CS164" s="18"/>
      <c r="CT164" s="342"/>
      <c r="CV164" s="181"/>
      <c r="CW164" s="181"/>
      <c r="CX164" s="18"/>
      <c r="CY164" s="247"/>
      <c r="DA164" s="181"/>
      <c r="DB164" s="729"/>
      <c r="DC164" s="17"/>
      <c r="DE164" s="12"/>
      <c r="DG164" s="162"/>
      <c r="DH164" s="181"/>
      <c r="DI164" s="181"/>
      <c r="DJ164" s="181"/>
      <c r="DK164" s="17"/>
      <c r="DO164" s="729"/>
      <c r="DP164" s="181"/>
      <c r="DS164" s="163"/>
      <c r="DT164" s="763"/>
      <c r="DU164" s="12"/>
      <c r="DV164" s="12"/>
      <c r="DW164" s="12"/>
      <c r="DX164" s="768"/>
      <c r="DY164" s="763"/>
      <c r="DZ164" s="12"/>
      <c r="EA164" s="12"/>
      <c r="EB164" s="12"/>
      <c r="EC164" s="763"/>
      <c r="ED164" s="12"/>
      <c r="EE164" s="12"/>
      <c r="EF164" s="768"/>
      <c r="EG164" s="12"/>
      <c r="EH164" s="12"/>
      <c r="EI164" s="12"/>
      <c r="EJ164" s="12"/>
      <c r="EK164" s="768"/>
      <c r="EL164" s="162"/>
      <c r="EO164" s="163"/>
      <c r="EP164" s="162"/>
      <c r="ET164" s="163"/>
      <c r="EU164" s="162"/>
      <c r="EX164" s="163"/>
      <c r="EY164" s="162"/>
      <c r="FB164" s="163"/>
    </row>
    <row r="165" spans="1:158" ht="21" customHeight="1" thickBot="1" x14ac:dyDescent="0.25">
      <c r="A165" s="1188"/>
      <c r="B165" s="249" t="str">
        <f t="shared" si="8"/>
        <v>USB</v>
      </c>
      <c r="C165" s="249" t="s">
        <v>103</v>
      </c>
      <c r="D165" s="249"/>
      <c r="E165" s="1189"/>
      <c r="F165" s="249" t="s">
        <v>202</v>
      </c>
      <c r="G165" s="773">
        <v>3200</v>
      </c>
      <c r="H165" s="11">
        <f t="shared" si="6"/>
        <v>3200</v>
      </c>
      <c r="I165" s="774">
        <f t="shared" si="7"/>
        <v>0</v>
      </c>
      <c r="P165" s="14"/>
      <c r="T165" s="123"/>
      <c r="U165" s="61"/>
      <c r="V165" s="123"/>
      <c r="W165" s="123"/>
      <c r="X165" s="19"/>
      <c r="Y165" s="123"/>
      <c r="Z165" s="123"/>
      <c r="AA165" s="61"/>
      <c r="AB165" s="123"/>
      <c r="AC165" s="61"/>
      <c r="AD165" s="123"/>
      <c r="AE165" s="123"/>
      <c r="AF165" s="19"/>
      <c r="AG165" s="123"/>
      <c r="AH165" s="123"/>
      <c r="AI165" s="124"/>
      <c r="AJ165" s="124"/>
      <c r="AK165" s="70"/>
      <c r="AL165" s="124"/>
      <c r="AM165" s="123"/>
      <c r="AN165" s="123"/>
      <c r="AO165" s="19"/>
      <c r="AP165" s="123"/>
      <c r="AQ165" s="123"/>
      <c r="AR165" s="123"/>
      <c r="AS165" s="123"/>
      <c r="AT165" s="61"/>
      <c r="AU165" s="123"/>
      <c r="AV165" s="741"/>
      <c r="AW165" s="741"/>
      <c r="AX165" s="108"/>
      <c r="AY165" s="63"/>
      <c r="AZ165" s="125"/>
      <c r="BA165" s="125"/>
      <c r="BB165" s="64"/>
      <c r="BC165" s="63"/>
      <c r="BD165" s="73"/>
      <c r="BE165" s="74"/>
      <c r="BF165" s="75"/>
      <c r="BG165" s="73"/>
      <c r="BH165" s="74"/>
      <c r="BI165" s="74"/>
      <c r="BJ165" s="75"/>
      <c r="BK165" s="74"/>
      <c r="BL165" s="74"/>
      <c r="BM165" s="73"/>
      <c r="BN165" s="74"/>
      <c r="BO165" s="75"/>
      <c r="BP165" s="74"/>
      <c r="BQ165" s="74"/>
      <c r="BR165" s="63"/>
      <c r="BS165" s="108"/>
      <c r="BT165" s="67"/>
      <c r="BU165" s="108"/>
      <c r="BV165" s="108"/>
      <c r="BW165" s="743"/>
      <c r="BX165" s="61"/>
      <c r="BY165" s="108"/>
      <c r="BZ165" s="108"/>
      <c r="CA165" s="108"/>
      <c r="CB165" s="123"/>
      <c r="CC165" s="14"/>
      <c r="CE165" s="12"/>
      <c r="CF165" s="12"/>
      <c r="CG165" s="17"/>
      <c r="CH165" s="181"/>
      <c r="CI165" s="12"/>
      <c r="CJ165" s="181"/>
      <c r="CK165" s="729"/>
      <c r="CL165" s="752"/>
      <c r="CO165" s="18"/>
      <c r="CS165" s="18"/>
      <c r="CT165" s="342"/>
      <c r="CV165" s="181"/>
      <c r="CW165" s="181"/>
      <c r="CX165" s="18"/>
      <c r="CY165" s="247"/>
      <c r="DA165" s="181"/>
      <c r="DB165" s="729"/>
      <c r="DC165" s="17"/>
      <c r="DE165" s="12"/>
      <c r="DG165" s="162"/>
      <c r="DH165" s="181"/>
      <c r="DI165" s="181"/>
      <c r="DJ165" s="181"/>
      <c r="DK165" s="17"/>
      <c r="DO165" s="729"/>
      <c r="DP165" s="181"/>
      <c r="DS165" s="163"/>
      <c r="DT165" s="763"/>
      <c r="DU165" s="12"/>
      <c r="DV165" s="12"/>
      <c r="DW165" s="12"/>
      <c r="DX165" s="768"/>
      <c r="DY165" s="763"/>
      <c r="DZ165" s="12"/>
      <c r="EA165" s="12"/>
      <c r="EB165" s="12"/>
      <c r="EC165" s="763"/>
      <c r="ED165" s="12"/>
      <c r="EE165" s="12"/>
      <c r="EF165" s="768"/>
      <c r="EG165" s="12">
        <v>550</v>
      </c>
      <c r="EH165" s="12"/>
      <c r="EI165" s="12"/>
      <c r="EJ165" s="12">
        <v>1650</v>
      </c>
      <c r="EK165" s="768"/>
      <c r="EL165" s="162"/>
      <c r="EO165" s="163">
        <v>1000</v>
      </c>
      <c r="EP165" s="162"/>
      <c r="ET165" s="163"/>
      <c r="EU165" s="162"/>
      <c r="EX165" s="163"/>
      <c r="EY165" s="162"/>
      <c r="FB165" s="163"/>
    </row>
    <row r="166" spans="1:158" ht="21" customHeight="1" thickBot="1" x14ac:dyDescent="0.25">
      <c r="A166" s="1186" t="s">
        <v>225</v>
      </c>
      <c r="B166" s="249" t="s">
        <v>226</v>
      </c>
      <c r="C166" s="249" t="s">
        <v>144</v>
      </c>
      <c r="D166" s="249"/>
      <c r="E166" s="1187">
        <v>46296</v>
      </c>
      <c r="F166" s="249" t="s">
        <v>74</v>
      </c>
      <c r="G166" s="773">
        <v>4170</v>
      </c>
      <c r="H166" s="11">
        <f t="shared" si="6"/>
        <v>4170</v>
      </c>
      <c r="I166" s="774">
        <f t="shared" si="7"/>
        <v>0</v>
      </c>
      <c r="P166" s="14"/>
      <c r="T166" s="123"/>
      <c r="U166" s="61"/>
      <c r="V166" s="123"/>
      <c r="W166" s="123"/>
      <c r="X166" s="19"/>
      <c r="Y166" s="123"/>
      <c r="Z166" s="123"/>
      <c r="AA166" s="61"/>
      <c r="AB166" s="123"/>
      <c r="AC166" s="61"/>
      <c r="AD166" s="123"/>
      <c r="AE166" s="123"/>
      <c r="AF166" s="19"/>
      <c r="AG166" s="123"/>
      <c r="AH166" s="123"/>
      <c r="AI166" s="124"/>
      <c r="AJ166" s="124"/>
      <c r="AK166" s="70"/>
      <c r="AL166" s="124"/>
      <c r="AM166" s="123"/>
      <c r="AN166" s="123"/>
      <c r="AO166" s="19"/>
      <c r="AP166" s="123"/>
      <c r="AQ166" s="123"/>
      <c r="AR166" s="123"/>
      <c r="AS166" s="123"/>
      <c r="AT166" s="61"/>
      <c r="AU166" s="123"/>
      <c r="AV166" s="741"/>
      <c r="AW166" s="741"/>
      <c r="AX166" s="108"/>
      <c r="AY166" s="63"/>
      <c r="AZ166" s="125"/>
      <c r="BA166" s="125"/>
      <c r="BB166" s="64"/>
      <c r="BC166" s="63"/>
      <c r="BD166" s="73"/>
      <c r="BE166" s="74"/>
      <c r="BF166" s="75"/>
      <c r="BG166" s="73"/>
      <c r="BH166" s="74"/>
      <c r="BI166" s="74"/>
      <c r="BJ166" s="75"/>
      <c r="BK166" s="74"/>
      <c r="BL166" s="74"/>
      <c r="BM166" s="73"/>
      <c r="BN166" s="74"/>
      <c r="BO166" s="75"/>
      <c r="BP166" s="74"/>
      <c r="BQ166" s="74"/>
      <c r="BR166" s="63"/>
      <c r="BS166" s="108"/>
      <c r="BT166" s="67"/>
      <c r="BU166" s="108"/>
      <c r="BV166" s="108"/>
      <c r="BW166" s="743"/>
      <c r="BX166" s="61"/>
      <c r="BY166" s="108"/>
      <c r="BZ166" s="108"/>
      <c r="CA166" s="108"/>
      <c r="CB166" s="123"/>
      <c r="CC166" s="14"/>
      <c r="CE166" s="12"/>
      <c r="CF166" s="12"/>
      <c r="CG166" s="17"/>
      <c r="CH166" s="181"/>
      <c r="CI166" s="12"/>
      <c r="CJ166" s="181"/>
      <c r="CK166" s="729"/>
      <c r="CL166" s="752"/>
      <c r="CO166" s="18"/>
      <c r="CS166" s="18"/>
      <c r="CT166" s="342"/>
      <c r="CV166" s="181"/>
      <c r="CW166" s="181"/>
      <c r="CX166" s="18"/>
      <c r="CY166" s="247"/>
      <c r="DA166" s="181"/>
      <c r="DB166" s="729"/>
      <c r="DC166" s="17"/>
      <c r="DE166" s="12"/>
      <c r="DG166" s="162"/>
      <c r="DH166" s="181"/>
      <c r="DI166" s="181"/>
      <c r="DJ166" s="181"/>
      <c r="DK166" s="17"/>
      <c r="DO166" s="18"/>
      <c r="DS166" s="163"/>
      <c r="DT166" s="763"/>
      <c r="DU166" s="12"/>
      <c r="DV166" s="12"/>
      <c r="DW166" s="12"/>
      <c r="DX166" s="768"/>
      <c r="DY166" s="763"/>
      <c r="DZ166" s="12"/>
      <c r="EA166" s="12"/>
      <c r="EB166" s="12"/>
      <c r="EC166" s="763"/>
      <c r="ED166" s="12"/>
      <c r="EE166" s="12"/>
      <c r="EF166" s="768"/>
      <c r="EG166" s="12">
        <v>700</v>
      </c>
      <c r="EH166" s="12">
        <v>3470</v>
      </c>
      <c r="EI166" s="12"/>
      <c r="EJ166" s="12"/>
      <c r="EK166" s="768"/>
      <c r="EL166" s="162"/>
      <c r="EO166" s="163"/>
      <c r="EP166" s="162"/>
      <c r="ET166" s="163"/>
      <c r="EU166" s="162"/>
      <c r="EX166" s="163"/>
      <c r="EY166" s="162"/>
      <c r="FB166" s="163"/>
    </row>
    <row r="167" spans="1:158" ht="21" customHeight="1" thickBot="1" x14ac:dyDescent="0.25">
      <c r="A167" s="1186"/>
      <c r="B167" s="249" t="s">
        <v>227</v>
      </c>
      <c r="C167" s="249" t="s">
        <v>148</v>
      </c>
      <c r="D167" s="249"/>
      <c r="E167" s="1187"/>
      <c r="F167" s="249" t="s">
        <v>74</v>
      </c>
      <c r="G167" s="773">
        <v>1749</v>
      </c>
      <c r="H167" s="11">
        <f t="shared" si="6"/>
        <v>1749</v>
      </c>
      <c r="I167" s="774">
        <f t="shared" si="7"/>
        <v>0</v>
      </c>
      <c r="P167" s="14"/>
      <c r="T167" s="123"/>
      <c r="U167" s="61"/>
      <c r="V167" s="123"/>
      <c r="W167" s="123"/>
      <c r="X167" s="19"/>
      <c r="Y167" s="123"/>
      <c r="Z167" s="123"/>
      <c r="AA167" s="61"/>
      <c r="AB167" s="123"/>
      <c r="AC167" s="61"/>
      <c r="AD167" s="123"/>
      <c r="AE167" s="123"/>
      <c r="AF167" s="19"/>
      <c r="AG167" s="123"/>
      <c r="AH167" s="123"/>
      <c r="AI167" s="124"/>
      <c r="AJ167" s="124"/>
      <c r="AK167" s="70"/>
      <c r="AL167" s="124"/>
      <c r="AM167" s="123"/>
      <c r="AN167" s="123"/>
      <c r="AO167" s="19"/>
      <c r="AP167" s="123"/>
      <c r="AQ167" s="123"/>
      <c r="AR167" s="123"/>
      <c r="AS167" s="123"/>
      <c r="AT167" s="61"/>
      <c r="AU167" s="123"/>
      <c r="AV167" s="741"/>
      <c r="AW167" s="741"/>
      <c r="AX167" s="108"/>
      <c r="AY167" s="63"/>
      <c r="AZ167" s="125"/>
      <c r="BA167" s="125"/>
      <c r="BB167" s="64"/>
      <c r="BC167" s="63"/>
      <c r="BD167" s="73"/>
      <c r="BE167" s="74"/>
      <c r="BF167" s="75"/>
      <c r="BG167" s="73"/>
      <c r="BH167" s="74"/>
      <c r="BI167" s="74"/>
      <c r="BJ167" s="75"/>
      <c r="BK167" s="74"/>
      <c r="BL167" s="74"/>
      <c r="BM167" s="73"/>
      <c r="BN167" s="74"/>
      <c r="BO167" s="75"/>
      <c r="BP167" s="74"/>
      <c r="BQ167" s="74"/>
      <c r="BR167" s="63"/>
      <c r="BS167" s="108"/>
      <c r="BT167" s="67"/>
      <c r="BU167" s="108"/>
      <c r="BV167" s="108"/>
      <c r="BW167" s="743"/>
      <c r="BX167" s="61"/>
      <c r="BY167" s="108"/>
      <c r="BZ167" s="108"/>
      <c r="CA167" s="108"/>
      <c r="CB167" s="123"/>
      <c r="CC167" s="14"/>
      <c r="CE167" s="12"/>
      <c r="CF167" s="12"/>
      <c r="CG167" s="17"/>
      <c r="CH167" s="181"/>
      <c r="CI167" s="12"/>
      <c r="CJ167" s="181"/>
      <c r="CK167" s="729"/>
      <c r="CL167" s="752"/>
      <c r="CO167" s="18"/>
      <c r="CS167" s="18"/>
      <c r="CT167" s="342"/>
      <c r="CV167" s="181"/>
      <c r="CW167" s="181"/>
      <c r="CX167" s="18"/>
      <c r="CY167" s="247"/>
      <c r="DA167" s="181"/>
      <c r="DB167" s="729"/>
      <c r="DC167" s="17"/>
      <c r="DE167" s="12"/>
      <c r="DG167" s="162"/>
      <c r="DH167" s="181"/>
      <c r="DI167" s="181"/>
      <c r="DJ167" s="181"/>
      <c r="DK167" s="17"/>
      <c r="DO167" s="18"/>
      <c r="DS167" s="163"/>
      <c r="DT167" s="763"/>
      <c r="DU167" s="12"/>
      <c r="DV167" s="12"/>
      <c r="DW167" s="12"/>
      <c r="DX167" s="768"/>
      <c r="DY167" s="763"/>
      <c r="DZ167" s="12"/>
      <c r="EA167" s="12"/>
      <c r="EB167" s="12"/>
      <c r="EC167" s="763"/>
      <c r="ED167" s="12"/>
      <c r="EE167" s="12"/>
      <c r="EF167" s="768"/>
      <c r="EG167" s="12"/>
      <c r="EH167" s="12">
        <v>1000</v>
      </c>
      <c r="EI167" s="12">
        <v>749</v>
      </c>
      <c r="EJ167" s="12"/>
      <c r="EK167" s="768"/>
      <c r="EL167" s="162"/>
      <c r="EO167" s="163"/>
      <c r="EP167" s="162"/>
      <c r="ET167" s="163"/>
      <c r="EU167" s="162"/>
      <c r="EX167" s="163"/>
      <c r="EY167" s="162"/>
      <c r="FB167" s="163"/>
    </row>
    <row r="168" spans="1:158" ht="21" customHeight="1" thickBot="1" x14ac:dyDescent="0.25">
      <c r="A168" s="1186"/>
      <c r="B168" s="249" t="s">
        <v>228</v>
      </c>
      <c r="C168" s="249" t="s">
        <v>167</v>
      </c>
      <c r="D168" s="249"/>
      <c r="E168" s="1187"/>
      <c r="F168" s="249" t="s">
        <v>74</v>
      </c>
      <c r="G168" s="773">
        <v>900</v>
      </c>
      <c r="H168" s="11">
        <f t="shared" si="6"/>
        <v>900</v>
      </c>
      <c r="I168" s="774">
        <f t="shared" si="7"/>
        <v>0</v>
      </c>
      <c r="P168" s="14"/>
      <c r="T168" s="123"/>
      <c r="U168" s="61"/>
      <c r="V168" s="123"/>
      <c r="W168" s="123"/>
      <c r="X168" s="19"/>
      <c r="Y168" s="123"/>
      <c r="Z168" s="123"/>
      <c r="AA168" s="61"/>
      <c r="AB168" s="123"/>
      <c r="AC168" s="61"/>
      <c r="AD168" s="123"/>
      <c r="AE168" s="123"/>
      <c r="AF168" s="19"/>
      <c r="AG168" s="123"/>
      <c r="AH168" s="123"/>
      <c r="AI168" s="124"/>
      <c r="AJ168" s="124"/>
      <c r="AK168" s="70"/>
      <c r="AL168" s="124"/>
      <c r="AM168" s="123"/>
      <c r="AN168" s="123"/>
      <c r="AO168" s="19"/>
      <c r="AP168" s="123"/>
      <c r="AQ168" s="123"/>
      <c r="AR168" s="123"/>
      <c r="AS168" s="123"/>
      <c r="AT168" s="61"/>
      <c r="AU168" s="123"/>
      <c r="AV168" s="741"/>
      <c r="AW168" s="741"/>
      <c r="AX168" s="108"/>
      <c r="AY168" s="63"/>
      <c r="AZ168" s="125"/>
      <c r="BA168" s="125"/>
      <c r="BB168" s="64"/>
      <c r="BC168" s="63"/>
      <c r="BD168" s="73"/>
      <c r="BE168" s="74"/>
      <c r="BF168" s="75"/>
      <c r="BG168" s="73"/>
      <c r="BH168" s="74"/>
      <c r="BI168" s="74"/>
      <c r="BJ168" s="75"/>
      <c r="BK168" s="74"/>
      <c r="BL168" s="74"/>
      <c r="BM168" s="73"/>
      <c r="BN168" s="74"/>
      <c r="BO168" s="75"/>
      <c r="BP168" s="74"/>
      <c r="BQ168" s="74"/>
      <c r="BR168" s="63"/>
      <c r="BS168" s="108"/>
      <c r="BT168" s="67"/>
      <c r="BU168" s="108"/>
      <c r="BV168" s="108"/>
      <c r="BW168" s="743"/>
      <c r="BX168" s="61"/>
      <c r="BY168" s="108"/>
      <c r="BZ168" s="108"/>
      <c r="CA168" s="108"/>
      <c r="CB168" s="123"/>
      <c r="CC168" s="14"/>
      <c r="CE168" s="12"/>
      <c r="CF168" s="12"/>
      <c r="CG168" s="17"/>
      <c r="CH168" s="181"/>
      <c r="CI168" s="12"/>
      <c r="CJ168" s="181"/>
      <c r="CK168" s="729"/>
      <c r="CL168" s="752"/>
      <c r="CO168" s="18"/>
      <c r="CS168" s="18"/>
      <c r="CT168" s="342"/>
      <c r="CV168" s="181"/>
      <c r="CW168" s="181"/>
      <c r="CX168" s="18"/>
      <c r="CY168" s="247"/>
      <c r="DA168" s="181"/>
      <c r="DB168" s="729"/>
      <c r="DC168" s="17"/>
      <c r="DE168" s="12"/>
      <c r="DG168" s="162"/>
      <c r="DH168" s="181"/>
      <c r="DI168" s="181"/>
      <c r="DJ168" s="181"/>
      <c r="DK168" s="17"/>
      <c r="DO168" s="18"/>
      <c r="DS168" s="163"/>
      <c r="DT168" s="763"/>
      <c r="DU168" s="12"/>
      <c r="DV168" s="12"/>
      <c r="DW168" s="12"/>
      <c r="DX168" s="768"/>
      <c r="DY168" s="763"/>
      <c r="DZ168" s="12"/>
      <c r="EA168" s="12"/>
      <c r="EB168" s="12"/>
      <c r="EC168" s="763"/>
      <c r="ED168" s="12"/>
      <c r="EE168" s="12"/>
      <c r="EF168" s="768"/>
      <c r="EG168" s="12"/>
      <c r="EH168" s="12"/>
      <c r="EI168" s="12">
        <v>900</v>
      </c>
      <c r="EJ168" s="12"/>
      <c r="EK168" s="768"/>
      <c r="EL168" s="162"/>
      <c r="EO168" s="163"/>
      <c r="EP168" s="162"/>
      <c r="ET168" s="163"/>
      <c r="EU168" s="162"/>
      <c r="EX168" s="163"/>
      <c r="EY168" s="162"/>
      <c r="FB168" s="163"/>
    </row>
    <row r="169" spans="1:158" ht="21" customHeight="1" thickBot="1" x14ac:dyDescent="0.25">
      <c r="A169" s="1186"/>
      <c r="B169" s="249" t="s">
        <v>194</v>
      </c>
      <c r="C169" s="249" t="s">
        <v>169</v>
      </c>
      <c r="D169" s="249"/>
      <c r="E169" s="1187"/>
      <c r="F169" s="249" t="s">
        <v>74</v>
      </c>
      <c r="G169" s="773">
        <v>600</v>
      </c>
      <c r="H169" s="11">
        <f t="shared" si="6"/>
        <v>600</v>
      </c>
      <c r="I169" s="774">
        <f t="shared" si="7"/>
        <v>0</v>
      </c>
      <c r="P169" s="14"/>
      <c r="T169" s="123"/>
      <c r="U169" s="61"/>
      <c r="V169" s="123"/>
      <c r="W169" s="123"/>
      <c r="X169" s="19"/>
      <c r="Y169" s="123"/>
      <c r="Z169" s="123"/>
      <c r="AA169" s="61"/>
      <c r="AB169" s="123"/>
      <c r="AC169" s="61"/>
      <c r="AD169" s="123"/>
      <c r="AE169" s="123"/>
      <c r="AF169" s="19"/>
      <c r="AG169" s="123"/>
      <c r="AH169" s="123"/>
      <c r="AI169" s="124"/>
      <c r="AJ169" s="124"/>
      <c r="AK169" s="70"/>
      <c r="AL169" s="124"/>
      <c r="AM169" s="123"/>
      <c r="AN169" s="123"/>
      <c r="AO169" s="19"/>
      <c r="AP169" s="123"/>
      <c r="AQ169" s="123"/>
      <c r="AR169" s="123"/>
      <c r="AS169" s="123"/>
      <c r="AT169" s="61"/>
      <c r="AU169" s="123"/>
      <c r="AV169" s="741"/>
      <c r="AW169" s="741"/>
      <c r="AX169" s="108"/>
      <c r="AY169" s="63"/>
      <c r="AZ169" s="125"/>
      <c r="BA169" s="125"/>
      <c r="BB169" s="64"/>
      <c r="BC169" s="63"/>
      <c r="BD169" s="73"/>
      <c r="BE169" s="74"/>
      <c r="BF169" s="75"/>
      <c r="BG169" s="73"/>
      <c r="BH169" s="74"/>
      <c r="BI169" s="74"/>
      <c r="BJ169" s="75"/>
      <c r="BK169" s="74"/>
      <c r="BL169" s="74"/>
      <c r="BM169" s="73"/>
      <c r="BN169" s="74"/>
      <c r="BO169" s="75"/>
      <c r="BP169" s="74"/>
      <c r="BQ169" s="74"/>
      <c r="BR169" s="63"/>
      <c r="BS169" s="108"/>
      <c r="BT169" s="67"/>
      <c r="BU169" s="108"/>
      <c r="BV169" s="108"/>
      <c r="BW169" s="743"/>
      <c r="BX169" s="61"/>
      <c r="BY169" s="108"/>
      <c r="BZ169" s="108"/>
      <c r="CA169" s="108"/>
      <c r="CB169" s="123"/>
      <c r="CC169" s="14"/>
      <c r="CE169" s="12"/>
      <c r="CF169" s="12"/>
      <c r="CG169" s="17"/>
      <c r="CH169" s="181"/>
      <c r="CI169" s="12"/>
      <c r="CJ169" s="181"/>
      <c r="CK169" s="729"/>
      <c r="CL169" s="752"/>
      <c r="CO169" s="18"/>
      <c r="CS169" s="18"/>
      <c r="CT169" s="342"/>
      <c r="CV169" s="181"/>
      <c r="CW169" s="181"/>
      <c r="CX169" s="18"/>
      <c r="CY169" s="247"/>
      <c r="DA169" s="181"/>
      <c r="DB169" s="729"/>
      <c r="DC169" s="17"/>
      <c r="DE169" s="12"/>
      <c r="DG169" s="162"/>
      <c r="DH169" s="181"/>
      <c r="DI169" s="181"/>
      <c r="DJ169" s="181"/>
      <c r="DK169" s="17"/>
      <c r="DO169" s="18"/>
      <c r="DS169" s="163"/>
      <c r="DT169" s="763"/>
      <c r="DU169" s="12"/>
      <c r="DV169" s="12"/>
      <c r="DW169" s="12"/>
      <c r="DX169" s="768"/>
      <c r="DY169" s="763"/>
      <c r="DZ169" s="12"/>
      <c r="EA169" s="12"/>
      <c r="EB169" s="12"/>
      <c r="EC169" s="763"/>
      <c r="ED169" s="12"/>
      <c r="EE169" s="12"/>
      <c r="EF169" s="768"/>
      <c r="EG169" s="12"/>
      <c r="EH169" s="12"/>
      <c r="EI169" s="12">
        <v>600</v>
      </c>
      <c r="EJ169" s="12"/>
      <c r="EK169" s="768"/>
      <c r="EL169" s="162"/>
      <c r="EO169" s="163"/>
      <c r="EP169" s="162"/>
      <c r="ET169" s="163"/>
      <c r="EU169" s="162"/>
      <c r="EX169" s="163"/>
      <c r="EY169" s="162"/>
      <c r="FB169" s="163"/>
    </row>
    <row r="170" spans="1:158" ht="21" customHeight="1" thickBot="1" x14ac:dyDescent="0.25">
      <c r="A170" s="1186"/>
      <c r="B170" s="249" t="s">
        <v>229</v>
      </c>
      <c r="C170" s="249" t="s">
        <v>171</v>
      </c>
      <c r="D170" s="249"/>
      <c r="E170" s="1187"/>
      <c r="F170" s="249" t="s">
        <v>74</v>
      </c>
      <c r="G170" s="773">
        <v>1084</v>
      </c>
      <c r="H170" s="11">
        <f t="shared" si="6"/>
        <v>1084</v>
      </c>
      <c r="I170" s="774">
        <f t="shared" si="7"/>
        <v>0</v>
      </c>
      <c r="P170" s="14"/>
      <c r="T170" s="123"/>
      <c r="U170" s="61"/>
      <c r="V170" s="123"/>
      <c r="W170" s="123"/>
      <c r="X170" s="19"/>
      <c r="Y170" s="123"/>
      <c r="Z170" s="123"/>
      <c r="AA170" s="61"/>
      <c r="AB170" s="123"/>
      <c r="AC170" s="61"/>
      <c r="AD170" s="123"/>
      <c r="AE170" s="123"/>
      <c r="AF170" s="19"/>
      <c r="AG170" s="123"/>
      <c r="AH170" s="123"/>
      <c r="AI170" s="124"/>
      <c r="AJ170" s="124"/>
      <c r="AK170" s="70"/>
      <c r="AL170" s="124"/>
      <c r="AM170" s="123"/>
      <c r="AN170" s="123"/>
      <c r="AO170" s="19"/>
      <c r="AP170" s="123"/>
      <c r="AQ170" s="123"/>
      <c r="AR170" s="123"/>
      <c r="AS170" s="123"/>
      <c r="AT170" s="61"/>
      <c r="AU170" s="123"/>
      <c r="AV170" s="741"/>
      <c r="AW170" s="741"/>
      <c r="AX170" s="108"/>
      <c r="AY170" s="63"/>
      <c r="AZ170" s="125"/>
      <c r="BA170" s="125"/>
      <c r="BB170" s="64"/>
      <c r="BC170" s="63"/>
      <c r="BD170" s="73"/>
      <c r="BE170" s="74"/>
      <c r="BF170" s="75"/>
      <c r="BG170" s="73"/>
      <c r="BH170" s="74"/>
      <c r="BI170" s="74"/>
      <c r="BJ170" s="75"/>
      <c r="BK170" s="74"/>
      <c r="BL170" s="74"/>
      <c r="BM170" s="73"/>
      <c r="BN170" s="74"/>
      <c r="BO170" s="75"/>
      <c r="BP170" s="74"/>
      <c r="BQ170" s="74"/>
      <c r="BR170" s="63"/>
      <c r="BS170" s="108"/>
      <c r="BT170" s="67"/>
      <c r="BU170" s="108"/>
      <c r="BV170" s="108"/>
      <c r="BW170" s="743"/>
      <c r="BX170" s="61"/>
      <c r="BY170" s="108"/>
      <c r="BZ170" s="108"/>
      <c r="CA170" s="108"/>
      <c r="CB170" s="123"/>
      <c r="CC170" s="14"/>
      <c r="CE170" s="12"/>
      <c r="CF170" s="12"/>
      <c r="CG170" s="17"/>
      <c r="CH170" s="181"/>
      <c r="CI170" s="12"/>
      <c r="CJ170" s="181"/>
      <c r="CK170" s="729"/>
      <c r="CL170" s="752"/>
      <c r="CO170" s="18"/>
      <c r="CS170" s="18"/>
      <c r="CT170" s="342"/>
      <c r="CV170" s="181"/>
      <c r="CW170" s="181"/>
      <c r="CX170" s="18"/>
      <c r="CY170" s="247"/>
      <c r="DA170" s="181"/>
      <c r="DB170" s="729"/>
      <c r="DC170" s="17"/>
      <c r="DE170" s="12"/>
      <c r="DG170" s="162"/>
      <c r="DH170" s="181"/>
      <c r="DI170" s="181"/>
      <c r="DJ170" s="181"/>
      <c r="DK170" s="17"/>
      <c r="DO170" s="18"/>
      <c r="DS170" s="163"/>
      <c r="DT170" s="763"/>
      <c r="DU170" s="12"/>
      <c r="DV170" s="12"/>
      <c r="DW170" s="12"/>
      <c r="DX170" s="768"/>
      <c r="DY170" s="763"/>
      <c r="DZ170" s="12"/>
      <c r="EA170" s="12"/>
      <c r="EB170" s="12"/>
      <c r="EC170" s="763"/>
      <c r="ED170" s="12"/>
      <c r="EE170" s="12"/>
      <c r="EF170" s="768"/>
      <c r="EG170" s="12"/>
      <c r="EH170" s="12"/>
      <c r="EI170" s="12">
        <v>1084</v>
      </c>
      <c r="EJ170" s="12"/>
      <c r="EK170" s="768"/>
      <c r="EL170" s="162"/>
      <c r="EO170" s="163"/>
      <c r="EP170" s="162"/>
      <c r="ET170" s="163"/>
      <c r="EU170" s="162"/>
      <c r="EX170" s="163"/>
      <c r="EY170" s="162"/>
      <c r="FB170" s="163"/>
    </row>
    <row r="171" spans="1:158" ht="21" customHeight="1" thickBot="1" x14ac:dyDescent="0.25">
      <c r="A171" s="1186"/>
      <c r="B171" s="249" t="s">
        <v>230</v>
      </c>
      <c r="C171" s="249" t="s">
        <v>95</v>
      </c>
      <c r="D171" s="249"/>
      <c r="E171" s="1187"/>
      <c r="F171" s="249" t="s">
        <v>74</v>
      </c>
      <c r="G171" s="773">
        <v>600</v>
      </c>
      <c r="H171" s="11">
        <f t="shared" si="6"/>
        <v>600</v>
      </c>
      <c r="I171" s="774">
        <f t="shared" si="7"/>
        <v>0</v>
      </c>
      <c r="P171" s="14"/>
      <c r="T171" s="123"/>
      <c r="U171" s="61"/>
      <c r="V171" s="123"/>
      <c r="W171" s="123"/>
      <c r="X171" s="19"/>
      <c r="Y171" s="123"/>
      <c r="Z171" s="123"/>
      <c r="AA171" s="61"/>
      <c r="AB171" s="123"/>
      <c r="AC171" s="61"/>
      <c r="AD171" s="123"/>
      <c r="AE171" s="123"/>
      <c r="AF171" s="19"/>
      <c r="AG171" s="123"/>
      <c r="AH171" s="123"/>
      <c r="AI171" s="124"/>
      <c r="AJ171" s="124"/>
      <c r="AK171" s="70"/>
      <c r="AL171" s="124"/>
      <c r="AM171" s="123"/>
      <c r="AN171" s="123"/>
      <c r="AO171" s="19"/>
      <c r="AP171" s="123"/>
      <c r="AQ171" s="123"/>
      <c r="AR171" s="123"/>
      <c r="AS171" s="123"/>
      <c r="AT171" s="61"/>
      <c r="AU171" s="123"/>
      <c r="AV171" s="741"/>
      <c r="AW171" s="741"/>
      <c r="AX171" s="108"/>
      <c r="AY171" s="63"/>
      <c r="AZ171" s="125"/>
      <c r="BA171" s="125"/>
      <c r="BB171" s="64"/>
      <c r="BC171" s="63"/>
      <c r="BD171" s="73"/>
      <c r="BE171" s="74"/>
      <c r="BF171" s="75"/>
      <c r="BG171" s="73"/>
      <c r="BH171" s="74"/>
      <c r="BI171" s="74"/>
      <c r="BJ171" s="75"/>
      <c r="BK171" s="74"/>
      <c r="BL171" s="74"/>
      <c r="BM171" s="73"/>
      <c r="BN171" s="74"/>
      <c r="BO171" s="75"/>
      <c r="BP171" s="74"/>
      <c r="BQ171" s="74"/>
      <c r="BR171" s="63"/>
      <c r="BS171" s="108"/>
      <c r="BT171" s="67"/>
      <c r="BU171" s="108"/>
      <c r="BV171" s="108"/>
      <c r="BW171" s="743"/>
      <c r="BX171" s="61"/>
      <c r="BY171" s="108"/>
      <c r="BZ171" s="108"/>
      <c r="CA171" s="108"/>
      <c r="CB171" s="123"/>
      <c r="CC171" s="14"/>
      <c r="CE171" s="12"/>
      <c r="CF171" s="12"/>
      <c r="CG171" s="17"/>
      <c r="CH171" s="181"/>
      <c r="CI171" s="12"/>
      <c r="CJ171" s="181"/>
      <c r="CK171" s="729"/>
      <c r="CL171" s="752"/>
      <c r="CO171" s="18"/>
      <c r="CS171" s="18"/>
      <c r="CT171" s="342"/>
      <c r="CV171" s="181"/>
      <c r="CW171" s="181"/>
      <c r="CX171" s="18"/>
      <c r="CY171" s="247"/>
      <c r="DA171" s="181"/>
      <c r="DB171" s="729"/>
      <c r="DC171" s="17"/>
      <c r="DE171" s="12"/>
      <c r="DG171" s="162"/>
      <c r="DH171" s="181"/>
      <c r="DI171" s="181"/>
      <c r="DJ171" s="181"/>
      <c r="DK171" s="17"/>
      <c r="DO171" s="18"/>
      <c r="DS171" s="163"/>
      <c r="DT171" s="763"/>
      <c r="DU171" s="12"/>
      <c r="DV171" s="12"/>
      <c r="DW171" s="12"/>
      <c r="DX171" s="768"/>
      <c r="DY171" s="763"/>
      <c r="DZ171" s="12"/>
      <c r="EA171" s="12"/>
      <c r="EB171" s="12"/>
      <c r="EC171" s="763"/>
      <c r="ED171" s="12"/>
      <c r="EE171" s="12"/>
      <c r="EF171" s="768"/>
      <c r="EG171" s="12"/>
      <c r="EH171" s="12"/>
      <c r="EI171" s="12">
        <v>600</v>
      </c>
      <c r="EJ171" s="12"/>
      <c r="EK171" s="768"/>
      <c r="EL171" s="162"/>
      <c r="EO171" s="163"/>
      <c r="EP171" s="162"/>
      <c r="ET171" s="163"/>
      <c r="EU171" s="162"/>
      <c r="EX171" s="163"/>
      <c r="EY171" s="162"/>
      <c r="FB171" s="163"/>
    </row>
    <row r="172" spans="1:158" ht="21" customHeight="1" thickBot="1" x14ac:dyDescent="0.25">
      <c r="A172" s="1186"/>
      <c r="B172" s="249" t="s">
        <v>231</v>
      </c>
      <c r="C172" s="249" t="s">
        <v>213</v>
      </c>
      <c r="D172" s="249"/>
      <c r="E172" s="1187"/>
      <c r="F172" s="249" t="s">
        <v>74</v>
      </c>
      <c r="G172" s="773">
        <v>1026</v>
      </c>
      <c r="H172" s="11">
        <f t="shared" si="6"/>
        <v>1026</v>
      </c>
      <c r="I172" s="774">
        <f t="shared" si="7"/>
        <v>0</v>
      </c>
      <c r="P172" s="14"/>
      <c r="T172" s="123"/>
      <c r="U172" s="61"/>
      <c r="V172" s="123"/>
      <c r="W172" s="123"/>
      <c r="X172" s="19"/>
      <c r="Y172" s="123"/>
      <c r="Z172" s="123"/>
      <c r="AA172" s="61"/>
      <c r="AB172" s="123"/>
      <c r="AC172" s="61"/>
      <c r="AD172" s="123"/>
      <c r="AE172" s="123"/>
      <c r="AF172" s="19"/>
      <c r="AG172" s="123"/>
      <c r="AH172" s="123"/>
      <c r="AI172" s="124"/>
      <c r="AJ172" s="124"/>
      <c r="AK172" s="70"/>
      <c r="AL172" s="124"/>
      <c r="AM172" s="123"/>
      <c r="AN172" s="123"/>
      <c r="AO172" s="19"/>
      <c r="AP172" s="123"/>
      <c r="AQ172" s="123"/>
      <c r="AR172" s="123"/>
      <c r="AS172" s="123"/>
      <c r="AT172" s="61"/>
      <c r="AU172" s="123"/>
      <c r="AV172" s="741"/>
      <c r="AW172" s="741"/>
      <c r="AX172" s="108"/>
      <c r="AY172" s="63"/>
      <c r="AZ172" s="125"/>
      <c r="BA172" s="125"/>
      <c r="BB172" s="64"/>
      <c r="BC172" s="63"/>
      <c r="BD172" s="73"/>
      <c r="BE172" s="74"/>
      <c r="BF172" s="75"/>
      <c r="BG172" s="73"/>
      <c r="BH172" s="74"/>
      <c r="BI172" s="74"/>
      <c r="BJ172" s="75"/>
      <c r="BK172" s="74"/>
      <c r="BL172" s="74"/>
      <c r="BM172" s="73"/>
      <c r="BN172" s="74"/>
      <c r="BO172" s="75"/>
      <c r="BP172" s="74"/>
      <c r="BQ172" s="74"/>
      <c r="BR172" s="63"/>
      <c r="BS172" s="108"/>
      <c r="BT172" s="67"/>
      <c r="BU172" s="108"/>
      <c r="BV172" s="108"/>
      <c r="BW172" s="743"/>
      <c r="BX172" s="61"/>
      <c r="BY172" s="108"/>
      <c r="BZ172" s="108"/>
      <c r="CA172" s="108"/>
      <c r="CB172" s="123"/>
      <c r="CC172" s="14"/>
      <c r="CE172" s="12"/>
      <c r="CF172" s="12"/>
      <c r="CG172" s="17"/>
      <c r="CH172" s="181"/>
      <c r="CI172" s="12"/>
      <c r="CJ172" s="181"/>
      <c r="CK172" s="729"/>
      <c r="CL172" s="752"/>
      <c r="CO172" s="18"/>
      <c r="CS172" s="18"/>
      <c r="CT172" s="342"/>
      <c r="CV172" s="181"/>
      <c r="CW172" s="181"/>
      <c r="CX172" s="18"/>
      <c r="CY172" s="247"/>
      <c r="DA172" s="181"/>
      <c r="DB172" s="729"/>
      <c r="DC172" s="17"/>
      <c r="DE172" s="12"/>
      <c r="DG172" s="162"/>
      <c r="DH172" s="181"/>
      <c r="DI172" s="181"/>
      <c r="DJ172" s="181"/>
      <c r="DK172" s="17"/>
      <c r="DO172" s="18"/>
      <c r="DS172" s="163"/>
      <c r="DT172" s="763"/>
      <c r="DU172" s="12"/>
      <c r="DV172" s="12"/>
      <c r="DW172" s="12"/>
      <c r="DX172" s="768"/>
      <c r="DY172" s="763"/>
      <c r="DZ172" s="12"/>
      <c r="EA172" s="12"/>
      <c r="EB172" s="12"/>
      <c r="EC172" s="763"/>
      <c r="ED172" s="12"/>
      <c r="EE172" s="12"/>
      <c r="EF172" s="768"/>
      <c r="EG172" s="12"/>
      <c r="EH172" s="12"/>
      <c r="EI172" s="12">
        <v>350</v>
      </c>
      <c r="EJ172" s="12">
        <v>676</v>
      </c>
      <c r="EK172" s="768"/>
      <c r="EL172" s="162"/>
      <c r="EO172" s="163"/>
      <c r="EP172" s="162"/>
      <c r="ET172" s="163"/>
      <c r="EU172" s="162"/>
      <c r="EX172" s="163"/>
      <c r="EY172" s="162"/>
      <c r="FB172" s="163"/>
    </row>
    <row r="173" spans="1:158" ht="21" customHeight="1" thickBot="1" x14ac:dyDescent="0.25">
      <c r="A173" s="1186"/>
      <c r="B173" s="249" t="s">
        <v>232</v>
      </c>
      <c r="C173" s="249" t="s">
        <v>215</v>
      </c>
      <c r="D173" s="249"/>
      <c r="E173" s="1187"/>
      <c r="F173" s="249" t="s">
        <v>74</v>
      </c>
      <c r="G173" s="773">
        <v>1433</v>
      </c>
      <c r="H173" s="11">
        <f t="shared" si="6"/>
        <v>1433</v>
      </c>
      <c r="I173" s="774">
        <f t="shared" si="7"/>
        <v>0</v>
      </c>
      <c r="P173" s="14"/>
      <c r="T173" s="123"/>
      <c r="U173" s="61"/>
      <c r="V173" s="123"/>
      <c r="W173" s="123"/>
      <c r="X173" s="19"/>
      <c r="Y173" s="123"/>
      <c r="Z173" s="123"/>
      <c r="AA173" s="61"/>
      <c r="AB173" s="123"/>
      <c r="AC173" s="61"/>
      <c r="AD173" s="123"/>
      <c r="AE173" s="123"/>
      <c r="AF173" s="19"/>
      <c r="AG173" s="123"/>
      <c r="AH173" s="123"/>
      <c r="AI173" s="124"/>
      <c r="AJ173" s="124"/>
      <c r="AK173" s="70"/>
      <c r="AL173" s="124"/>
      <c r="AM173" s="123"/>
      <c r="AN173" s="123"/>
      <c r="AO173" s="19"/>
      <c r="AP173" s="123"/>
      <c r="AQ173" s="123"/>
      <c r="AR173" s="123"/>
      <c r="AS173" s="123"/>
      <c r="AT173" s="61"/>
      <c r="AU173" s="123"/>
      <c r="AV173" s="741"/>
      <c r="AW173" s="741"/>
      <c r="AX173" s="108"/>
      <c r="AY173" s="63"/>
      <c r="AZ173" s="125"/>
      <c r="BA173" s="125"/>
      <c r="BB173" s="64"/>
      <c r="BC173" s="63"/>
      <c r="BD173" s="73"/>
      <c r="BE173" s="74"/>
      <c r="BF173" s="75"/>
      <c r="BG173" s="73"/>
      <c r="BH173" s="74"/>
      <c r="BI173" s="74"/>
      <c r="BJ173" s="75"/>
      <c r="BK173" s="74"/>
      <c r="BL173" s="74"/>
      <c r="BM173" s="73"/>
      <c r="BN173" s="74"/>
      <c r="BO173" s="75"/>
      <c r="BP173" s="74"/>
      <c r="BQ173" s="74"/>
      <c r="BR173" s="63"/>
      <c r="BS173" s="108"/>
      <c r="BT173" s="67"/>
      <c r="BU173" s="108"/>
      <c r="BV173" s="108"/>
      <c r="BW173" s="743"/>
      <c r="BX173" s="61"/>
      <c r="BY173" s="108"/>
      <c r="BZ173" s="108"/>
      <c r="CA173" s="108"/>
      <c r="CB173" s="123"/>
      <c r="CC173" s="14"/>
      <c r="CE173" s="12"/>
      <c r="CF173" s="12"/>
      <c r="CG173" s="17"/>
      <c r="CH173" s="181"/>
      <c r="CI173" s="12"/>
      <c r="CJ173" s="181"/>
      <c r="CK173" s="729"/>
      <c r="CL173" s="752"/>
      <c r="CO173" s="18"/>
      <c r="CS173" s="18"/>
      <c r="CT173" s="342"/>
      <c r="CV173" s="181"/>
      <c r="CW173" s="181"/>
      <c r="CX173" s="18"/>
      <c r="CY173" s="247"/>
      <c r="DA173" s="181"/>
      <c r="DB173" s="729"/>
      <c r="DC173" s="17"/>
      <c r="DE173" s="12"/>
      <c r="DG173" s="162"/>
      <c r="DH173" s="181"/>
      <c r="DI173" s="181"/>
      <c r="DJ173" s="181"/>
      <c r="DK173" s="17"/>
      <c r="DO173" s="18"/>
      <c r="DS173" s="163"/>
      <c r="DT173" s="763"/>
      <c r="DU173" s="12"/>
      <c r="DV173" s="12"/>
      <c r="DW173" s="12"/>
      <c r="DX173" s="768"/>
      <c r="DY173" s="763"/>
      <c r="DZ173" s="12"/>
      <c r="EA173" s="12"/>
      <c r="EB173" s="12"/>
      <c r="EC173" s="763"/>
      <c r="ED173" s="12"/>
      <c r="EE173" s="12"/>
      <c r="EF173" s="768"/>
      <c r="EG173" s="12"/>
      <c r="EH173" s="12"/>
      <c r="EI173" s="12"/>
      <c r="EJ173" s="12">
        <v>1433</v>
      </c>
      <c r="EK173" s="768"/>
      <c r="EL173" s="162"/>
      <c r="EO173" s="163"/>
      <c r="EP173" s="162"/>
      <c r="ET173" s="163"/>
      <c r="EU173" s="162"/>
      <c r="EX173" s="163"/>
      <c r="EY173" s="162"/>
      <c r="FB173" s="163"/>
    </row>
    <row r="174" spans="1:158" ht="21" customHeight="1" thickBot="1" x14ac:dyDescent="0.25">
      <c r="A174" s="1186" t="s">
        <v>207</v>
      </c>
      <c r="B174" s="249">
        <f t="shared" ref="B174:B179" si="9">+B160</f>
        <v>0</v>
      </c>
      <c r="C174" s="249" t="s">
        <v>223</v>
      </c>
      <c r="D174" s="249"/>
      <c r="E174" s="1187">
        <f>+E166</f>
        <v>46296</v>
      </c>
      <c r="F174" s="249" t="s">
        <v>224</v>
      </c>
      <c r="G174" s="773"/>
      <c r="H174" s="11"/>
      <c r="I174" s="774">
        <f t="shared" si="7"/>
        <v>0</v>
      </c>
      <c r="P174" s="14"/>
      <c r="T174" s="123"/>
      <c r="U174" s="61"/>
      <c r="V174" s="123"/>
      <c r="W174" s="123"/>
      <c r="X174" s="19"/>
      <c r="Y174" s="123"/>
      <c r="Z174" s="123"/>
      <c r="AA174" s="61"/>
      <c r="AB174" s="123"/>
      <c r="AC174" s="61"/>
      <c r="AD174" s="123"/>
      <c r="AE174" s="123"/>
      <c r="AF174" s="19"/>
      <c r="AG174" s="123"/>
      <c r="AH174" s="123"/>
      <c r="AI174" s="124"/>
      <c r="AJ174" s="124"/>
      <c r="AK174" s="70"/>
      <c r="AL174" s="124"/>
      <c r="AM174" s="123"/>
      <c r="AN174" s="123"/>
      <c r="AO174" s="19"/>
      <c r="AP174" s="123"/>
      <c r="AQ174" s="123"/>
      <c r="AR174" s="123"/>
      <c r="AS174" s="123"/>
      <c r="AT174" s="61"/>
      <c r="AU174" s="123"/>
      <c r="AV174" s="741"/>
      <c r="AW174" s="741"/>
      <c r="AX174" s="108"/>
      <c r="AY174" s="63"/>
      <c r="AZ174" s="125"/>
      <c r="BA174" s="125"/>
      <c r="BB174" s="64"/>
      <c r="BC174" s="63"/>
      <c r="BD174" s="73"/>
      <c r="BE174" s="74"/>
      <c r="BF174" s="75"/>
      <c r="BG174" s="73"/>
      <c r="BH174" s="74"/>
      <c r="BI174" s="74"/>
      <c r="BJ174" s="75"/>
      <c r="BK174" s="74"/>
      <c r="BL174" s="74"/>
      <c r="BM174" s="73"/>
      <c r="BN174" s="74"/>
      <c r="BO174" s="75"/>
      <c r="BP174" s="74"/>
      <c r="BQ174" s="74"/>
      <c r="BR174" s="63"/>
      <c r="BS174" s="108"/>
      <c r="BT174" s="67"/>
      <c r="BU174" s="108"/>
      <c r="BV174" s="108"/>
      <c r="BW174" s="743"/>
      <c r="BX174" s="61"/>
      <c r="BY174" s="108"/>
      <c r="BZ174" s="108"/>
      <c r="CA174" s="108"/>
      <c r="CB174" s="123"/>
      <c r="CC174" s="14"/>
      <c r="CE174" s="12"/>
      <c r="CF174" s="12"/>
      <c r="CG174" s="17"/>
      <c r="CH174" s="181"/>
      <c r="CI174" s="12"/>
      <c r="CJ174" s="181"/>
      <c r="CK174" s="729"/>
      <c r="CL174" s="752"/>
      <c r="CO174" s="18"/>
      <c r="CS174" s="18"/>
      <c r="CT174" s="342"/>
      <c r="CV174" s="181"/>
      <c r="CW174" s="181"/>
      <c r="CX174" s="18"/>
      <c r="CY174" s="247"/>
      <c r="DA174" s="181"/>
      <c r="DB174" s="729"/>
      <c r="DC174" s="17"/>
      <c r="DE174" s="12"/>
      <c r="DG174" s="162"/>
      <c r="DH174" s="181"/>
      <c r="DI174" s="181"/>
      <c r="DJ174" s="181"/>
      <c r="DK174" s="17"/>
      <c r="DO174" s="18"/>
      <c r="DS174" s="163"/>
      <c r="DT174" s="763"/>
      <c r="DU174" s="12"/>
      <c r="DV174" s="12"/>
      <c r="DW174" s="12"/>
      <c r="DX174" s="768"/>
      <c r="DY174" s="763"/>
      <c r="DZ174" s="12"/>
      <c r="EA174" s="12"/>
      <c r="EB174" s="12"/>
      <c r="EC174" s="763"/>
      <c r="ED174" s="12"/>
      <c r="EE174" s="12"/>
      <c r="EF174" s="768"/>
      <c r="EG174" s="12"/>
      <c r="EH174" s="12"/>
      <c r="EI174" s="12"/>
      <c r="EJ174" s="12"/>
      <c r="EK174" s="768"/>
      <c r="EL174" s="162"/>
      <c r="EO174" s="163"/>
      <c r="EP174" s="162"/>
      <c r="ET174" s="163"/>
      <c r="EU174" s="162"/>
      <c r="EX174" s="163"/>
      <c r="EY174" s="162"/>
      <c r="FB174" s="163"/>
    </row>
    <row r="175" spans="1:158" ht="21" customHeight="1" thickBot="1" x14ac:dyDescent="0.25">
      <c r="A175" s="1188"/>
      <c r="B175" s="249" t="str">
        <f t="shared" si="9"/>
        <v>Firedex</v>
      </c>
      <c r="C175" s="249" t="s">
        <v>197</v>
      </c>
      <c r="D175" s="249"/>
      <c r="E175" s="1189"/>
      <c r="F175" s="249" t="s">
        <v>15</v>
      </c>
      <c r="G175" s="773">
        <v>1500</v>
      </c>
      <c r="H175" s="11">
        <f t="shared" si="6"/>
        <v>1500</v>
      </c>
      <c r="I175" s="774">
        <f t="shared" si="7"/>
        <v>0</v>
      </c>
      <c r="P175" s="14"/>
      <c r="T175" s="123"/>
      <c r="U175" s="61"/>
      <c r="V175" s="123"/>
      <c r="W175" s="123"/>
      <c r="X175" s="19"/>
      <c r="Y175" s="123"/>
      <c r="Z175" s="123"/>
      <c r="AA175" s="61"/>
      <c r="AB175" s="123"/>
      <c r="AC175" s="61"/>
      <c r="AD175" s="123"/>
      <c r="AE175" s="123"/>
      <c r="AF175" s="19"/>
      <c r="AG175" s="123"/>
      <c r="AH175" s="123"/>
      <c r="AI175" s="124"/>
      <c r="AJ175" s="124"/>
      <c r="AK175" s="70"/>
      <c r="AL175" s="124"/>
      <c r="AM175" s="123"/>
      <c r="AN175" s="123"/>
      <c r="AO175" s="19"/>
      <c r="AP175" s="123"/>
      <c r="AQ175" s="123"/>
      <c r="AR175" s="123"/>
      <c r="AS175" s="123"/>
      <c r="AT175" s="61"/>
      <c r="AU175" s="123"/>
      <c r="AV175" s="741"/>
      <c r="AW175" s="741"/>
      <c r="AX175" s="108"/>
      <c r="AY175" s="63"/>
      <c r="AZ175" s="125"/>
      <c r="BA175" s="125"/>
      <c r="BB175" s="64"/>
      <c r="BC175" s="63"/>
      <c r="BD175" s="73"/>
      <c r="BE175" s="74"/>
      <c r="BF175" s="75"/>
      <c r="BG175" s="73"/>
      <c r="BH175" s="74"/>
      <c r="BI175" s="74"/>
      <c r="BJ175" s="75"/>
      <c r="BK175" s="74"/>
      <c r="BL175" s="74"/>
      <c r="BM175" s="73"/>
      <c r="BN175" s="74"/>
      <c r="BO175" s="75"/>
      <c r="BP175" s="74"/>
      <c r="BQ175" s="74"/>
      <c r="BR175" s="63"/>
      <c r="BS175" s="108"/>
      <c r="BT175" s="67"/>
      <c r="BU175" s="108"/>
      <c r="BV175" s="108"/>
      <c r="BW175" s="743"/>
      <c r="BX175" s="61"/>
      <c r="BY175" s="108"/>
      <c r="BZ175" s="108"/>
      <c r="CA175" s="108"/>
      <c r="CB175" s="123"/>
      <c r="CC175" s="14"/>
      <c r="CE175" s="12"/>
      <c r="CF175" s="12"/>
      <c r="CG175" s="17"/>
      <c r="CH175" s="181"/>
      <c r="CI175" s="12"/>
      <c r="CJ175" s="181"/>
      <c r="CK175" s="729"/>
      <c r="CL175" s="752"/>
      <c r="CO175" s="18"/>
      <c r="CS175" s="18"/>
      <c r="CT175" s="342"/>
      <c r="CV175" s="181"/>
      <c r="CW175" s="181"/>
      <c r="CX175" s="18"/>
      <c r="CY175" s="247"/>
      <c r="DA175" s="181"/>
      <c r="DB175" s="729"/>
      <c r="DC175" s="17"/>
      <c r="DE175" s="12"/>
      <c r="DG175" s="162"/>
      <c r="DH175" s="181"/>
      <c r="DI175" s="181"/>
      <c r="DJ175" s="181"/>
      <c r="DK175" s="17"/>
      <c r="DO175" s="18"/>
      <c r="DS175" s="163"/>
      <c r="DT175" s="763"/>
      <c r="DU175" s="12"/>
      <c r="DV175" s="12"/>
      <c r="DW175" s="12"/>
      <c r="DX175" s="768"/>
      <c r="DY175" s="763"/>
      <c r="DZ175" s="12"/>
      <c r="EA175" s="12"/>
      <c r="EB175" s="12"/>
      <c r="EC175" s="763"/>
      <c r="ED175" s="12"/>
      <c r="EE175" s="12"/>
      <c r="EF175" s="768"/>
      <c r="EG175" s="12"/>
      <c r="EH175" s="12"/>
      <c r="EI175" s="12"/>
      <c r="EJ175" s="12"/>
      <c r="EK175" s="768">
        <v>1500</v>
      </c>
      <c r="EL175" s="162"/>
      <c r="EO175" s="163"/>
      <c r="EP175" s="162"/>
      <c r="ET175" s="163"/>
      <c r="EU175" s="162"/>
      <c r="EX175" s="163"/>
      <c r="EY175" s="162"/>
      <c r="FB175" s="163"/>
    </row>
    <row r="176" spans="1:158" ht="21" customHeight="1" thickBot="1" x14ac:dyDescent="0.25">
      <c r="A176" s="1188"/>
      <c r="B176" s="249" t="str">
        <f t="shared" si="9"/>
        <v>Weinbrenner</v>
      </c>
      <c r="C176" s="249" t="s">
        <v>29</v>
      </c>
      <c r="D176" s="249"/>
      <c r="E176" s="1189"/>
      <c r="F176" s="249" t="s">
        <v>29</v>
      </c>
      <c r="G176" s="773">
        <v>750</v>
      </c>
      <c r="H176" s="11">
        <f t="shared" si="6"/>
        <v>750</v>
      </c>
      <c r="I176" s="774">
        <f t="shared" si="7"/>
        <v>0</v>
      </c>
      <c r="P176" s="14"/>
      <c r="T176" s="123"/>
      <c r="U176" s="61"/>
      <c r="V176" s="123"/>
      <c r="W176" s="123"/>
      <c r="X176" s="19"/>
      <c r="Y176" s="123"/>
      <c r="Z176" s="123"/>
      <c r="AA176" s="61"/>
      <c r="AB176" s="123"/>
      <c r="AC176" s="61"/>
      <c r="AD176" s="123"/>
      <c r="AE176" s="123"/>
      <c r="AF176" s="19"/>
      <c r="AG176" s="123"/>
      <c r="AH176" s="123"/>
      <c r="AI176" s="124"/>
      <c r="AJ176" s="124"/>
      <c r="AK176" s="70"/>
      <c r="AL176" s="124"/>
      <c r="AM176" s="123"/>
      <c r="AN176" s="123"/>
      <c r="AO176" s="19"/>
      <c r="AP176" s="123"/>
      <c r="AQ176" s="123"/>
      <c r="AR176" s="123"/>
      <c r="AS176" s="123"/>
      <c r="AT176" s="61"/>
      <c r="AU176" s="123"/>
      <c r="AV176" s="741"/>
      <c r="AW176" s="741"/>
      <c r="AX176" s="108"/>
      <c r="AY176" s="63"/>
      <c r="AZ176" s="125"/>
      <c r="BA176" s="125"/>
      <c r="BB176" s="64"/>
      <c r="BC176" s="63"/>
      <c r="BD176" s="73"/>
      <c r="BE176" s="74"/>
      <c r="BF176" s="75"/>
      <c r="BG176" s="73"/>
      <c r="BH176" s="74"/>
      <c r="BI176" s="74"/>
      <c r="BJ176" s="75"/>
      <c r="BK176" s="74"/>
      <c r="BL176" s="74"/>
      <c r="BM176" s="73"/>
      <c r="BN176" s="74"/>
      <c r="BO176" s="75"/>
      <c r="BP176" s="74"/>
      <c r="BQ176" s="74"/>
      <c r="BR176" s="63"/>
      <c r="BS176" s="108"/>
      <c r="BT176" s="67"/>
      <c r="BU176" s="108"/>
      <c r="BV176" s="108"/>
      <c r="BW176" s="743"/>
      <c r="BX176" s="61"/>
      <c r="BY176" s="108"/>
      <c r="BZ176" s="108"/>
      <c r="CA176" s="108"/>
      <c r="CB176" s="123"/>
      <c r="CC176" s="14"/>
      <c r="CE176" s="12"/>
      <c r="CF176" s="12"/>
      <c r="CG176" s="17"/>
      <c r="CH176" s="181"/>
      <c r="CI176" s="12"/>
      <c r="CJ176" s="181"/>
      <c r="CK176" s="729"/>
      <c r="CL176" s="752"/>
      <c r="CO176" s="18"/>
      <c r="CS176" s="18"/>
      <c r="CT176" s="342"/>
      <c r="CV176" s="181"/>
      <c r="CW176" s="181"/>
      <c r="CX176" s="18"/>
      <c r="CY176" s="247"/>
      <c r="DA176" s="181"/>
      <c r="DB176" s="729"/>
      <c r="DC176" s="17"/>
      <c r="DE176" s="12"/>
      <c r="DG176" s="162"/>
      <c r="DH176" s="181"/>
      <c r="DI176" s="181"/>
      <c r="DJ176" s="181"/>
      <c r="DK176" s="17"/>
      <c r="DO176" s="18"/>
      <c r="DS176" s="163"/>
      <c r="DT176" s="763"/>
      <c r="DU176" s="12"/>
      <c r="DV176" s="12"/>
      <c r="DW176" s="12"/>
      <c r="DX176" s="768"/>
      <c r="DY176" s="763"/>
      <c r="DZ176" s="12"/>
      <c r="EA176" s="12"/>
      <c r="EB176" s="12"/>
      <c r="EC176" s="763"/>
      <c r="ED176" s="12"/>
      <c r="EE176" s="12"/>
      <c r="EF176" s="768"/>
      <c r="EG176" s="12"/>
      <c r="EH176" s="12"/>
      <c r="EI176" s="12"/>
      <c r="EJ176" s="12"/>
      <c r="EK176" s="768">
        <v>750</v>
      </c>
      <c r="EL176" s="162"/>
      <c r="EO176" s="163"/>
      <c r="EP176" s="162"/>
      <c r="ET176" s="163"/>
      <c r="EU176" s="162"/>
      <c r="EX176" s="163"/>
      <c r="EY176" s="162"/>
      <c r="FB176" s="163"/>
    </row>
    <row r="177" spans="1:158" ht="21" customHeight="1" thickBot="1" x14ac:dyDescent="0.25">
      <c r="A177" s="1188"/>
      <c r="B177" s="249" t="str">
        <f t="shared" si="9"/>
        <v>Chippewa</v>
      </c>
      <c r="C177" s="249" t="s">
        <v>8</v>
      </c>
      <c r="D177" s="249"/>
      <c r="E177" s="1189"/>
      <c r="F177" s="249" t="s">
        <v>8</v>
      </c>
      <c r="G177" s="773">
        <v>1000</v>
      </c>
      <c r="H177" s="11">
        <f t="shared" si="6"/>
        <v>1000</v>
      </c>
      <c r="I177" s="774">
        <f t="shared" si="7"/>
        <v>0</v>
      </c>
      <c r="P177" s="14"/>
      <c r="T177" s="123"/>
      <c r="U177" s="61"/>
      <c r="V177" s="123"/>
      <c r="W177" s="123"/>
      <c r="X177" s="19"/>
      <c r="Y177" s="123"/>
      <c r="Z177" s="123"/>
      <c r="AA177" s="61"/>
      <c r="AB177" s="123"/>
      <c r="AC177" s="61"/>
      <c r="AD177" s="123"/>
      <c r="AE177" s="123"/>
      <c r="AF177" s="19"/>
      <c r="AG177" s="123"/>
      <c r="AH177" s="123"/>
      <c r="AI177" s="124"/>
      <c r="AJ177" s="124"/>
      <c r="AK177" s="70"/>
      <c r="AL177" s="124"/>
      <c r="AM177" s="123"/>
      <c r="AN177" s="123"/>
      <c r="AO177" s="19"/>
      <c r="AP177" s="123"/>
      <c r="AQ177" s="123"/>
      <c r="AR177" s="123"/>
      <c r="AS177" s="123"/>
      <c r="AT177" s="61"/>
      <c r="AU177" s="123"/>
      <c r="AV177" s="741"/>
      <c r="AW177" s="741"/>
      <c r="AX177" s="108"/>
      <c r="AY177" s="63"/>
      <c r="AZ177" s="125"/>
      <c r="BA177" s="125"/>
      <c r="BB177" s="64"/>
      <c r="BC177" s="63"/>
      <c r="BD177" s="73"/>
      <c r="BE177" s="74"/>
      <c r="BF177" s="75"/>
      <c r="BG177" s="73"/>
      <c r="BH177" s="74"/>
      <c r="BI177" s="74"/>
      <c r="BJ177" s="75"/>
      <c r="BK177" s="74"/>
      <c r="BL177" s="74"/>
      <c r="BM177" s="73"/>
      <c r="BN177" s="74"/>
      <c r="BO177" s="75"/>
      <c r="BP177" s="74"/>
      <c r="BQ177" s="74"/>
      <c r="BR177" s="63"/>
      <c r="BS177" s="108"/>
      <c r="BT177" s="67"/>
      <c r="BU177" s="108"/>
      <c r="BV177" s="108"/>
      <c r="BW177" s="743"/>
      <c r="BX177" s="61"/>
      <c r="BY177" s="108"/>
      <c r="BZ177" s="108"/>
      <c r="CA177" s="108"/>
      <c r="CB177" s="123"/>
      <c r="CC177" s="14"/>
      <c r="CE177" s="12"/>
      <c r="CF177" s="12"/>
      <c r="CG177" s="17"/>
      <c r="CH177" s="181"/>
      <c r="CI177" s="12"/>
      <c r="CJ177" s="181"/>
      <c r="CK177" s="729"/>
      <c r="CL177" s="752"/>
      <c r="CO177" s="18"/>
      <c r="CS177" s="18"/>
      <c r="CT177" s="342"/>
      <c r="CV177" s="181"/>
      <c r="CW177" s="181"/>
      <c r="CX177" s="18"/>
      <c r="CY177" s="247"/>
      <c r="DA177" s="181"/>
      <c r="DB177" s="729"/>
      <c r="DC177" s="17"/>
      <c r="DE177" s="12"/>
      <c r="DG177" s="162"/>
      <c r="DH177" s="181"/>
      <c r="DI177" s="181"/>
      <c r="DJ177" s="181"/>
      <c r="DK177" s="17"/>
      <c r="DO177" s="18"/>
      <c r="DS177" s="163"/>
      <c r="DT177" s="763"/>
      <c r="DU177" s="12"/>
      <c r="DV177" s="12"/>
      <c r="DW177" s="12"/>
      <c r="DX177" s="768"/>
      <c r="DY177" s="763"/>
      <c r="DZ177" s="12"/>
      <c r="EA177" s="12"/>
      <c r="EB177" s="12"/>
      <c r="EC177" s="763"/>
      <c r="ED177" s="12"/>
      <c r="EE177" s="12"/>
      <c r="EF177" s="768"/>
      <c r="EG177" s="12"/>
      <c r="EH177" s="12"/>
      <c r="EI177" s="12"/>
      <c r="EJ177" s="12"/>
      <c r="EK177" s="768">
        <v>1000</v>
      </c>
      <c r="EL177" s="162"/>
      <c r="EO177" s="163"/>
      <c r="EP177" s="162"/>
      <c r="ET177" s="163"/>
      <c r="EU177" s="162"/>
      <c r="EX177" s="163"/>
      <c r="EY177" s="162"/>
      <c r="FB177" s="163"/>
    </row>
    <row r="178" spans="1:158" ht="21" customHeight="1" thickBot="1" x14ac:dyDescent="0.25">
      <c r="A178" s="1188"/>
      <c r="B178" s="249" t="str">
        <f t="shared" si="9"/>
        <v>WWW</v>
      </c>
      <c r="C178" s="249" t="s">
        <v>201</v>
      </c>
      <c r="D178" s="249"/>
      <c r="E178" s="1189"/>
      <c r="F178" s="249" t="s">
        <v>201</v>
      </c>
      <c r="G178" s="773"/>
      <c r="H178" s="11">
        <f t="shared" si="6"/>
        <v>0</v>
      </c>
      <c r="I178" s="774">
        <f t="shared" si="7"/>
        <v>0</v>
      </c>
      <c r="P178" s="14"/>
      <c r="T178" s="123"/>
      <c r="U178" s="61"/>
      <c r="V178" s="123"/>
      <c r="W178" s="123"/>
      <c r="X178" s="19"/>
      <c r="Y178" s="123"/>
      <c r="Z178" s="123"/>
      <c r="AA178" s="61"/>
      <c r="AB178" s="123"/>
      <c r="AC178" s="61"/>
      <c r="AD178" s="123"/>
      <c r="AE178" s="123"/>
      <c r="AF178" s="19"/>
      <c r="AG178" s="123"/>
      <c r="AH178" s="123"/>
      <c r="AI178" s="124"/>
      <c r="AJ178" s="124"/>
      <c r="AK178" s="70"/>
      <c r="AL178" s="124"/>
      <c r="AM178" s="123"/>
      <c r="AN178" s="123"/>
      <c r="AO178" s="19"/>
      <c r="AP178" s="123"/>
      <c r="AQ178" s="123"/>
      <c r="AR178" s="123"/>
      <c r="AS178" s="123"/>
      <c r="AT178" s="61"/>
      <c r="AU178" s="123"/>
      <c r="AV178" s="741"/>
      <c r="AW178" s="741"/>
      <c r="AX178" s="108"/>
      <c r="AY178" s="63"/>
      <c r="AZ178" s="125"/>
      <c r="BA178" s="125"/>
      <c r="BB178" s="64"/>
      <c r="BC178" s="63"/>
      <c r="BD178" s="73"/>
      <c r="BE178" s="74"/>
      <c r="BF178" s="75"/>
      <c r="BG178" s="73"/>
      <c r="BH178" s="74"/>
      <c r="BI178" s="74"/>
      <c r="BJ178" s="75"/>
      <c r="BK178" s="74"/>
      <c r="BL178" s="74"/>
      <c r="BM178" s="73"/>
      <c r="BN178" s="74"/>
      <c r="BO178" s="75"/>
      <c r="BP178" s="74"/>
      <c r="BQ178" s="74"/>
      <c r="BR178" s="63"/>
      <c r="BS178" s="108"/>
      <c r="BT178" s="67"/>
      <c r="BU178" s="108"/>
      <c r="BV178" s="108"/>
      <c r="BW178" s="743"/>
      <c r="BX178" s="61"/>
      <c r="BY178" s="108"/>
      <c r="BZ178" s="108"/>
      <c r="CA178" s="108"/>
      <c r="CB178" s="123"/>
      <c r="CC178" s="14"/>
      <c r="CE178" s="12"/>
      <c r="CF178" s="12"/>
      <c r="CG178" s="17"/>
      <c r="CH178" s="181"/>
      <c r="CI178" s="12"/>
      <c r="CJ178" s="181"/>
      <c r="CK178" s="729"/>
      <c r="CL178" s="752"/>
      <c r="CO178" s="18"/>
      <c r="CS178" s="18"/>
      <c r="CT178" s="342"/>
      <c r="CV178" s="181"/>
      <c r="CW178" s="181"/>
      <c r="CX178" s="18"/>
      <c r="CY178" s="247"/>
      <c r="DA178" s="181"/>
      <c r="DB178" s="729"/>
      <c r="DC178" s="17"/>
      <c r="DE178" s="12"/>
      <c r="DG178" s="162"/>
      <c r="DH178" s="181"/>
      <c r="DI178" s="181"/>
      <c r="DJ178" s="181"/>
      <c r="DK178" s="17"/>
      <c r="DO178" s="18"/>
      <c r="DS178" s="163"/>
      <c r="DT178" s="763"/>
      <c r="DU178" s="12"/>
      <c r="DV178" s="12"/>
      <c r="DW178" s="12"/>
      <c r="DX178" s="768"/>
      <c r="DY178" s="763"/>
      <c r="DZ178" s="12"/>
      <c r="EA178" s="12"/>
      <c r="EB178" s="12"/>
      <c r="EC178" s="763"/>
      <c r="ED178" s="12"/>
      <c r="EE178" s="12"/>
      <c r="EF178" s="768"/>
      <c r="EG178" s="12"/>
      <c r="EH178" s="12"/>
      <c r="EI178" s="12"/>
      <c r="EJ178" s="12"/>
      <c r="EK178" s="768"/>
      <c r="EL178" s="162"/>
      <c r="EO178" s="163"/>
      <c r="EP178" s="162"/>
      <c r="ET178" s="163"/>
      <c r="EU178" s="162"/>
      <c r="EX178" s="163"/>
      <c r="EY178" s="162"/>
      <c r="FB178" s="163"/>
    </row>
    <row r="179" spans="1:158" ht="21" customHeight="1" thickBot="1" x14ac:dyDescent="0.25">
      <c r="A179" s="1188"/>
      <c r="B179" s="249" t="str">
        <f t="shared" si="9"/>
        <v>USB</v>
      </c>
      <c r="C179" s="249" t="s">
        <v>103</v>
      </c>
      <c r="D179" s="249"/>
      <c r="E179" s="1189"/>
      <c r="F179" s="249" t="s">
        <v>202</v>
      </c>
      <c r="G179" s="773">
        <v>0</v>
      </c>
      <c r="H179" s="11"/>
      <c r="I179" s="774">
        <f t="shared" si="7"/>
        <v>0</v>
      </c>
      <c r="P179" s="14"/>
      <c r="T179" s="123"/>
      <c r="U179" s="61"/>
      <c r="V179" s="123"/>
      <c r="W179" s="123"/>
      <c r="X179" s="19"/>
      <c r="Y179" s="123"/>
      <c r="Z179" s="123"/>
      <c r="AA179" s="61"/>
      <c r="AB179" s="123"/>
      <c r="AC179" s="61"/>
      <c r="AD179" s="123"/>
      <c r="AE179" s="123"/>
      <c r="AF179" s="19"/>
      <c r="AG179" s="123"/>
      <c r="AH179" s="123"/>
      <c r="AI179" s="124"/>
      <c r="AJ179" s="124"/>
      <c r="AK179" s="70"/>
      <c r="AL179" s="124"/>
      <c r="AM179" s="123"/>
      <c r="AN179" s="123"/>
      <c r="AO179" s="19"/>
      <c r="AP179" s="123"/>
      <c r="AQ179" s="123"/>
      <c r="AR179" s="123"/>
      <c r="AS179" s="123"/>
      <c r="AT179" s="61"/>
      <c r="AU179" s="123"/>
      <c r="AV179" s="741"/>
      <c r="AW179" s="741"/>
      <c r="AX179" s="108"/>
      <c r="AY179" s="63"/>
      <c r="AZ179" s="125"/>
      <c r="BA179" s="125"/>
      <c r="BB179" s="64"/>
      <c r="BC179" s="63"/>
      <c r="BD179" s="73"/>
      <c r="BE179" s="74"/>
      <c r="BF179" s="75"/>
      <c r="BG179" s="73"/>
      <c r="BH179" s="74"/>
      <c r="BI179" s="74"/>
      <c r="BJ179" s="75"/>
      <c r="BK179" s="74"/>
      <c r="BL179" s="74"/>
      <c r="BM179" s="73"/>
      <c r="BN179" s="74"/>
      <c r="BO179" s="75"/>
      <c r="BP179" s="74"/>
      <c r="BQ179" s="74"/>
      <c r="BR179" s="63"/>
      <c r="BS179" s="108"/>
      <c r="BT179" s="67"/>
      <c r="BU179" s="108"/>
      <c r="BV179" s="108"/>
      <c r="BW179" s="743"/>
      <c r="BX179" s="61"/>
      <c r="BY179" s="108"/>
      <c r="BZ179" s="108"/>
      <c r="CA179" s="108"/>
      <c r="CB179" s="123"/>
      <c r="CC179" s="14"/>
      <c r="CE179" s="12"/>
      <c r="CF179" s="12"/>
      <c r="CG179" s="17"/>
      <c r="CH179" s="181"/>
      <c r="CI179" s="12"/>
      <c r="CJ179" s="181"/>
      <c r="CK179" s="729"/>
      <c r="CL179" s="752"/>
      <c r="CO179" s="18"/>
      <c r="CS179" s="18"/>
      <c r="CT179" s="342"/>
      <c r="CV179" s="181"/>
      <c r="CW179" s="181"/>
      <c r="CX179" s="18"/>
      <c r="CY179" s="247"/>
      <c r="DA179" s="181"/>
      <c r="DB179" s="729"/>
      <c r="DC179" s="17"/>
      <c r="DE179" s="12"/>
      <c r="DG179" s="162"/>
      <c r="DH179" s="181"/>
      <c r="DI179" s="181"/>
      <c r="DJ179" s="181"/>
      <c r="DK179" s="17"/>
      <c r="DO179" s="18"/>
      <c r="DS179" s="163"/>
      <c r="DT179" s="763"/>
      <c r="DU179" s="12"/>
      <c r="DV179" s="12"/>
      <c r="DW179" s="12"/>
      <c r="DX179" s="768"/>
      <c r="DY179" s="763"/>
      <c r="DZ179" s="12"/>
      <c r="EA179" s="12"/>
      <c r="EB179" s="12"/>
      <c r="EC179" s="763"/>
      <c r="ED179" s="12"/>
      <c r="EE179" s="12"/>
      <c r="EF179" s="768"/>
      <c r="EG179" s="12"/>
      <c r="EH179" s="12"/>
      <c r="EI179" s="12"/>
      <c r="EJ179" s="12"/>
      <c r="EK179" s="768"/>
      <c r="EL179" s="162"/>
      <c r="EO179" s="163"/>
      <c r="EP179" s="162"/>
      <c r="ET179" s="163"/>
      <c r="EU179" s="162"/>
      <c r="EX179" s="163"/>
      <c r="EY179" s="162"/>
      <c r="FB179" s="163"/>
    </row>
    <row r="180" spans="1:158" ht="21" customHeight="1" thickBot="1" x14ac:dyDescent="0.25">
      <c r="A180" s="1186" t="s">
        <v>233</v>
      </c>
      <c r="B180" s="249" t="s">
        <v>234</v>
      </c>
      <c r="C180" s="249" t="s">
        <v>144</v>
      </c>
      <c r="D180" s="249"/>
      <c r="E180" s="1187">
        <v>46327</v>
      </c>
      <c r="F180" s="249" t="s">
        <v>74</v>
      </c>
      <c r="G180" s="773">
        <v>4937</v>
      </c>
      <c r="H180" s="11">
        <f t="shared" si="6"/>
        <v>4937</v>
      </c>
      <c r="I180" s="774">
        <f t="shared" si="7"/>
        <v>0</v>
      </c>
      <c r="P180" s="14"/>
      <c r="T180" s="123"/>
      <c r="U180" s="61"/>
      <c r="V180" s="123"/>
      <c r="W180" s="123"/>
      <c r="X180" s="19"/>
      <c r="Y180" s="123"/>
      <c r="Z180" s="123"/>
      <c r="AA180" s="61"/>
      <c r="AB180" s="123"/>
      <c r="AC180" s="61"/>
      <c r="AD180" s="123"/>
      <c r="AE180" s="123"/>
      <c r="AF180" s="19"/>
      <c r="AG180" s="123"/>
      <c r="AH180" s="123"/>
      <c r="AI180" s="124"/>
      <c r="AJ180" s="124"/>
      <c r="AK180" s="70"/>
      <c r="AL180" s="124"/>
      <c r="AM180" s="123"/>
      <c r="AN180" s="123"/>
      <c r="AO180" s="19"/>
      <c r="AP180" s="123"/>
      <c r="AQ180" s="123"/>
      <c r="AR180" s="123"/>
      <c r="AS180" s="123"/>
      <c r="AT180" s="61"/>
      <c r="AU180" s="123"/>
      <c r="AV180" s="741"/>
      <c r="AW180" s="741"/>
      <c r="AX180" s="108"/>
      <c r="AY180" s="63"/>
      <c r="AZ180" s="125"/>
      <c r="BA180" s="125"/>
      <c r="BB180" s="64"/>
      <c r="BC180" s="63"/>
      <c r="BD180" s="73"/>
      <c r="BE180" s="74"/>
      <c r="BF180" s="75"/>
      <c r="BG180" s="73"/>
      <c r="BH180" s="74"/>
      <c r="BI180" s="74"/>
      <c r="BJ180" s="75"/>
      <c r="BK180" s="74"/>
      <c r="BL180" s="74"/>
      <c r="BM180" s="73"/>
      <c r="BN180" s="74"/>
      <c r="BO180" s="75"/>
      <c r="BP180" s="74"/>
      <c r="BQ180" s="74"/>
      <c r="BR180" s="63"/>
      <c r="BS180" s="108"/>
      <c r="BT180" s="67"/>
      <c r="BU180" s="108"/>
      <c r="BV180" s="108"/>
      <c r="BW180" s="743"/>
      <c r="BX180" s="61"/>
      <c r="BY180" s="108"/>
      <c r="BZ180" s="108"/>
      <c r="CA180" s="108"/>
      <c r="CB180" s="123"/>
      <c r="CC180" s="14"/>
      <c r="CE180" s="12"/>
      <c r="CF180" s="12"/>
      <c r="CG180" s="17"/>
      <c r="CH180" s="181"/>
      <c r="CI180" s="12"/>
      <c r="CJ180" s="181"/>
      <c r="CK180" s="729"/>
      <c r="CL180" s="752"/>
      <c r="CO180" s="18"/>
      <c r="CS180" s="18"/>
      <c r="CT180" s="342"/>
      <c r="CV180" s="181"/>
      <c r="CW180" s="181"/>
      <c r="CX180" s="18"/>
      <c r="CY180" s="247"/>
      <c r="DA180" s="181"/>
      <c r="DB180" s="729"/>
      <c r="DC180" s="17"/>
      <c r="DE180" s="12"/>
      <c r="DG180" s="162"/>
      <c r="DH180" s="181"/>
      <c r="DI180" s="181"/>
      <c r="DJ180" s="181"/>
      <c r="DK180" s="17"/>
      <c r="DO180" s="18"/>
      <c r="DS180" s="163"/>
      <c r="DT180" s="763"/>
      <c r="DU180" s="12"/>
      <c r="DV180" s="12"/>
      <c r="DW180" s="12"/>
      <c r="DX180" s="768"/>
      <c r="DY180" s="763"/>
      <c r="DZ180" s="12"/>
      <c r="EA180" s="12"/>
      <c r="EB180" s="12"/>
      <c r="EC180" s="763"/>
      <c r="ED180" s="12"/>
      <c r="EE180" s="12"/>
      <c r="EF180" s="768"/>
      <c r="EG180" s="12"/>
      <c r="EH180" s="12"/>
      <c r="EI180" s="12"/>
      <c r="EJ180" s="12"/>
      <c r="EK180" s="768">
        <v>500</v>
      </c>
      <c r="EL180" s="708">
        <v>4250</v>
      </c>
      <c r="EM180" s="181">
        <v>187</v>
      </c>
      <c r="EN180" s="181"/>
      <c r="EO180" s="783"/>
      <c r="EP180" s="708"/>
      <c r="EQ180" s="181"/>
      <c r="ER180" s="181"/>
      <c r="ES180" s="181"/>
      <c r="ET180" s="783"/>
      <c r="EU180" s="708"/>
      <c r="EV180" s="181"/>
      <c r="EX180" s="163"/>
      <c r="EY180" s="162"/>
      <c r="FB180" s="163"/>
    </row>
    <row r="181" spans="1:158" ht="21" customHeight="1" thickBot="1" x14ac:dyDescent="0.25">
      <c r="A181" s="1186"/>
      <c r="B181" s="249" t="s">
        <v>235</v>
      </c>
      <c r="C181" s="249" t="s">
        <v>148</v>
      </c>
      <c r="D181" s="249"/>
      <c r="E181" s="1187"/>
      <c r="F181" s="249" t="s">
        <v>74</v>
      </c>
      <c r="G181" s="773">
        <v>2489</v>
      </c>
      <c r="H181" s="11">
        <f t="shared" si="6"/>
        <v>2489</v>
      </c>
      <c r="I181" s="774">
        <f t="shared" si="7"/>
        <v>0</v>
      </c>
      <c r="P181" s="14"/>
      <c r="T181" s="123"/>
      <c r="U181" s="61"/>
      <c r="V181" s="123"/>
      <c r="W181" s="123"/>
      <c r="X181" s="19"/>
      <c r="Y181" s="123"/>
      <c r="Z181" s="123"/>
      <c r="AA181" s="61"/>
      <c r="AB181" s="123"/>
      <c r="AC181" s="61"/>
      <c r="AD181" s="123"/>
      <c r="AE181" s="123"/>
      <c r="AF181" s="19"/>
      <c r="AG181" s="123"/>
      <c r="AH181" s="123"/>
      <c r="AI181" s="124"/>
      <c r="AJ181" s="124"/>
      <c r="AK181" s="70"/>
      <c r="AL181" s="124"/>
      <c r="AM181" s="123"/>
      <c r="AN181" s="123"/>
      <c r="AO181" s="19"/>
      <c r="AP181" s="123"/>
      <c r="AQ181" s="123"/>
      <c r="AR181" s="123"/>
      <c r="AS181" s="123"/>
      <c r="AT181" s="61"/>
      <c r="AU181" s="123"/>
      <c r="AV181" s="741"/>
      <c r="AW181" s="741"/>
      <c r="AX181" s="108"/>
      <c r="AY181" s="63"/>
      <c r="AZ181" s="125"/>
      <c r="BA181" s="125"/>
      <c r="BB181" s="64"/>
      <c r="BC181" s="63"/>
      <c r="BD181" s="73"/>
      <c r="BE181" s="74"/>
      <c r="BF181" s="75"/>
      <c r="BG181" s="73"/>
      <c r="BH181" s="74"/>
      <c r="BI181" s="74"/>
      <c r="BJ181" s="75"/>
      <c r="BK181" s="74"/>
      <c r="BL181" s="74"/>
      <c r="BM181" s="73"/>
      <c r="BN181" s="74"/>
      <c r="BO181" s="75"/>
      <c r="BP181" s="74"/>
      <c r="BQ181" s="74"/>
      <c r="BR181" s="63"/>
      <c r="BS181" s="108"/>
      <c r="BT181" s="67"/>
      <c r="BU181" s="108"/>
      <c r="BV181" s="108"/>
      <c r="BW181" s="743"/>
      <c r="BX181" s="61"/>
      <c r="BY181" s="108"/>
      <c r="BZ181" s="108"/>
      <c r="CA181" s="108"/>
      <c r="CB181" s="123"/>
      <c r="CC181" s="14"/>
      <c r="CE181" s="12"/>
      <c r="CF181" s="12"/>
      <c r="CG181" s="17"/>
      <c r="CH181" s="181"/>
      <c r="CI181" s="12"/>
      <c r="CJ181" s="181"/>
      <c r="CK181" s="729"/>
      <c r="CL181" s="752"/>
      <c r="CO181" s="18"/>
      <c r="CS181" s="18"/>
      <c r="CT181" s="342"/>
      <c r="CV181" s="181"/>
      <c r="CW181" s="181"/>
      <c r="CX181" s="18"/>
      <c r="CY181" s="247"/>
      <c r="DA181" s="181"/>
      <c r="DB181" s="729"/>
      <c r="DC181" s="17"/>
      <c r="DE181" s="12"/>
      <c r="DG181" s="162"/>
      <c r="DH181" s="181"/>
      <c r="DI181" s="181"/>
      <c r="DJ181" s="181"/>
      <c r="DK181" s="17"/>
      <c r="DO181" s="18"/>
      <c r="DS181" s="163"/>
      <c r="DT181" s="763"/>
      <c r="DU181" s="12"/>
      <c r="DV181" s="12"/>
      <c r="DW181" s="12"/>
      <c r="DX181" s="768"/>
      <c r="DY181" s="763"/>
      <c r="DZ181" s="12"/>
      <c r="EA181" s="12"/>
      <c r="EB181" s="12"/>
      <c r="EC181" s="763"/>
      <c r="ED181" s="12"/>
      <c r="EE181" s="12"/>
      <c r="EF181" s="768"/>
      <c r="EG181" s="12"/>
      <c r="EH181" s="12"/>
      <c r="EI181" s="12"/>
      <c r="EJ181" s="12"/>
      <c r="EK181" s="768"/>
      <c r="EL181" s="763"/>
      <c r="EM181" s="181">
        <v>2489</v>
      </c>
      <c r="EN181" s="181"/>
      <c r="EO181" s="783"/>
      <c r="EP181" s="708"/>
      <c r="EQ181" s="181"/>
      <c r="ER181" s="181"/>
      <c r="ES181" s="181"/>
      <c r="ET181" s="783"/>
      <c r="EU181" s="708"/>
      <c r="EV181" s="181"/>
      <c r="EX181" s="163"/>
      <c r="EY181" s="162"/>
      <c r="FB181" s="163"/>
    </row>
    <row r="182" spans="1:158" ht="21" customHeight="1" thickBot="1" x14ac:dyDescent="0.25">
      <c r="A182" s="1186"/>
      <c r="B182" s="249" t="s">
        <v>236</v>
      </c>
      <c r="C182" s="249" t="s">
        <v>167</v>
      </c>
      <c r="D182" s="249"/>
      <c r="E182" s="1187"/>
      <c r="F182" s="249" t="s">
        <v>74</v>
      </c>
      <c r="G182" s="773">
        <v>1000</v>
      </c>
      <c r="H182" s="11">
        <f t="shared" si="6"/>
        <v>1000</v>
      </c>
      <c r="I182" s="774">
        <f t="shared" si="7"/>
        <v>0</v>
      </c>
      <c r="P182" s="14"/>
      <c r="T182" s="123"/>
      <c r="U182" s="61"/>
      <c r="V182" s="123"/>
      <c r="W182" s="123"/>
      <c r="X182" s="19"/>
      <c r="Y182" s="123"/>
      <c r="Z182" s="123"/>
      <c r="AA182" s="61"/>
      <c r="AB182" s="123"/>
      <c r="AC182" s="61"/>
      <c r="AD182" s="123"/>
      <c r="AE182" s="123"/>
      <c r="AF182" s="19"/>
      <c r="AG182" s="123"/>
      <c r="AH182" s="123"/>
      <c r="AI182" s="124"/>
      <c r="AJ182" s="124"/>
      <c r="AK182" s="70"/>
      <c r="AL182" s="124"/>
      <c r="AM182" s="123"/>
      <c r="AN182" s="123"/>
      <c r="AO182" s="19"/>
      <c r="AP182" s="123"/>
      <c r="AQ182" s="123"/>
      <c r="AR182" s="123"/>
      <c r="AS182" s="123"/>
      <c r="AT182" s="61"/>
      <c r="AU182" s="123"/>
      <c r="AV182" s="741"/>
      <c r="AW182" s="741"/>
      <c r="AX182" s="108"/>
      <c r="AY182" s="63"/>
      <c r="AZ182" s="125"/>
      <c r="BA182" s="125"/>
      <c r="BB182" s="64"/>
      <c r="BC182" s="63"/>
      <c r="BD182" s="73"/>
      <c r="BE182" s="74"/>
      <c r="BF182" s="75"/>
      <c r="BG182" s="73"/>
      <c r="BH182" s="74"/>
      <c r="BI182" s="74"/>
      <c r="BJ182" s="75"/>
      <c r="BK182" s="74"/>
      <c r="BL182" s="74"/>
      <c r="BM182" s="73"/>
      <c r="BN182" s="74"/>
      <c r="BO182" s="75"/>
      <c r="BP182" s="74"/>
      <c r="BQ182" s="74"/>
      <c r="BR182" s="63"/>
      <c r="BS182" s="108"/>
      <c r="BT182" s="67"/>
      <c r="BU182" s="108"/>
      <c r="BV182" s="108"/>
      <c r="BW182" s="743"/>
      <c r="BX182" s="61"/>
      <c r="BY182" s="108"/>
      <c r="BZ182" s="108"/>
      <c r="CA182" s="108"/>
      <c r="CB182" s="123"/>
      <c r="CC182" s="14"/>
      <c r="CE182" s="12"/>
      <c r="CF182" s="12"/>
      <c r="CG182" s="17"/>
      <c r="CH182" s="181"/>
      <c r="CI182" s="12"/>
      <c r="CJ182" s="181"/>
      <c r="CK182" s="729"/>
      <c r="CL182" s="752"/>
      <c r="CO182" s="18"/>
      <c r="CS182" s="18"/>
      <c r="CT182" s="342"/>
      <c r="CV182" s="181"/>
      <c r="CW182" s="181"/>
      <c r="CX182" s="18"/>
      <c r="CY182" s="247"/>
      <c r="DA182" s="181"/>
      <c r="DB182" s="729"/>
      <c r="DC182" s="17"/>
      <c r="DE182" s="12"/>
      <c r="DG182" s="162"/>
      <c r="DH182" s="181"/>
      <c r="DI182" s="181"/>
      <c r="DJ182" s="181"/>
      <c r="DK182" s="17"/>
      <c r="DO182" s="18"/>
      <c r="DS182" s="163"/>
      <c r="DT182" s="162"/>
      <c r="DX182" s="163"/>
      <c r="DY182" s="162"/>
      <c r="EC182" s="162"/>
      <c r="EF182" s="163"/>
      <c r="EG182" s="12"/>
      <c r="EH182" s="12"/>
      <c r="EI182" s="12"/>
      <c r="EJ182" s="12"/>
      <c r="EK182" s="768"/>
      <c r="EL182" s="763"/>
      <c r="EM182" s="181">
        <v>1000</v>
      </c>
      <c r="EN182" s="181"/>
      <c r="EO182" s="783"/>
      <c r="EP182" s="708"/>
      <c r="EQ182" s="181"/>
      <c r="ER182" s="181"/>
      <c r="ES182" s="181"/>
      <c r="ET182" s="783"/>
      <c r="EU182" s="708"/>
      <c r="EV182" s="181"/>
      <c r="EX182" s="163"/>
      <c r="EY182" s="162"/>
      <c r="FB182" s="163"/>
    </row>
    <row r="183" spans="1:158" ht="21" customHeight="1" thickBot="1" x14ac:dyDescent="0.25">
      <c r="A183" s="1186"/>
      <c r="B183" s="249" t="s">
        <v>237</v>
      </c>
      <c r="C183" s="249" t="s">
        <v>169</v>
      </c>
      <c r="D183" s="249"/>
      <c r="E183" s="1187"/>
      <c r="F183" s="249" t="s">
        <v>74</v>
      </c>
      <c r="G183" s="773">
        <v>847</v>
      </c>
      <c r="H183" s="11">
        <f t="shared" si="6"/>
        <v>847</v>
      </c>
      <c r="I183" s="774">
        <f t="shared" si="7"/>
        <v>0</v>
      </c>
      <c r="P183" s="14"/>
      <c r="T183" s="123"/>
      <c r="U183" s="61"/>
      <c r="V183" s="123"/>
      <c r="W183" s="123"/>
      <c r="X183" s="19"/>
      <c r="Y183" s="123"/>
      <c r="Z183" s="123"/>
      <c r="AA183" s="61"/>
      <c r="AB183" s="123"/>
      <c r="AC183" s="61"/>
      <c r="AD183" s="123"/>
      <c r="AE183" s="123"/>
      <c r="AF183" s="19"/>
      <c r="AG183" s="123"/>
      <c r="AH183" s="123"/>
      <c r="AI183" s="124"/>
      <c r="AJ183" s="124"/>
      <c r="AK183" s="70"/>
      <c r="AL183" s="124"/>
      <c r="AM183" s="123"/>
      <c r="AN183" s="123"/>
      <c r="AO183" s="19"/>
      <c r="AP183" s="123"/>
      <c r="AQ183" s="123"/>
      <c r="AR183" s="123"/>
      <c r="AS183" s="123"/>
      <c r="AT183" s="61"/>
      <c r="AU183" s="123"/>
      <c r="AV183" s="741"/>
      <c r="AW183" s="741"/>
      <c r="AX183" s="108"/>
      <c r="AY183" s="63"/>
      <c r="AZ183" s="125"/>
      <c r="BA183" s="125"/>
      <c r="BB183" s="64"/>
      <c r="BC183" s="63"/>
      <c r="BD183" s="73"/>
      <c r="BE183" s="74"/>
      <c r="BF183" s="75"/>
      <c r="BG183" s="73"/>
      <c r="BH183" s="74"/>
      <c r="BI183" s="74"/>
      <c r="BJ183" s="75"/>
      <c r="BK183" s="74"/>
      <c r="BL183" s="74"/>
      <c r="BM183" s="73"/>
      <c r="BN183" s="74"/>
      <c r="BO183" s="75"/>
      <c r="BP183" s="74"/>
      <c r="BQ183" s="74"/>
      <c r="BR183" s="63"/>
      <c r="BS183" s="108"/>
      <c r="BT183" s="67"/>
      <c r="BU183" s="108"/>
      <c r="BV183" s="108"/>
      <c r="BW183" s="743"/>
      <c r="BX183" s="61"/>
      <c r="BY183" s="108"/>
      <c r="BZ183" s="108"/>
      <c r="CA183" s="108"/>
      <c r="CB183" s="123"/>
      <c r="CC183" s="14"/>
      <c r="CE183" s="12"/>
      <c r="CF183" s="12"/>
      <c r="CG183" s="17"/>
      <c r="CH183" s="181"/>
      <c r="CI183" s="12"/>
      <c r="CJ183" s="181"/>
      <c r="CK183" s="729"/>
      <c r="CL183" s="752"/>
      <c r="CO183" s="18"/>
      <c r="CS183" s="18"/>
      <c r="CT183" s="342"/>
      <c r="CV183" s="181"/>
      <c r="CW183" s="181"/>
      <c r="CX183" s="18"/>
      <c r="CY183" s="247"/>
      <c r="DA183" s="181"/>
      <c r="DB183" s="729"/>
      <c r="DC183" s="17"/>
      <c r="DE183" s="12"/>
      <c r="DG183" s="162"/>
      <c r="DH183" s="181"/>
      <c r="DI183" s="181"/>
      <c r="DJ183" s="181"/>
      <c r="DK183" s="17"/>
      <c r="DO183" s="18"/>
      <c r="DS183" s="163"/>
      <c r="DT183" s="162"/>
      <c r="DX183" s="163"/>
      <c r="DY183" s="162"/>
      <c r="EC183" s="162"/>
      <c r="EF183" s="163"/>
      <c r="EG183" s="766"/>
      <c r="EH183" s="766"/>
      <c r="EI183" s="766"/>
      <c r="EJ183" s="12"/>
      <c r="EK183" s="768"/>
      <c r="EL183" s="763"/>
      <c r="EM183" s="181">
        <v>600</v>
      </c>
      <c r="EN183" s="181">
        <v>247</v>
      </c>
      <c r="EO183" s="783"/>
      <c r="EP183" s="708"/>
      <c r="EQ183" s="181"/>
      <c r="ER183" s="181"/>
      <c r="ES183" s="181"/>
      <c r="ET183" s="783"/>
      <c r="EU183" s="708"/>
      <c r="EV183" s="181"/>
      <c r="EX183" s="163"/>
      <c r="EY183" s="162"/>
      <c r="FB183" s="163"/>
    </row>
    <row r="184" spans="1:158" ht="21" customHeight="1" thickBot="1" x14ac:dyDescent="0.25">
      <c r="A184" s="1186"/>
      <c r="B184" s="249" t="s">
        <v>238</v>
      </c>
      <c r="C184" s="249" t="s">
        <v>171</v>
      </c>
      <c r="D184" s="249"/>
      <c r="E184" s="1187"/>
      <c r="F184" s="249" t="s">
        <v>74</v>
      </c>
      <c r="G184" s="773">
        <v>1576</v>
      </c>
      <c r="H184" s="11">
        <f t="shared" si="6"/>
        <v>1576</v>
      </c>
      <c r="I184" s="774">
        <f t="shared" si="7"/>
        <v>0</v>
      </c>
      <c r="P184" s="14"/>
      <c r="T184" s="123"/>
      <c r="U184" s="61"/>
      <c r="V184" s="123"/>
      <c r="W184" s="123"/>
      <c r="X184" s="19"/>
      <c r="Y184" s="123"/>
      <c r="Z184" s="123"/>
      <c r="AA184" s="61"/>
      <c r="AB184" s="123"/>
      <c r="AC184" s="61"/>
      <c r="AD184" s="123"/>
      <c r="AE184" s="123"/>
      <c r="AF184" s="19"/>
      <c r="AG184" s="123"/>
      <c r="AH184" s="123"/>
      <c r="AI184" s="124"/>
      <c r="AJ184" s="124"/>
      <c r="AK184" s="70"/>
      <c r="AL184" s="124"/>
      <c r="AM184" s="123"/>
      <c r="AN184" s="123"/>
      <c r="AO184" s="19"/>
      <c r="AP184" s="123"/>
      <c r="AQ184" s="123"/>
      <c r="AR184" s="123"/>
      <c r="AS184" s="123"/>
      <c r="AT184" s="61"/>
      <c r="AU184" s="123"/>
      <c r="AV184" s="741"/>
      <c r="AW184" s="741"/>
      <c r="AX184" s="108"/>
      <c r="AY184" s="63"/>
      <c r="AZ184" s="125"/>
      <c r="BA184" s="125"/>
      <c r="BB184" s="64"/>
      <c r="BC184" s="63"/>
      <c r="BD184" s="73"/>
      <c r="BE184" s="74"/>
      <c r="BF184" s="75"/>
      <c r="BG184" s="73"/>
      <c r="BH184" s="74"/>
      <c r="BI184" s="74"/>
      <c r="BJ184" s="75"/>
      <c r="BK184" s="74"/>
      <c r="BL184" s="74"/>
      <c r="BM184" s="73"/>
      <c r="BN184" s="74"/>
      <c r="BO184" s="75"/>
      <c r="BP184" s="74"/>
      <c r="BQ184" s="74"/>
      <c r="BR184" s="63"/>
      <c r="BS184" s="108"/>
      <c r="BT184" s="67"/>
      <c r="BU184" s="108"/>
      <c r="BV184" s="108"/>
      <c r="BW184" s="743"/>
      <c r="BX184" s="61"/>
      <c r="BY184" s="108"/>
      <c r="BZ184" s="108"/>
      <c r="CA184" s="108"/>
      <c r="CB184" s="123"/>
      <c r="CC184" s="14"/>
      <c r="CE184" s="12"/>
      <c r="CF184" s="12"/>
      <c r="CG184" s="17"/>
      <c r="CH184" s="181"/>
      <c r="CI184" s="12"/>
      <c r="CJ184" s="181"/>
      <c r="CK184" s="729"/>
      <c r="CL184" s="752"/>
      <c r="CO184" s="18"/>
      <c r="CS184" s="18"/>
      <c r="CT184" s="342"/>
      <c r="CV184" s="181"/>
      <c r="CW184" s="181"/>
      <c r="CX184" s="18"/>
      <c r="CY184" s="247"/>
      <c r="DA184" s="181"/>
      <c r="DB184" s="729"/>
      <c r="DC184" s="17"/>
      <c r="DE184" s="12"/>
      <c r="DG184" s="162"/>
      <c r="DH184" s="181"/>
      <c r="DI184" s="181"/>
      <c r="DJ184" s="181"/>
      <c r="DK184" s="17"/>
      <c r="DO184" s="18"/>
      <c r="DS184" s="163"/>
      <c r="DT184" s="162"/>
      <c r="DX184" s="163"/>
      <c r="DY184" s="162"/>
      <c r="EC184" s="175"/>
      <c r="ED184" s="137"/>
      <c r="EE184" s="137"/>
      <c r="EF184" s="174"/>
      <c r="EG184" s="766"/>
      <c r="EH184" s="766"/>
      <c r="EI184" s="766"/>
      <c r="EJ184" s="12"/>
      <c r="EK184" s="768"/>
      <c r="EL184" s="763"/>
      <c r="EM184" s="181"/>
      <c r="EN184" s="181">
        <v>1576</v>
      </c>
      <c r="EO184" s="783"/>
      <c r="EP184" s="708"/>
      <c r="EQ184" s="181"/>
      <c r="ER184" s="181"/>
      <c r="ES184" s="181"/>
      <c r="ET184" s="783"/>
      <c r="EU184" s="708"/>
      <c r="EV184" s="181"/>
      <c r="EX184" s="163"/>
      <c r="EY184" s="162"/>
      <c r="FB184" s="163"/>
    </row>
    <row r="185" spans="1:158" ht="21" customHeight="1" thickBot="1" x14ac:dyDescent="0.25">
      <c r="A185" s="1186"/>
      <c r="B185" s="249" t="s">
        <v>239</v>
      </c>
      <c r="C185" s="249" t="s">
        <v>213</v>
      </c>
      <c r="D185" s="249"/>
      <c r="E185" s="1187"/>
      <c r="F185" s="249" t="s">
        <v>74</v>
      </c>
      <c r="G185" s="773">
        <v>1447</v>
      </c>
      <c r="H185" s="11">
        <f t="shared" si="6"/>
        <v>1447</v>
      </c>
      <c r="I185" s="774">
        <f t="shared" si="7"/>
        <v>0</v>
      </c>
      <c r="P185" s="14"/>
      <c r="T185" s="123"/>
      <c r="U185" s="61"/>
      <c r="V185" s="123"/>
      <c r="W185" s="123"/>
      <c r="X185" s="19"/>
      <c r="Y185" s="123"/>
      <c r="Z185" s="123"/>
      <c r="AA185" s="61"/>
      <c r="AB185" s="123"/>
      <c r="AC185" s="61"/>
      <c r="AD185" s="123"/>
      <c r="AE185" s="123"/>
      <c r="AF185" s="19"/>
      <c r="AG185" s="123"/>
      <c r="AH185" s="123"/>
      <c r="AI185" s="124"/>
      <c r="AJ185" s="124"/>
      <c r="AK185" s="70"/>
      <c r="AL185" s="124"/>
      <c r="AM185" s="123"/>
      <c r="AN185" s="123"/>
      <c r="AO185" s="19"/>
      <c r="AP185" s="123"/>
      <c r="AQ185" s="123"/>
      <c r="AR185" s="123"/>
      <c r="AS185" s="123"/>
      <c r="AT185" s="61"/>
      <c r="AU185" s="123"/>
      <c r="AV185" s="741"/>
      <c r="AW185" s="741"/>
      <c r="AX185" s="108"/>
      <c r="AY185" s="63"/>
      <c r="AZ185" s="125"/>
      <c r="BA185" s="125"/>
      <c r="BB185" s="64"/>
      <c r="BC185" s="63"/>
      <c r="BD185" s="73"/>
      <c r="BE185" s="74"/>
      <c r="BF185" s="75"/>
      <c r="BG185" s="73"/>
      <c r="BH185" s="74"/>
      <c r="BI185" s="74"/>
      <c r="BJ185" s="75"/>
      <c r="BK185" s="74"/>
      <c r="BL185" s="74"/>
      <c r="BM185" s="73"/>
      <c r="BN185" s="74"/>
      <c r="BO185" s="75"/>
      <c r="BP185" s="74"/>
      <c r="BQ185" s="74"/>
      <c r="BR185" s="63"/>
      <c r="BS185" s="108"/>
      <c r="BT185" s="67"/>
      <c r="BU185" s="108"/>
      <c r="BV185" s="108"/>
      <c r="BW185" s="743"/>
      <c r="BX185" s="61"/>
      <c r="BY185" s="108"/>
      <c r="BZ185" s="108"/>
      <c r="CA185" s="108"/>
      <c r="CB185" s="123"/>
      <c r="CC185" s="14"/>
      <c r="CE185" s="12"/>
      <c r="CF185" s="12"/>
      <c r="CG185" s="17"/>
      <c r="CH185" s="181"/>
      <c r="CI185" s="12"/>
      <c r="CJ185" s="181"/>
      <c r="CK185" s="729"/>
      <c r="CL185" s="752"/>
      <c r="CO185" s="18"/>
      <c r="CS185" s="18"/>
      <c r="CT185" s="342"/>
      <c r="CV185" s="181"/>
      <c r="CW185" s="181"/>
      <c r="CX185" s="18"/>
      <c r="CY185" s="247"/>
      <c r="DA185" s="181"/>
      <c r="DB185" s="729"/>
      <c r="DC185" s="17"/>
      <c r="DE185" s="12"/>
      <c r="DG185" s="162"/>
      <c r="DH185" s="181"/>
      <c r="DI185" s="181"/>
      <c r="DJ185" s="181"/>
      <c r="DK185" s="17"/>
      <c r="DO185" s="18"/>
      <c r="DS185" s="163"/>
      <c r="DT185" s="162"/>
      <c r="DX185" s="163"/>
      <c r="DY185" s="162"/>
      <c r="EC185" s="175"/>
      <c r="ED185" s="137"/>
      <c r="EE185" s="137"/>
      <c r="EF185" s="174"/>
      <c r="EG185" s="766"/>
      <c r="EH185" s="766"/>
      <c r="EI185" s="766"/>
      <c r="EJ185" s="12"/>
      <c r="EK185" s="768"/>
      <c r="EL185" s="763"/>
      <c r="EM185" s="12"/>
      <c r="EN185" s="12">
        <v>1447</v>
      </c>
      <c r="EO185" s="783"/>
      <c r="EP185" s="708"/>
      <c r="EQ185" s="181"/>
      <c r="ER185" s="181"/>
      <c r="ES185" s="181"/>
      <c r="ET185" s="783"/>
      <c r="EU185" s="708"/>
      <c r="EV185" s="181"/>
      <c r="EX185" s="163"/>
      <c r="EY185" s="162"/>
      <c r="FB185" s="163"/>
    </row>
    <row r="186" spans="1:158" ht="21" customHeight="1" thickBot="1" x14ac:dyDescent="0.25">
      <c r="A186" s="1186"/>
      <c r="B186" s="249" t="s">
        <v>240</v>
      </c>
      <c r="C186" s="249" t="s">
        <v>215</v>
      </c>
      <c r="D186" s="249"/>
      <c r="E186" s="1187"/>
      <c r="F186" s="249" t="s">
        <v>74</v>
      </c>
      <c r="G186" s="773">
        <v>1809</v>
      </c>
      <c r="H186" s="11">
        <f t="shared" si="6"/>
        <v>1809</v>
      </c>
      <c r="I186" s="774">
        <f t="shared" si="7"/>
        <v>0</v>
      </c>
      <c r="P186" s="14"/>
      <c r="T186" s="123"/>
      <c r="U186" s="61"/>
      <c r="V186" s="123"/>
      <c r="W186" s="123"/>
      <c r="X186" s="19"/>
      <c r="Y186" s="123"/>
      <c r="Z186" s="123"/>
      <c r="AA186" s="61"/>
      <c r="AB186" s="123"/>
      <c r="AC186" s="61"/>
      <c r="AD186" s="123"/>
      <c r="AE186" s="123"/>
      <c r="AF186" s="19"/>
      <c r="AG186" s="123"/>
      <c r="AH186" s="123"/>
      <c r="AI186" s="124"/>
      <c r="AJ186" s="124"/>
      <c r="AK186" s="70"/>
      <c r="AL186" s="124"/>
      <c r="AM186" s="123"/>
      <c r="AN186" s="123"/>
      <c r="AO186" s="19"/>
      <c r="AP186" s="123"/>
      <c r="AQ186" s="123"/>
      <c r="AR186" s="123"/>
      <c r="AS186" s="123"/>
      <c r="AT186" s="61"/>
      <c r="AU186" s="123"/>
      <c r="AV186" s="741"/>
      <c r="AW186" s="741"/>
      <c r="AX186" s="108"/>
      <c r="AY186" s="63"/>
      <c r="AZ186" s="125"/>
      <c r="BA186" s="125"/>
      <c r="BB186" s="64"/>
      <c r="BC186" s="63"/>
      <c r="BD186" s="73"/>
      <c r="BE186" s="74"/>
      <c r="BF186" s="75"/>
      <c r="BG186" s="73"/>
      <c r="BH186" s="74"/>
      <c r="BI186" s="74"/>
      <c r="BJ186" s="75"/>
      <c r="BK186" s="74"/>
      <c r="BL186" s="74"/>
      <c r="BM186" s="73"/>
      <c r="BN186" s="74"/>
      <c r="BO186" s="75"/>
      <c r="BP186" s="74"/>
      <c r="BQ186" s="74"/>
      <c r="BR186" s="63"/>
      <c r="BS186" s="108"/>
      <c r="BT186" s="67"/>
      <c r="BU186" s="108"/>
      <c r="BV186" s="108"/>
      <c r="BW186" s="743"/>
      <c r="BX186" s="61"/>
      <c r="BY186" s="108"/>
      <c r="BZ186" s="108"/>
      <c r="CA186" s="108"/>
      <c r="CB186" s="123"/>
      <c r="CC186" s="14"/>
      <c r="CE186" s="12"/>
      <c r="CF186" s="12"/>
      <c r="CG186" s="17"/>
      <c r="CH186" s="181"/>
      <c r="CI186" s="12"/>
      <c r="CJ186" s="181"/>
      <c r="CK186" s="729"/>
      <c r="CL186" s="752"/>
      <c r="CO186" s="18"/>
      <c r="CS186" s="18"/>
      <c r="CT186" s="342"/>
      <c r="CV186" s="181"/>
      <c r="CW186" s="181"/>
      <c r="CX186" s="18"/>
      <c r="CY186" s="247"/>
      <c r="DA186" s="181"/>
      <c r="DB186" s="729"/>
      <c r="DC186" s="17"/>
      <c r="DE186" s="12"/>
      <c r="DG186" s="162"/>
      <c r="DH186" s="181"/>
      <c r="DI186" s="181"/>
      <c r="DJ186" s="181"/>
      <c r="DK186" s="17"/>
      <c r="DO186" s="18"/>
      <c r="DS186" s="163"/>
      <c r="DT186" s="162"/>
      <c r="DX186" s="163"/>
      <c r="DY186" s="162"/>
      <c r="EC186" s="175"/>
      <c r="ED186" s="137"/>
      <c r="EE186" s="137"/>
      <c r="EF186" s="174"/>
      <c r="EJ186" s="15"/>
      <c r="EK186" s="768"/>
      <c r="EL186" s="763"/>
      <c r="EM186" s="12"/>
      <c r="EN186" s="12">
        <v>1000</v>
      </c>
      <c r="EO186" s="783">
        <v>809</v>
      </c>
      <c r="EP186" s="708"/>
      <c r="EQ186" s="181"/>
      <c r="ER186" s="181"/>
      <c r="ES186" s="181"/>
      <c r="ET186" s="783"/>
      <c r="EU186" s="708"/>
      <c r="EV186" s="181"/>
      <c r="EX186" s="163"/>
      <c r="EY186" s="162"/>
      <c r="FB186" s="163"/>
    </row>
    <row r="187" spans="1:158" ht="21" customHeight="1" thickBot="1" x14ac:dyDescent="0.25">
      <c r="A187" s="1186" t="s">
        <v>207</v>
      </c>
      <c r="B187" s="249">
        <f t="shared" ref="B187:B192" si="10">+B174</f>
        <v>0</v>
      </c>
      <c r="C187" s="249" t="s">
        <v>223</v>
      </c>
      <c r="D187" s="249"/>
      <c r="E187" s="1187">
        <f>+E180</f>
        <v>46327</v>
      </c>
      <c r="F187" s="249" t="s">
        <v>224</v>
      </c>
      <c r="G187" s="773"/>
      <c r="H187" s="11"/>
      <c r="I187" s="774">
        <f t="shared" si="7"/>
        <v>0</v>
      </c>
      <c r="P187" s="14"/>
      <c r="T187" s="123"/>
      <c r="U187" s="61"/>
      <c r="V187" s="123"/>
      <c r="W187" s="123"/>
      <c r="X187" s="19"/>
      <c r="Y187" s="123"/>
      <c r="Z187" s="123"/>
      <c r="AA187" s="61"/>
      <c r="AB187" s="123"/>
      <c r="AC187" s="61"/>
      <c r="AD187" s="123"/>
      <c r="AE187" s="123"/>
      <c r="AF187" s="19"/>
      <c r="AG187" s="123"/>
      <c r="AH187" s="123"/>
      <c r="AI187" s="124"/>
      <c r="AJ187" s="124"/>
      <c r="AK187" s="70"/>
      <c r="AL187" s="124"/>
      <c r="AM187" s="123"/>
      <c r="AN187" s="123"/>
      <c r="AO187" s="19"/>
      <c r="AP187" s="123"/>
      <c r="AQ187" s="123"/>
      <c r="AR187" s="123"/>
      <c r="AS187" s="123"/>
      <c r="AT187" s="61"/>
      <c r="AU187" s="123"/>
      <c r="AV187" s="741"/>
      <c r="AW187" s="741"/>
      <c r="AX187" s="108"/>
      <c r="AY187" s="63"/>
      <c r="AZ187" s="125"/>
      <c r="BA187" s="125"/>
      <c r="BB187" s="64"/>
      <c r="BC187" s="63"/>
      <c r="BD187" s="73"/>
      <c r="BE187" s="74"/>
      <c r="BF187" s="75"/>
      <c r="BG187" s="73"/>
      <c r="BH187" s="74"/>
      <c r="BI187" s="74"/>
      <c r="BJ187" s="75"/>
      <c r="BK187" s="74"/>
      <c r="BL187" s="74"/>
      <c r="BM187" s="73"/>
      <c r="BN187" s="74"/>
      <c r="BO187" s="75"/>
      <c r="BP187" s="74"/>
      <c r="BQ187" s="74"/>
      <c r="BR187" s="63"/>
      <c r="BS187" s="108"/>
      <c r="BT187" s="67"/>
      <c r="BU187" s="108"/>
      <c r="BV187" s="108"/>
      <c r="BW187" s="743"/>
      <c r="BX187" s="61"/>
      <c r="BY187" s="108"/>
      <c r="BZ187" s="108"/>
      <c r="CA187" s="108"/>
      <c r="CB187" s="123"/>
      <c r="CC187" s="14"/>
      <c r="CE187" s="12"/>
      <c r="CF187" s="12"/>
      <c r="CG187" s="17"/>
      <c r="CH187" s="181"/>
      <c r="CI187" s="12"/>
      <c r="CJ187" s="181"/>
      <c r="CK187" s="729"/>
      <c r="CL187" s="752"/>
      <c r="CO187" s="18"/>
      <c r="CS187" s="18"/>
      <c r="CT187" s="342"/>
      <c r="CV187" s="181"/>
      <c r="CW187" s="181"/>
      <c r="CX187" s="18"/>
      <c r="CY187" s="247"/>
      <c r="DA187" s="181"/>
      <c r="DB187" s="729"/>
      <c r="DC187" s="17"/>
      <c r="DE187" s="12"/>
      <c r="DG187" s="162"/>
      <c r="DH187" s="181"/>
      <c r="DI187" s="181"/>
      <c r="DJ187" s="181"/>
      <c r="DK187" s="17"/>
      <c r="DO187" s="18"/>
      <c r="DS187" s="163"/>
      <c r="DT187" s="162"/>
      <c r="DX187" s="163"/>
      <c r="DY187" s="162"/>
      <c r="EC187" s="162"/>
      <c r="EF187" s="163"/>
      <c r="EK187" s="163"/>
      <c r="EL187" s="763"/>
      <c r="EM187" s="12"/>
      <c r="EN187" s="12"/>
      <c r="EO187" s="783"/>
      <c r="EP187" s="708"/>
      <c r="EQ187" s="181"/>
      <c r="ER187" s="181"/>
      <c r="ES187" s="181"/>
      <c r="ET187" s="783"/>
      <c r="EU187" s="708"/>
      <c r="EV187" s="181"/>
      <c r="EX187" s="163"/>
      <c r="EY187" s="162"/>
      <c r="FB187" s="163"/>
    </row>
    <row r="188" spans="1:158" ht="21" customHeight="1" thickBot="1" x14ac:dyDescent="0.25">
      <c r="A188" s="1188"/>
      <c r="B188" s="249" t="str">
        <f t="shared" si="10"/>
        <v>Firedex</v>
      </c>
      <c r="C188" s="249" t="s">
        <v>197</v>
      </c>
      <c r="D188" s="249"/>
      <c r="E188" s="1189"/>
      <c r="F188" s="249" t="s">
        <v>15</v>
      </c>
      <c r="G188" s="773">
        <v>1500</v>
      </c>
      <c r="H188" s="11">
        <f t="shared" si="6"/>
        <v>1500</v>
      </c>
      <c r="I188" s="774">
        <f t="shared" si="7"/>
        <v>0</v>
      </c>
      <c r="P188" s="14"/>
      <c r="T188" s="123"/>
      <c r="U188" s="61"/>
      <c r="V188" s="123"/>
      <c r="W188" s="123"/>
      <c r="X188" s="19"/>
      <c r="Y188" s="123"/>
      <c r="Z188" s="123"/>
      <c r="AA188" s="61"/>
      <c r="AB188" s="123"/>
      <c r="AC188" s="61"/>
      <c r="AD188" s="123"/>
      <c r="AE188" s="123"/>
      <c r="AF188" s="19"/>
      <c r="AG188" s="123"/>
      <c r="AH188" s="123"/>
      <c r="AI188" s="124"/>
      <c r="AJ188" s="124"/>
      <c r="AK188" s="70"/>
      <c r="AL188" s="124"/>
      <c r="AM188" s="123"/>
      <c r="AN188" s="123"/>
      <c r="AO188" s="19"/>
      <c r="AP188" s="123"/>
      <c r="AQ188" s="123"/>
      <c r="AR188" s="123"/>
      <c r="AS188" s="123"/>
      <c r="AT188" s="61"/>
      <c r="AU188" s="123"/>
      <c r="AV188" s="741"/>
      <c r="AW188" s="741"/>
      <c r="AX188" s="108"/>
      <c r="AY188" s="63"/>
      <c r="AZ188" s="125"/>
      <c r="BA188" s="125"/>
      <c r="BB188" s="64"/>
      <c r="BC188" s="63"/>
      <c r="BD188" s="73"/>
      <c r="BE188" s="74"/>
      <c r="BF188" s="75"/>
      <c r="BG188" s="73"/>
      <c r="BH188" s="74"/>
      <c r="BI188" s="74"/>
      <c r="BJ188" s="75"/>
      <c r="BK188" s="74"/>
      <c r="BL188" s="74"/>
      <c r="BM188" s="73"/>
      <c r="BN188" s="74"/>
      <c r="BO188" s="75"/>
      <c r="BP188" s="74"/>
      <c r="BQ188" s="74"/>
      <c r="BR188" s="63"/>
      <c r="BS188" s="108"/>
      <c r="BT188" s="67"/>
      <c r="BU188" s="108"/>
      <c r="BV188" s="108"/>
      <c r="BW188" s="743"/>
      <c r="BX188" s="61"/>
      <c r="BY188" s="108"/>
      <c r="BZ188" s="108"/>
      <c r="CA188" s="108"/>
      <c r="CB188" s="123"/>
      <c r="CC188" s="14"/>
      <c r="CE188" s="12"/>
      <c r="CF188" s="12"/>
      <c r="CG188" s="17"/>
      <c r="CH188" s="181"/>
      <c r="CI188" s="12"/>
      <c r="CJ188" s="181"/>
      <c r="CK188" s="729"/>
      <c r="CL188" s="752"/>
      <c r="CO188" s="18"/>
      <c r="CS188" s="18"/>
      <c r="CT188" s="342"/>
      <c r="CV188" s="181"/>
      <c r="CW188" s="181"/>
      <c r="CX188" s="18"/>
      <c r="CY188" s="247"/>
      <c r="DA188" s="181"/>
      <c r="DB188" s="729"/>
      <c r="DC188" s="17"/>
      <c r="DE188" s="12"/>
      <c r="DG188" s="162"/>
      <c r="DH188" s="181"/>
      <c r="DI188" s="181"/>
      <c r="DJ188" s="181"/>
      <c r="DK188" s="17"/>
      <c r="DO188" s="18"/>
      <c r="DS188" s="163"/>
      <c r="DT188" s="162"/>
      <c r="DX188" s="163"/>
      <c r="DY188" s="162"/>
      <c r="EC188" s="162"/>
      <c r="EF188" s="163"/>
      <c r="EK188" s="163"/>
      <c r="EL188" s="763"/>
      <c r="EM188" s="181"/>
      <c r="EN188" s="181"/>
      <c r="EO188" s="783"/>
      <c r="EP188" s="708">
        <v>1500</v>
      </c>
      <c r="EQ188" s="181"/>
      <c r="ER188" s="181"/>
      <c r="ES188" s="181"/>
      <c r="ET188" s="783"/>
      <c r="EU188" s="708"/>
      <c r="EV188" s="181"/>
      <c r="EX188" s="163"/>
      <c r="EY188" s="162"/>
      <c r="FB188" s="163"/>
    </row>
    <row r="189" spans="1:158" ht="21" customHeight="1" thickBot="1" x14ac:dyDescent="0.25">
      <c r="A189" s="1188"/>
      <c r="B189" s="249" t="str">
        <f t="shared" si="10"/>
        <v>Weinbrenner</v>
      </c>
      <c r="C189" s="249" t="s">
        <v>29</v>
      </c>
      <c r="D189" s="249"/>
      <c r="E189" s="1189"/>
      <c r="F189" s="249" t="s">
        <v>29</v>
      </c>
      <c r="G189" s="773">
        <v>750</v>
      </c>
      <c r="H189" s="11">
        <f t="shared" si="6"/>
        <v>750</v>
      </c>
      <c r="I189" s="774">
        <f t="shared" si="7"/>
        <v>0</v>
      </c>
      <c r="P189" s="14"/>
      <c r="T189" s="123"/>
      <c r="U189" s="61"/>
      <c r="V189" s="123"/>
      <c r="W189" s="123"/>
      <c r="X189" s="19"/>
      <c r="Y189" s="123"/>
      <c r="Z189" s="123"/>
      <c r="AA189" s="61"/>
      <c r="AB189" s="123"/>
      <c r="AC189" s="61"/>
      <c r="AD189" s="123"/>
      <c r="AE189" s="123"/>
      <c r="AF189" s="19"/>
      <c r="AG189" s="123"/>
      <c r="AH189" s="123"/>
      <c r="AI189" s="124"/>
      <c r="AJ189" s="124"/>
      <c r="AK189" s="70"/>
      <c r="AL189" s="124"/>
      <c r="AM189" s="123"/>
      <c r="AN189" s="123"/>
      <c r="AO189" s="19"/>
      <c r="AP189" s="123"/>
      <c r="AQ189" s="123"/>
      <c r="AR189" s="123"/>
      <c r="AS189" s="123"/>
      <c r="AT189" s="61"/>
      <c r="AU189" s="123"/>
      <c r="AV189" s="741"/>
      <c r="AW189" s="741"/>
      <c r="AX189" s="108"/>
      <c r="AY189" s="63"/>
      <c r="AZ189" s="125"/>
      <c r="BA189" s="125"/>
      <c r="BB189" s="64"/>
      <c r="BC189" s="63"/>
      <c r="BD189" s="73"/>
      <c r="BE189" s="74"/>
      <c r="BF189" s="75"/>
      <c r="BG189" s="73"/>
      <c r="BH189" s="74"/>
      <c r="BI189" s="74"/>
      <c r="BJ189" s="75"/>
      <c r="BK189" s="74"/>
      <c r="BL189" s="74"/>
      <c r="BM189" s="73"/>
      <c r="BN189" s="74"/>
      <c r="BO189" s="75"/>
      <c r="BP189" s="74"/>
      <c r="BQ189" s="74"/>
      <c r="BR189" s="63"/>
      <c r="BS189" s="108"/>
      <c r="BT189" s="67"/>
      <c r="BU189" s="108"/>
      <c r="BV189" s="108"/>
      <c r="BW189" s="743"/>
      <c r="BX189" s="61"/>
      <c r="BY189" s="108"/>
      <c r="BZ189" s="108"/>
      <c r="CA189" s="108"/>
      <c r="CB189" s="123"/>
      <c r="CC189" s="14"/>
      <c r="CE189" s="12"/>
      <c r="CF189" s="12"/>
      <c r="CG189" s="17"/>
      <c r="CH189" s="181"/>
      <c r="CI189" s="12"/>
      <c r="CJ189" s="181"/>
      <c r="CK189" s="729"/>
      <c r="CL189" s="752"/>
      <c r="CO189" s="18"/>
      <c r="CS189" s="18"/>
      <c r="CT189" s="342"/>
      <c r="CV189" s="181"/>
      <c r="CW189" s="181"/>
      <c r="CX189" s="18"/>
      <c r="CY189" s="247"/>
      <c r="DA189" s="181"/>
      <c r="DB189" s="729"/>
      <c r="DC189" s="17"/>
      <c r="DE189" s="12"/>
      <c r="DG189" s="162"/>
      <c r="DH189" s="181"/>
      <c r="DI189" s="181"/>
      <c r="DJ189" s="181"/>
      <c r="DK189" s="17"/>
      <c r="DO189" s="18"/>
      <c r="DS189" s="163"/>
      <c r="DT189" s="162"/>
      <c r="DX189" s="163"/>
      <c r="DY189" s="162"/>
      <c r="EC189" s="162"/>
      <c r="EF189" s="163"/>
      <c r="EK189" s="163"/>
      <c r="EL189" s="763"/>
      <c r="EM189" s="181"/>
      <c r="EN189" s="181"/>
      <c r="EO189" s="783"/>
      <c r="EP189" s="708">
        <v>750</v>
      </c>
      <c r="EQ189" s="181"/>
      <c r="ER189" s="181"/>
      <c r="ES189" s="181"/>
      <c r="ET189" s="783"/>
      <c r="EU189" s="708"/>
      <c r="EV189" s="181"/>
      <c r="EX189" s="163"/>
      <c r="EY189" s="162"/>
      <c r="FB189" s="163"/>
    </row>
    <row r="190" spans="1:158" ht="21" customHeight="1" thickBot="1" x14ac:dyDescent="0.25">
      <c r="A190" s="1188"/>
      <c r="B190" s="249" t="str">
        <f t="shared" si="10"/>
        <v>Chippewa</v>
      </c>
      <c r="C190" s="249" t="s">
        <v>8</v>
      </c>
      <c r="D190" s="249"/>
      <c r="E190" s="1189"/>
      <c r="F190" s="249" t="s">
        <v>8</v>
      </c>
      <c r="G190" s="773">
        <v>1000</v>
      </c>
      <c r="H190" s="11">
        <f t="shared" si="6"/>
        <v>1000</v>
      </c>
      <c r="I190" s="774">
        <f t="shared" si="7"/>
        <v>0</v>
      </c>
      <c r="P190" s="14"/>
      <c r="T190" s="123"/>
      <c r="U190" s="61"/>
      <c r="V190" s="123"/>
      <c r="W190" s="123"/>
      <c r="X190" s="19"/>
      <c r="Y190" s="123"/>
      <c r="Z190" s="123"/>
      <c r="AA190" s="61"/>
      <c r="AB190" s="123"/>
      <c r="AC190" s="61"/>
      <c r="AD190" s="123"/>
      <c r="AE190" s="123"/>
      <c r="AF190" s="19"/>
      <c r="AG190" s="123"/>
      <c r="AH190" s="123"/>
      <c r="AI190" s="124"/>
      <c r="AJ190" s="124"/>
      <c r="AK190" s="70"/>
      <c r="AL190" s="124"/>
      <c r="AM190" s="123"/>
      <c r="AN190" s="123"/>
      <c r="AO190" s="19"/>
      <c r="AP190" s="123"/>
      <c r="AQ190" s="123"/>
      <c r="AR190" s="123"/>
      <c r="AS190" s="123"/>
      <c r="AT190" s="61"/>
      <c r="AU190" s="123"/>
      <c r="AV190" s="741"/>
      <c r="AW190" s="741"/>
      <c r="AX190" s="108"/>
      <c r="AY190" s="63"/>
      <c r="AZ190" s="125"/>
      <c r="BA190" s="125"/>
      <c r="BB190" s="64"/>
      <c r="BC190" s="63"/>
      <c r="BD190" s="73"/>
      <c r="BE190" s="74"/>
      <c r="BF190" s="75"/>
      <c r="BG190" s="73"/>
      <c r="BH190" s="74"/>
      <c r="BI190" s="74"/>
      <c r="BJ190" s="75"/>
      <c r="BK190" s="74"/>
      <c r="BL190" s="74"/>
      <c r="BM190" s="73"/>
      <c r="BN190" s="74"/>
      <c r="BO190" s="75"/>
      <c r="BP190" s="74"/>
      <c r="BQ190" s="74"/>
      <c r="BR190" s="63"/>
      <c r="BS190" s="108"/>
      <c r="BT190" s="67"/>
      <c r="BU190" s="108"/>
      <c r="BV190" s="108"/>
      <c r="BW190" s="743"/>
      <c r="BX190" s="61"/>
      <c r="BY190" s="108"/>
      <c r="BZ190" s="108"/>
      <c r="CA190" s="108"/>
      <c r="CB190" s="123"/>
      <c r="CC190" s="14"/>
      <c r="CE190" s="12"/>
      <c r="CF190" s="12"/>
      <c r="CG190" s="17"/>
      <c r="CH190" s="181"/>
      <c r="CI190" s="12"/>
      <c r="CJ190" s="181"/>
      <c r="CK190" s="729"/>
      <c r="CL190" s="752"/>
      <c r="CO190" s="18"/>
      <c r="CS190" s="18"/>
      <c r="CT190" s="342"/>
      <c r="CV190" s="181"/>
      <c r="CW190" s="181"/>
      <c r="CX190" s="18"/>
      <c r="CY190" s="247"/>
      <c r="DA190" s="181"/>
      <c r="DB190" s="729"/>
      <c r="DC190" s="17"/>
      <c r="DE190" s="12"/>
      <c r="DG190" s="162"/>
      <c r="DH190" s="181"/>
      <c r="DI190" s="181"/>
      <c r="DJ190" s="181"/>
      <c r="DK190" s="17"/>
      <c r="DO190" s="18"/>
      <c r="DS190" s="163"/>
      <c r="DT190" s="162"/>
      <c r="DX190" s="163"/>
      <c r="DY190" s="162"/>
      <c r="EC190" s="162"/>
      <c r="EF190" s="163"/>
      <c r="EK190" s="163"/>
      <c r="EL190" s="708"/>
      <c r="EM190" s="181"/>
      <c r="EN190" s="181"/>
      <c r="EO190" s="783">
        <v>1000</v>
      </c>
      <c r="EP190" s="708"/>
      <c r="EQ190" s="181"/>
      <c r="ER190" s="181"/>
      <c r="ES190" s="181"/>
      <c r="ET190" s="783"/>
      <c r="EU190" s="708"/>
      <c r="EV190" s="181"/>
      <c r="EX190" s="163"/>
      <c r="EY190" s="162"/>
      <c r="FB190" s="163"/>
    </row>
    <row r="191" spans="1:158" ht="21" customHeight="1" thickBot="1" x14ac:dyDescent="0.25">
      <c r="A191" s="1188"/>
      <c r="B191" s="249" t="str">
        <f t="shared" si="10"/>
        <v>WWW</v>
      </c>
      <c r="C191" s="249" t="s">
        <v>201</v>
      </c>
      <c r="D191" s="249"/>
      <c r="E191" s="1189"/>
      <c r="F191" s="249" t="s">
        <v>201</v>
      </c>
      <c r="G191" s="773">
        <v>300</v>
      </c>
      <c r="H191" s="11">
        <f t="shared" ref="H191:H205" si="11">SUM(O191:FB191)</f>
        <v>300</v>
      </c>
      <c r="I191" s="774">
        <f t="shared" si="7"/>
        <v>0</v>
      </c>
      <c r="P191" s="14"/>
      <c r="T191" s="123"/>
      <c r="U191" s="61"/>
      <c r="V191" s="123"/>
      <c r="W191" s="123"/>
      <c r="X191" s="19"/>
      <c r="Y191" s="123"/>
      <c r="Z191" s="123"/>
      <c r="AA191" s="61"/>
      <c r="AB191" s="123"/>
      <c r="AC191" s="61"/>
      <c r="AD191" s="123"/>
      <c r="AE191" s="123"/>
      <c r="AF191" s="19"/>
      <c r="AG191" s="123"/>
      <c r="AH191" s="123"/>
      <c r="AI191" s="124"/>
      <c r="AJ191" s="124"/>
      <c r="AK191" s="70"/>
      <c r="AL191" s="124"/>
      <c r="AM191" s="123"/>
      <c r="AN191" s="123"/>
      <c r="AO191" s="19"/>
      <c r="AP191" s="123"/>
      <c r="AQ191" s="123"/>
      <c r="AR191" s="123"/>
      <c r="AS191" s="123"/>
      <c r="AT191" s="61"/>
      <c r="AU191" s="123"/>
      <c r="AV191" s="741"/>
      <c r="AW191" s="741"/>
      <c r="AX191" s="108"/>
      <c r="AY191" s="63"/>
      <c r="AZ191" s="125"/>
      <c r="BA191" s="125"/>
      <c r="BB191" s="64"/>
      <c r="BC191" s="63"/>
      <c r="BD191" s="73"/>
      <c r="BE191" s="74"/>
      <c r="BF191" s="75"/>
      <c r="BG191" s="73"/>
      <c r="BH191" s="74"/>
      <c r="BI191" s="74"/>
      <c r="BJ191" s="75"/>
      <c r="BK191" s="74"/>
      <c r="BL191" s="74"/>
      <c r="BM191" s="73"/>
      <c r="BN191" s="74"/>
      <c r="BO191" s="75"/>
      <c r="BP191" s="74"/>
      <c r="BQ191" s="74"/>
      <c r="BR191" s="63"/>
      <c r="BS191" s="108"/>
      <c r="BT191" s="67"/>
      <c r="BU191" s="108"/>
      <c r="BV191" s="108"/>
      <c r="BW191" s="743"/>
      <c r="BX191" s="61"/>
      <c r="BY191" s="108"/>
      <c r="BZ191" s="108"/>
      <c r="CA191" s="108"/>
      <c r="CB191" s="123"/>
      <c r="CC191" s="14"/>
      <c r="CE191" s="12"/>
      <c r="CF191" s="12"/>
      <c r="CG191" s="17"/>
      <c r="CH191" s="181"/>
      <c r="CI191" s="12"/>
      <c r="CJ191" s="181"/>
      <c r="CK191" s="729"/>
      <c r="CL191" s="752"/>
      <c r="CO191" s="18"/>
      <c r="CS191" s="18"/>
      <c r="CT191" s="342"/>
      <c r="CV191" s="181"/>
      <c r="CW191" s="181"/>
      <c r="CX191" s="18"/>
      <c r="CY191" s="247"/>
      <c r="DA191" s="181"/>
      <c r="DB191" s="729"/>
      <c r="DC191" s="17"/>
      <c r="DE191" s="12"/>
      <c r="DG191" s="162"/>
      <c r="DH191" s="181"/>
      <c r="DI191" s="181"/>
      <c r="DJ191" s="181"/>
      <c r="DK191" s="17"/>
      <c r="DO191" s="18"/>
      <c r="DS191" s="163"/>
      <c r="DT191" s="162"/>
      <c r="DX191" s="163"/>
      <c r="DY191" s="162"/>
      <c r="EC191" s="162"/>
      <c r="EF191" s="163"/>
      <c r="EK191" s="163"/>
      <c r="EL191" s="708"/>
      <c r="EM191" s="181"/>
      <c r="EN191" s="181"/>
      <c r="EO191" s="783"/>
      <c r="EP191" s="708">
        <v>300</v>
      </c>
      <c r="EQ191" s="181"/>
      <c r="ER191" s="181"/>
      <c r="ES191" s="181"/>
      <c r="ET191" s="783"/>
      <c r="EU191" s="708"/>
      <c r="EV191" s="181"/>
      <c r="EX191" s="163"/>
      <c r="EY191" s="162"/>
      <c r="FB191" s="163"/>
    </row>
    <row r="192" spans="1:158" ht="21" customHeight="1" thickBot="1" x14ac:dyDescent="0.25">
      <c r="A192" s="1188"/>
      <c r="B192" s="249" t="str">
        <f t="shared" si="10"/>
        <v>USB</v>
      </c>
      <c r="C192" s="249" t="s">
        <v>103</v>
      </c>
      <c r="D192" s="249"/>
      <c r="E192" s="1189"/>
      <c r="F192" s="249" t="s">
        <v>202</v>
      </c>
      <c r="G192" s="773">
        <v>250</v>
      </c>
      <c r="H192" s="11">
        <f t="shared" si="11"/>
        <v>250</v>
      </c>
      <c r="I192" s="774">
        <f t="shared" si="7"/>
        <v>0</v>
      </c>
      <c r="P192" s="14"/>
      <c r="T192" s="123"/>
      <c r="U192" s="61"/>
      <c r="V192" s="123"/>
      <c r="W192" s="123"/>
      <c r="X192" s="19"/>
      <c r="Y192" s="123"/>
      <c r="Z192" s="123"/>
      <c r="AA192" s="61"/>
      <c r="AB192" s="123"/>
      <c r="AC192" s="61"/>
      <c r="AD192" s="123"/>
      <c r="AE192" s="123"/>
      <c r="AF192" s="19"/>
      <c r="AG192" s="123"/>
      <c r="AH192" s="123"/>
      <c r="AI192" s="124"/>
      <c r="AJ192" s="124"/>
      <c r="AK192" s="70"/>
      <c r="AL192" s="124"/>
      <c r="AM192" s="123"/>
      <c r="AN192" s="123"/>
      <c r="AO192" s="19"/>
      <c r="AP192" s="123"/>
      <c r="AQ192" s="123"/>
      <c r="AR192" s="123"/>
      <c r="AS192" s="123"/>
      <c r="AT192" s="61"/>
      <c r="AU192" s="123"/>
      <c r="AV192" s="741"/>
      <c r="AW192" s="741"/>
      <c r="AX192" s="108"/>
      <c r="AY192" s="63"/>
      <c r="AZ192" s="125"/>
      <c r="BA192" s="125"/>
      <c r="BB192" s="64"/>
      <c r="BC192" s="63"/>
      <c r="BD192" s="73"/>
      <c r="BE192" s="74"/>
      <c r="BF192" s="75"/>
      <c r="BG192" s="73"/>
      <c r="BH192" s="74"/>
      <c r="BI192" s="74"/>
      <c r="BJ192" s="75"/>
      <c r="BK192" s="74"/>
      <c r="BL192" s="74"/>
      <c r="BM192" s="73"/>
      <c r="BN192" s="74"/>
      <c r="BO192" s="75"/>
      <c r="BP192" s="74"/>
      <c r="BQ192" s="74"/>
      <c r="BR192" s="63"/>
      <c r="BS192" s="108"/>
      <c r="BT192" s="67"/>
      <c r="BU192" s="108"/>
      <c r="BV192" s="108"/>
      <c r="BW192" s="743"/>
      <c r="BX192" s="61"/>
      <c r="BY192" s="108"/>
      <c r="BZ192" s="108"/>
      <c r="CA192" s="108"/>
      <c r="CB192" s="123"/>
      <c r="CC192" s="14"/>
      <c r="CE192" s="12"/>
      <c r="CF192" s="12"/>
      <c r="CG192" s="17"/>
      <c r="CH192" s="181"/>
      <c r="CI192" s="12"/>
      <c r="CJ192" s="181"/>
      <c r="CK192" s="729"/>
      <c r="CL192" s="752"/>
      <c r="CO192" s="18"/>
      <c r="CS192" s="18"/>
      <c r="CT192" s="342"/>
      <c r="CV192" s="181"/>
      <c r="CW192" s="181"/>
      <c r="CX192" s="18"/>
      <c r="CY192" s="247"/>
      <c r="DA192" s="181"/>
      <c r="DB192" s="729"/>
      <c r="DC192" s="17"/>
      <c r="DE192" s="12"/>
      <c r="DG192" s="162"/>
      <c r="DH192" s="181"/>
      <c r="DI192" s="181"/>
      <c r="DJ192" s="181"/>
      <c r="DK192" s="17"/>
      <c r="DO192" s="18"/>
      <c r="DS192" s="163"/>
      <c r="DT192" s="162"/>
      <c r="DX192" s="163"/>
      <c r="DY192" s="162"/>
      <c r="EC192" s="162"/>
      <c r="EF192" s="163"/>
      <c r="EK192" s="163"/>
      <c r="EL192" s="708"/>
      <c r="EM192" s="181"/>
      <c r="EN192" s="181"/>
      <c r="EO192" s="783">
        <v>250</v>
      </c>
      <c r="EP192" s="708"/>
      <c r="EQ192" s="181"/>
      <c r="ER192" s="181"/>
      <c r="ES192" s="181"/>
      <c r="ET192" s="783"/>
      <c r="EU192" s="708"/>
      <c r="EV192" s="181"/>
      <c r="EX192" s="163"/>
      <c r="EY192" s="162"/>
      <c r="FB192" s="163"/>
    </row>
    <row r="193" spans="1:158" ht="21" customHeight="1" thickBot="1" x14ac:dyDescent="0.25">
      <c r="A193" s="1186" t="s">
        <v>241</v>
      </c>
      <c r="B193" s="249" t="s">
        <v>242</v>
      </c>
      <c r="C193" s="249" t="s">
        <v>144</v>
      </c>
      <c r="D193" s="249"/>
      <c r="E193" s="1187">
        <v>46357</v>
      </c>
      <c r="F193" s="249" t="s">
        <v>74</v>
      </c>
      <c r="G193" s="773">
        <v>3789</v>
      </c>
      <c r="H193" s="11">
        <f t="shared" si="11"/>
        <v>3789</v>
      </c>
      <c r="I193" s="774">
        <f t="shared" si="7"/>
        <v>0</v>
      </c>
      <c r="P193" s="14"/>
      <c r="T193" s="123"/>
      <c r="U193" s="61"/>
      <c r="V193" s="123"/>
      <c r="W193" s="123"/>
      <c r="X193" s="19"/>
      <c r="Y193" s="123"/>
      <c r="Z193" s="123"/>
      <c r="AA193" s="61"/>
      <c r="AB193" s="123"/>
      <c r="AC193" s="61"/>
      <c r="AD193" s="123"/>
      <c r="AE193" s="123"/>
      <c r="AF193" s="19"/>
      <c r="AG193" s="123"/>
      <c r="AH193" s="123"/>
      <c r="AI193" s="124"/>
      <c r="AJ193" s="124"/>
      <c r="AK193" s="70"/>
      <c r="AL193" s="124"/>
      <c r="AM193" s="123"/>
      <c r="AN193" s="123"/>
      <c r="AO193" s="19"/>
      <c r="AP193" s="123"/>
      <c r="AQ193" s="123"/>
      <c r="AR193" s="123"/>
      <c r="AS193" s="123"/>
      <c r="AT193" s="61"/>
      <c r="AU193" s="123"/>
      <c r="AV193" s="741"/>
      <c r="AW193" s="741"/>
      <c r="AX193" s="108"/>
      <c r="AY193" s="63"/>
      <c r="AZ193" s="125"/>
      <c r="BA193" s="125"/>
      <c r="BB193" s="64"/>
      <c r="BC193" s="63"/>
      <c r="BD193" s="73"/>
      <c r="BE193" s="74"/>
      <c r="BF193" s="75"/>
      <c r="BG193" s="73"/>
      <c r="BH193" s="74"/>
      <c r="BI193" s="74"/>
      <c r="BJ193" s="75"/>
      <c r="BK193" s="74"/>
      <c r="BL193" s="74"/>
      <c r="BM193" s="73"/>
      <c r="BN193" s="74"/>
      <c r="BO193" s="75"/>
      <c r="BP193" s="74"/>
      <c r="BQ193" s="74"/>
      <c r="BR193" s="63"/>
      <c r="BS193" s="108"/>
      <c r="BT193" s="67"/>
      <c r="BU193" s="108"/>
      <c r="BV193" s="108"/>
      <c r="BW193" s="743"/>
      <c r="BX193" s="61"/>
      <c r="BY193" s="108"/>
      <c r="BZ193" s="108"/>
      <c r="CA193" s="108"/>
      <c r="CB193" s="123"/>
      <c r="CC193" s="14"/>
      <c r="CE193" s="12"/>
      <c r="CF193" s="12"/>
      <c r="CG193" s="17"/>
      <c r="CH193" s="181"/>
      <c r="CI193" s="12"/>
      <c r="CJ193" s="181"/>
      <c r="CK193" s="729"/>
      <c r="CL193" s="752"/>
      <c r="CO193" s="18"/>
      <c r="CS193" s="18"/>
      <c r="CT193" s="342"/>
      <c r="CV193" s="181"/>
      <c r="CW193" s="181"/>
      <c r="CX193" s="18"/>
      <c r="CY193" s="247"/>
      <c r="DA193" s="181"/>
      <c r="DB193" s="729"/>
      <c r="DC193" s="17"/>
      <c r="DE193" s="12"/>
      <c r="DG193" s="162"/>
      <c r="DH193" s="181"/>
      <c r="DI193" s="181"/>
      <c r="DJ193" s="181"/>
      <c r="DK193" s="17"/>
      <c r="DO193" s="18"/>
      <c r="DS193" s="163"/>
      <c r="DT193" s="162"/>
      <c r="DX193" s="163"/>
      <c r="DY193" s="162"/>
      <c r="EC193" s="175"/>
      <c r="ED193" s="137"/>
      <c r="EE193" s="137"/>
      <c r="EF193" s="174"/>
      <c r="EK193" s="163"/>
      <c r="EL193" s="708"/>
      <c r="EM193" s="181"/>
      <c r="EN193" s="181"/>
      <c r="EO193" s="783"/>
      <c r="EP193" s="708">
        <v>1200</v>
      </c>
      <c r="EQ193" s="181">
        <v>2589</v>
      </c>
      <c r="ER193" s="181"/>
      <c r="ES193" s="181"/>
      <c r="ET193" s="783"/>
      <c r="EU193" s="708"/>
      <c r="EV193" s="181"/>
      <c r="EX193" s="163"/>
      <c r="EY193" s="162"/>
      <c r="FB193" s="163"/>
    </row>
    <row r="194" spans="1:158" ht="21" customHeight="1" thickBot="1" x14ac:dyDescent="0.25">
      <c r="A194" s="1186"/>
      <c r="B194" s="249" t="s">
        <v>243</v>
      </c>
      <c r="C194" s="249" t="s">
        <v>148</v>
      </c>
      <c r="D194" s="249"/>
      <c r="E194" s="1187"/>
      <c r="F194" s="249" t="s">
        <v>74</v>
      </c>
      <c r="G194" s="773">
        <v>1995</v>
      </c>
      <c r="H194" s="11">
        <f t="shared" si="11"/>
        <v>1995</v>
      </c>
      <c r="I194" s="774">
        <f t="shared" si="7"/>
        <v>0</v>
      </c>
      <c r="P194" s="14"/>
      <c r="T194" s="123"/>
      <c r="U194" s="61"/>
      <c r="V194" s="123"/>
      <c r="W194" s="123"/>
      <c r="X194" s="19"/>
      <c r="Y194" s="123"/>
      <c r="Z194" s="123"/>
      <c r="AA194" s="61"/>
      <c r="AB194" s="123"/>
      <c r="AC194" s="61"/>
      <c r="AD194" s="123"/>
      <c r="AE194" s="123"/>
      <c r="AF194" s="19"/>
      <c r="AG194" s="123"/>
      <c r="AH194" s="123"/>
      <c r="AI194" s="124"/>
      <c r="AJ194" s="124"/>
      <c r="AK194" s="70"/>
      <c r="AL194" s="124"/>
      <c r="AM194" s="123"/>
      <c r="AN194" s="123"/>
      <c r="AO194" s="19"/>
      <c r="AP194" s="123"/>
      <c r="AQ194" s="123"/>
      <c r="AR194" s="123"/>
      <c r="AS194" s="123"/>
      <c r="AT194" s="61"/>
      <c r="AU194" s="123"/>
      <c r="AV194" s="741"/>
      <c r="AW194" s="741"/>
      <c r="AX194" s="108"/>
      <c r="AY194" s="63"/>
      <c r="AZ194" s="125"/>
      <c r="BA194" s="125"/>
      <c r="BB194" s="64"/>
      <c r="BC194" s="63"/>
      <c r="BD194" s="73"/>
      <c r="BE194" s="74"/>
      <c r="BF194" s="75"/>
      <c r="BG194" s="73"/>
      <c r="BH194" s="74"/>
      <c r="BI194" s="74"/>
      <c r="BJ194" s="75"/>
      <c r="BK194" s="74"/>
      <c r="BL194" s="74"/>
      <c r="BM194" s="73"/>
      <c r="BN194" s="74"/>
      <c r="BO194" s="75"/>
      <c r="BP194" s="74"/>
      <c r="BQ194" s="74"/>
      <c r="BR194" s="63"/>
      <c r="BS194" s="108"/>
      <c r="BT194" s="67"/>
      <c r="BU194" s="108"/>
      <c r="BV194" s="108"/>
      <c r="BW194" s="743"/>
      <c r="BX194" s="61"/>
      <c r="BY194" s="108"/>
      <c r="BZ194" s="108"/>
      <c r="CA194" s="108"/>
      <c r="CB194" s="123"/>
      <c r="CC194" s="14"/>
      <c r="CE194" s="12"/>
      <c r="CF194" s="12"/>
      <c r="CG194" s="17"/>
      <c r="CH194" s="181"/>
      <c r="CI194" s="12"/>
      <c r="CJ194" s="181"/>
      <c r="CK194" s="729"/>
      <c r="CL194" s="752"/>
      <c r="CO194" s="18"/>
      <c r="CS194" s="18"/>
      <c r="CT194" s="342"/>
      <c r="CV194" s="181"/>
      <c r="CW194" s="181"/>
      <c r="CX194" s="18"/>
      <c r="CY194" s="247"/>
      <c r="DA194" s="181"/>
      <c r="DB194" s="729"/>
      <c r="DC194" s="17"/>
      <c r="DE194" s="12"/>
      <c r="DG194" s="162"/>
      <c r="DH194" s="181"/>
      <c r="DI194" s="181"/>
      <c r="DJ194" s="181"/>
      <c r="DK194" s="17"/>
      <c r="DO194" s="18"/>
      <c r="DS194" s="163"/>
      <c r="DT194" s="162"/>
      <c r="DX194" s="163"/>
      <c r="DY194" s="162"/>
      <c r="EC194" s="175"/>
      <c r="ED194" s="137"/>
      <c r="EE194" s="137"/>
      <c r="EF194" s="174"/>
      <c r="EK194" s="163"/>
      <c r="EL194" s="708"/>
      <c r="EM194" s="181"/>
      <c r="EN194" s="181"/>
      <c r="EO194" s="783"/>
      <c r="EP194" s="708"/>
      <c r="EQ194" s="181">
        <v>1700</v>
      </c>
      <c r="ER194" s="181">
        <v>295</v>
      </c>
      <c r="ES194" s="181"/>
      <c r="ET194" s="783"/>
      <c r="EU194" s="708"/>
      <c r="EV194" s="181"/>
      <c r="EX194" s="163"/>
      <c r="EY194" s="162"/>
      <c r="FB194" s="163"/>
    </row>
    <row r="195" spans="1:158" ht="21" customHeight="1" thickBot="1" x14ac:dyDescent="0.25">
      <c r="A195" s="1186"/>
      <c r="B195" s="249" t="s">
        <v>244</v>
      </c>
      <c r="C195" s="249" t="s">
        <v>167</v>
      </c>
      <c r="D195" s="249"/>
      <c r="E195" s="1187"/>
      <c r="F195" s="249" t="s">
        <v>74</v>
      </c>
      <c r="G195" s="773">
        <v>1100</v>
      </c>
      <c r="H195" s="11">
        <f t="shared" si="11"/>
        <v>1100</v>
      </c>
      <c r="I195" s="774">
        <f t="shared" si="7"/>
        <v>0</v>
      </c>
      <c r="P195" s="14"/>
      <c r="T195" s="123"/>
      <c r="U195" s="61"/>
      <c r="V195" s="123"/>
      <c r="W195" s="123"/>
      <c r="X195" s="19"/>
      <c r="Y195" s="123"/>
      <c r="Z195" s="123"/>
      <c r="AA195" s="61"/>
      <c r="AB195" s="123"/>
      <c r="AC195" s="61"/>
      <c r="AD195" s="123"/>
      <c r="AE195" s="123"/>
      <c r="AF195" s="19"/>
      <c r="AG195" s="123"/>
      <c r="AH195" s="123"/>
      <c r="AI195" s="124"/>
      <c r="AJ195" s="124"/>
      <c r="AK195" s="70"/>
      <c r="AL195" s="124"/>
      <c r="AM195" s="123"/>
      <c r="AN195" s="123"/>
      <c r="AO195" s="19"/>
      <c r="AP195" s="123"/>
      <c r="AQ195" s="123"/>
      <c r="AR195" s="123"/>
      <c r="AS195" s="123"/>
      <c r="AT195" s="61"/>
      <c r="AU195" s="123"/>
      <c r="AV195" s="741"/>
      <c r="AW195" s="741"/>
      <c r="AX195" s="108"/>
      <c r="AY195" s="63"/>
      <c r="AZ195" s="125"/>
      <c r="BA195" s="125"/>
      <c r="BB195" s="64"/>
      <c r="BC195" s="63"/>
      <c r="BD195" s="73"/>
      <c r="BE195" s="74"/>
      <c r="BF195" s="75"/>
      <c r="BG195" s="73"/>
      <c r="BH195" s="74"/>
      <c r="BI195" s="74"/>
      <c r="BJ195" s="75"/>
      <c r="BK195" s="74"/>
      <c r="BL195" s="74"/>
      <c r="BM195" s="73"/>
      <c r="BN195" s="74"/>
      <c r="BO195" s="75"/>
      <c r="BP195" s="74"/>
      <c r="BQ195" s="74"/>
      <c r="BR195" s="63"/>
      <c r="BS195" s="108"/>
      <c r="BT195" s="67"/>
      <c r="BU195" s="108"/>
      <c r="BV195" s="108"/>
      <c r="BW195" s="743"/>
      <c r="BX195" s="61"/>
      <c r="BY195" s="108"/>
      <c r="BZ195" s="108"/>
      <c r="CA195" s="108"/>
      <c r="CB195" s="123"/>
      <c r="CC195" s="14"/>
      <c r="CE195" s="12"/>
      <c r="CF195" s="12"/>
      <c r="CG195" s="17"/>
      <c r="CH195" s="181"/>
      <c r="CI195" s="12"/>
      <c r="CJ195" s="181"/>
      <c r="CK195" s="729"/>
      <c r="CL195" s="752"/>
      <c r="CO195" s="18"/>
      <c r="CS195" s="18"/>
      <c r="CT195" s="342"/>
      <c r="CV195" s="181"/>
      <c r="CW195" s="181"/>
      <c r="CX195" s="18"/>
      <c r="CY195" s="247"/>
      <c r="DA195" s="181"/>
      <c r="DB195" s="729"/>
      <c r="DC195" s="17"/>
      <c r="DE195" s="12"/>
      <c r="DG195" s="162"/>
      <c r="DH195" s="181"/>
      <c r="DI195" s="181"/>
      <c r="DJ195" s="181"/>
      <c r="DK195" s="17"/>
      <c r="DO195" s="18"/>
      <c r="DS195" s="163"/>
      <c r="DT195" s="162"/>
      <c r="DX195" s="163"/>
      <c r="DY195" s="162"/>
      <c r="EC195" s="175"/>
      <c r="ED195" s="137"/>
      <c r="EE195" s="137"/>
      <c r="EF195" s="176"/>
      <c r="EK195" s="163"/>
      <c r="EL195" s="708"/>
      <c r="EM195" s="181"/>
      <c r="EN195" s="181"/>
      <c r="EO195" s="783"/>
      <c r="EP195" s="708"/>
      <c r="EQ195" s="181"/>
      <c r="ER195" s="181">
        <v>1100</v>
      </c>
      <c r="ES195" s="181"/>
      <c r="ET195" s="783"/>
      <c r="EU195" s="708"/>
      <c r="EV195" s="181"/>
      <c r="EX195" s="163"/>
      <c r="EY195" s="162"/>
      <c r="FB195" s="163"/>
    </row>
    <row r="196" spans="1:158" ht="21" customHeight="1" thickBot="1" x14ac:dyDescent="0.25">
      <c r="A196" s="1186"/>
      <c r="B196" s="249" t="s">
        <v>245</v>
      </c>
      <c r="C196" s="249" t="s">
        <v>171</v>
      </c>
      <c r="D196" s="249"/>
      <c r="E196" s="1187"/>
      <c r="F196" s="249" t="s">
        <v>74</v>
      </c>
      <c r="G196" s="773">
        <v>1232</v>
      </c>
      <c r="H196" s="11">
        <f t="shared" si="11"/>
        <v>1232</v>
      </c>
      <c r="I196" s="774">
        <f t="shared" si="7"/>
        <v>0</v>
      </c>
      <c r="P196" s="14"/>
      <c r="T196" s="123"/>
      <c r="U196" s="61"/>
      <c r="V196" s="123"/>
      <c r="W196" s="123"/>
      <c r="X196" s="19"/>
      <c r="Y196" s="123"/>
      <c r="Z196" s="123"/>
      <c r="AA196" s="61"/>
      <c r="AB196" s="123"/>
      <c r="AC196" s="61"/>
      <c r="AD196" s="123"/>
      <c r="AE196" s="123"/>
      <c r="AF196" s="19"/>
      <c r="AG196" s="123"/>
      <c r="AH196" s="123"/>
      <c r="AI196" s="124"/>
      <c r="AJ196" s="124"/>
      <c r="AK196" s="70"/>
      <c r="AL196" s="124"/>
      <c r="AM196" s="123"/>
      <c r="AN196" s="123"/>
      <c r="AO196" s="19"/>
      <c r="AP196" s="123"/>
      <c r="AQ196" s="123"/>
      <c r="AR196" s="123"/>
      <c r="AS196" s="123"/>
      <c r="AT196" s="61"/>
      <c r="AU196" s="123"/>
      <c r="AV196" s="741"/>
      <c r="AW196" s="741"/>
      <c r="AX196" s="108"/>
      <c r="AY196" s="63"/>
      <c r="AZ196" s="125"/>
      <c r="BA196" s="125"/>
      <c r="BB196" s="64"/>
      <c r="BC196" s="63"/>
      <c r="BD196" s="73"/>
      <c r="BE196" s="74"/>
      <c r="BF196" s="75"/>
      <c r="BG196" s="73"/>
      <c r="BH196" s="74"/>
      <c r="BI196" s="74"/>
      <c r="BJ196" s="75"/>
      <c r="BK196" s="74"/>
      <c r="BL196" s="74"/>
      <c r="BM196" s="73"/>
      <c r="BN196" s="74"/>
      <c r="BO196" s="75"/>
      <c r="BP196" s="74"/>
      <c r="BQ196" s="74"/>
      <c r="BR196" s="63"/>
      <c r="BS196" s="108"/>
      <c r="BT196" s="67"/>
      <c r="BU196" s="108"/>
      <c r="BV196" s="108"/>
      <c r="BW196" s="743"/>
      <c r="BX196" s="61"/>
      <c r="BY196" s="108"/>
      <c r="BZ196" s="108"/>
      <c r="CA196" s="108"/>
      <c r="CB196" s="123"/>
      <c r="CC196" s="14"/>
      <c r="CE196" s="12"/>
      <c r="CF196" s="12"/>
      <c r="CG196" s="17"/>
      <c r="CH196" s="181"/>
      <c r="CI196" s="12"/>
      <c r="CJ196" s="181"/>
      <c r="CK196" s="729"/>
      <c r="CL196" s="752"/>
      <c r="CO196" s="18"/>
      <c r="CS196" s="18"/>
      <c r="CT196" s="342"/>
      <c r="CV196" s="181"/>
      <c r="CW196" s="181"/>
      <c r="CX196" s="18"/>
      <c r="CY196" s="247"/>
      <c r="DA196" s="181"/>
      <c r="DB196" s="729"/>
      <c r="DC196" s="17"/>
      <c r="DE196" s="12"/>
      <c r="DG196" s="162"/>
      <c r="DH196" s="181"/>
      <c r="DI196" s="181"/>
      <c r="DJ196" s="181"/>
      <c r="DK196" s="17"/>
      <c r="DO196" s="18"/>
      <c r="DS196" s="163"/>
      <c r="DT196" s="162"/>
      <c r="DX196" s="163"/>
      <c r="DY196" s="162"/>
      <c r="EC196" s="175"/>
      <c r="ED196" s="137"/>
      <c r="EE196" s="137"/>
      <c r="EF196" s="176"/>
      <c r="EK196" s="163"/>
      <c r="EL196" s="708"/>
      <c r="EM196" s="181"/>
      <c r="EN196" s="181"/>
      <c r="EO196" s="783"/>
      <c r="EP196" s="708"/>
      <c r="EQ196" s="181"/>
      <c r="ER196" s="181">
        <v>1232</v>
      </c>
      <c r="ES196" s="181"/>
      <c r="ET196" s="783"/>
      <c r="EU196" s="708"/>
      <c r="EV196" s="181"/>
      <c r="EX196" s="163"/>
      <c r="EY196" s="162"/>
      <c r="FB196" s="163"/>
    </row>
    <row r="197" spans="1:158" ht="21" customHeight="1" thickBot="1" x14ac:dyDescent="0.25">
      <c r="A197" s="1186"/>
      <c r="B197" s="249" t="s">
        <v>230</v>
      </c>
      <c r="C197" s="249" t="s">
        <v>95</v>
      </c>
      <c r="D197" s="249"/>
      <c r="E197" s="1187"/>
      <c r="F197" s="249" t="s">
        <v>74</v>
      </c>
      <c r="G197" s="773">
        <v>600</v>
      </c>
      <c r="H197" s="11">
        <f t="shared" si="11"/>
        <v>600</v>
      </c>
      <c r="I197" s="774">
        <f t="shared" si="7"/>
        <v>0</v>
      </c>
      <c r="P197" s="14"/>
      <c r="T197" s="123"/>
      <c r="U197" s="61"/>
      <c r="V197" s="123"/>
      <c r="W197" s="123"/>
      <c r="X197" s="19"/>
      <c r="Y197" s="123"/>
      <c r="Z197" s="123"/>
      <c r="AA197" s="61"/>
      <c r="AB197" s="123"/>
      <c r="AC197" s="61"/>
      <c r="AD197" s="123"/>
      <c r="AE197" s="123"/>
      <c r="AF197" s="19"/>
      <c r="AG197" s="123"/>
      <c r="AH197" s="123"/>
      <c r="AI197" s="124"/>
      <c r="AJ197" s="124"/>
      <c r="AK197" s="70"/>
      <c r="AL197" s="124"/>
      <c r="AM197" s="123"/>
      <c r="AN197" s="123"/>
      <c r="AO197" s="19"/>
      <c r="AP197" s="123"/>
      <c r="AQ197" s="123"/>
      <c r="AR197" s="123"/>
      <c r="AS197" s="123"/>
      <c r="AT197" s="61"/>
      <c r="AU197" s="123"/>
      <c r="AV197" s="741"/>
      <c r="AW197" s="741"/>
      <c r="AX197" s="108"/>
      <c r="AY197" s="63"/>
      <c r="AZ197" s="125"/>
      <c r="BA197" s="125"/>
      <c r="BB197" s="64"/>
      <c r="BC197" s="63"/>
      <c r="BD197" s="73"/>
      <c r="BE197" s="74"/>
      <c r="BF197" s="75"/>
      <c r="BG197" s="73"/>
      <c r="BH197" s="74"/>
      <c r="BI197" s="74"/>
      <c r="BJ197" s="75"/>
      <c r="BK197" s="74"/>
      <c r="BL197" s="74"/>
      <c r="BM197" s="73"/>
      <c r="BN197" s="74"/>
      <c r="BO197" s="75"/>
      <c r="BP197" s="74"/>
      <c r="BQ197" s="74"/>
      <c r="BR197" s="63"/>
      <c r="BS197" s="108"/>
      <c r="BT197" s="67"/>
      <c r="BU197" s="108"/>
      <c r="BV197" s="108"/>
      <c r="BW197" s="743"/>
      <c r="BX197" s="61"/>
      <c r="BY197" s="108"/>
      <c r="BZ197" s="108"/>
      <c r="CA197" s="108"/>
      <c r="CB197" s="123"/>
      <c r="CC197" s="14"/>
      <c r="CE197" s="12"/>
      <c r="CF197" s="12"/>
      <c r="CG197" s="17"/>
      <c r="CH197" s="181"/>
      <c r="CI197" s="12"/>
      <c r="CJ197" s="181"/>
      <c r="CK197" s="729"/>
      <c r="CL197" s="752"/>
      <c r="CO197" s="18"/>
      <c r="CS197" s="18"/>
      <c r="CT197" s="342"/>
      <c r="CV197" s="181"/>
      <c r="CW197" s="181"/>
      <c r="CX197" s="18"/>
      <c r="CY197" s="247"/>
      <c r="DA197" s="181"/>
      <c r="DB197" s="729"/>
      <c r="DC197" s="17"/>
      <c r="DE197" s="12"/>
      <c r="DG197" s="162"/>
      <c r="DH197" s="181"/>
      <c r="DI197" s="181"/>
      <c r="DJ197" s="181"/>
      <c r="DK197" s="17"/>
      <c r="DO197" s="18"/>
      <c r="DS197" s="163"/>
      <c r="DT197" s="162"/>
      <c r="DX197" s="163"/>
      <c r="DY197" s="162"/>
      <c r="EC197" s="175"/>
      <c r="ED197" s="137"/>
      <c r="EE197" s="137"/>
      <c r="EF197" s="176"/>
      <c r="EK197" s="163"/>
      <c r="EL197" s="708"/>
      <c r="EM197" s="181"/>
      <c r="EN197" s="181"/>
      <c r="EO197" s="783"/>
      <c r="EP197" s="708"/>
      <c r="EQ197" s="181"/>
      <c r="ER197" s="181">
        <v>600</v>
      </c>
      <c r="ES197" s="181"/>
      <c r="ET197" s="783"/>
      <c r="EU197" s="708"/>
      <c r="EV197" s="181"/>
      <c r="EX197" s="163"/>
      <c r="EY197" s="162"/>
      <c r="FB197" s="163"/>
    </row>
    <row r="198" spans="1:158" ht="21" customHeight="1" thickBot="1" x14ac:dyDescent="0.25">
      <c r="A198" s="1186"/>
      <c r="B198" s="249" t="s">
        <v>246</v>
      </c>
      <c r="C198" s="249" t="s">
        <v>213</v>
      </c>
      <c r="D198" s="249"/>
      <c r="E198" s="1187"/>
      <c r="F198" s="249" t="s">
        <v>74</v>
      </c>
      <c r="G198" s="773">
        <v>1098</v>
      </c>
      <c r="H198" s="11">
        <f t="shared" si="11"/>
        <v>1098</v>
      </c>
      <c r="I198" s="774">
        <f t="shared" si="7"/>
        <v>0</v>
      </c>
      <c r="P198" s="14"/>
      <c r="T198" s="123"/>
      <c r="U198" s="61"/>
      <c r="V198" s="123"/>
      <c r="W198" s="123"/>
      <c r="X198" s="19"/>
      <c r="Y198" s="123"/>
      <c r="Z198" s="123"/>
      <c r="AA198" s="61"/>
      <c r="AB198" s="123"/>
      <c r="AC198" s="61"/>
      <c r="AD198" s="123"/>
      <c r="AE198" s="123"/>
      <c r="AF198" s="19"/>
      <c r="AG198" s="123"/>
      <c r="AH198" s="123"/>
      <c r="AI198" s="124"/>
      <c r="AJ198" s="124"/>
      <c r="AK198" s="70"/>
      <c r="AL198" s="124"/>
      <c r="AM198" s="123"/>
      <c r="AN198" s="123"/>
      <c r="AO198" s="19"/>
      <c r="AP198" s="123"/>
      <c r="AQ198" s="123"/>
      <c r="AR198" s="123"/>
      <c r="AS198" s="123"/>
      <c r="AT198" s="61"/>
      <c r="AU198" s="123"/>
      <c r="AV198" s="741"/>
      <c r="AW198" s="741"/>
      <c r="AX198" s="108"/>
      <c r="AY198" s="63"/>
      <c r="AZ198" s="125"/>
      <c r="BA198" s="125"/>
      <c r="BB198" s="64"/>
      <c r="BC198" s="63"/>
      <c r="BD198" s="73"/>
      <c r="BE198" s="74"/>
      <c r="BF198" s="75"/>
      <c r="BG198" s="73"/>
      <c r="BH198" s="74"/>
      <c r="BI198" s="74"/>
      <c r="BJ198" s="75"/>
      <c r="BK198" s="74"/>
      <c r="BL198" s="74"/>
      <c r="BM198" s="73"/>
      <c r="BN198" s="74"/>
      <c r="BO198" s="75"/>
      <c r="BP198" s="74"/>
      <c r="BQ198" s="74"/>
      <c r="BR198" s="63"/>
      <c r="BS198" s="108"/>
      <c r="BT198" s="67"/>
      <c r="BU198" s="108"/>
      <c r="BV198" s="108"/>
      <c r="BW198" s="743"/>
      <c r="BX198" s="61"/>
      <c r="BY198" s="108"/>
      <c r="BZ198" s="108"/>
      <c r="CA198" s="108"/>
      <c r="CB198" s="123"/>
      <c r="CC198" s="14"/>
      <c r="CE198" s="12"/>
      <c r="CF198" s="12"/>
      <c r="CG198" s="17"/>
      <c r="CH198" s="181"/>
      <c r="CI198" s="12"/>
      <c r="CJ198" s="181"/>
      <c r="CK198" s="729"/>
      <c r="CL198" s="752"/>
      <c r="CO198" s="18"/>
      <c r="CS198" s="18"/>
      <c r="CT198" s="342"/>
      <c r="CV198" s="181"/>
      <c r="CW198" s="181"/>
      <c r="CX198" s="18"/>
      <c r="CY198" s="247"/>
      <c r="DA198" s="181"/>
      <c r="DB198" s="729"/>
      <c r="DC198" s="17"/>
      <c r="DE198" s="12"/>
      <c r="DG198" s="162"/>
      <c r="DH198" s="181"/>
      <c r="DI198" s="181"/>
      <c r="DJ198" s="181"/>
      <c r="DK198" s="17"/>
      <c r="DO198" s="18"/>
      <c r="DS198" s="163"/>
      <c r="DT198" s="162"/>
      <c r="DX198" s="163"/>
      <c r="DY198" s="162"/>
      <c r="EC198" s="162"/>
      <c r="EF198" s="176"/>
      <c r="EK198" s="163"/>
      <c r="EL198" s="708"/>
      <c r="EM198" s="181"/>
      <c r="EN198" s="181"/>
      <c r="EO198" s="783"/>
      <c r="EP198" s="708"/>
      <c r="EQ198" s="181"/>
      <c r="ER198" s="181">
        <v>1023</v>
      </c>
      <c r="ES198" s="181">
        <v>75</v>
      </c>
      <c r="ET198" s="783"/>
      <c r="EU198" s="708"/>
      <c r="EV198" s="181"/>
      <c r="EX198" s="163"/>
      <c r="EY198" s="162"/>
      <c r="FB198" s="163"/>
    </row>
    <row r="199" spans="1:158" ht="21" customHeight="1" thickBot="1" x14ac:dyDescent="0.25">
      <c r="A199" s="1186"/>
      <c r="B199" s="249" t="s">
        <v>247</v>
      </c>
      <c r="C199" s="249" t="s">
        <v>215</v>
      </c>
      <c r="D199" s="249"/>
      <c r="E199" s="1187"/>
      <c r="F199" s="249" t="s">
        <v>74</v>
      </c>
      <c r="G199" s="773">
        <v>1373</v>
      </c>
      <c r="H199" s="11">
        <f t="shared" si="11"/>
        <v>1373</v>
      </c>
      <c r="I199" s="774">
        <f t="shared" si="7"/>
        <v>0</v>
      </c>
      <c r="P199" s="14"/>
      <c r="T199" s="123"/>
      <c r="U199" s="61"/>
      <c r="V199" s="123"/>
      <c r="W199" s="123"/>
      <c r="X199" s="19"/>
      <c r="Y199" s="123"/>
      <c r="Z199" s="123"/>
      <c r="AA199" s="61"/>
      <c r="AB199" s="123"/>
      <c r="AC199" s="61"/>
      <c r="AD199" s="123"/>
      <c r="AE199" s="123"/>
      <c r="AF199" s="19"/>
      <c r="AG199" s="123"/>
      <c r="AH199" s="123"/>
      <c r="AI199" s="124"/>
      <c r="AJ199" s="124"/>
      <c r="AK199" s="70"/>
      <c r="AL199" s="124"/>
      <c r="AM199" s="123"/>
      <c r="AN199" s="123"/>
      <c r="AO199" s="19"/>
      <c r="AP199" s="123"/>
      <c r="AQ199" s="123"/>
      <c r="AR199" s="123"/>
      <c r="AS199" s="123"/>
      <c r="AT199" s="61"/>
      <c r="AU199" s="123"/>
      <c r="AV199" s="741"/>
      <c r="AW199" s="741"/>
      <c r="AX199" s="108"/>
      <c r="AY199" s="63"/>
      <c r="AZ199" s="125"/>
      <c r="BA199" s="125"/>
      <c r="BB199" s="64"/>
      <c r="BC199" s="63"/>
      <c r="BD199" s="73"/>
      <c r="BE199" s="74"/>
      <c r="BF199" s="75"/>
      <c r="BG199" s="73"/>
      <c r="BH199" s="74"/>
      <c r="BI199" s="74"/>
      <c r="BJ199" s="75"/>
      <c r="BK199" s="74"/>
      <c r="BL199" s="74"/>
      <c r="BM199" s="73"/>
      <c r="BN199" s="74"/>
      <c r="BO199" s="75"/>
      <c r="BP199" s="74"/>
      <c r="BQ199" s="74"/>
      <c r="BR199" s="63"/>
      <c r="BS199" s="108"/>
      <c r="BT199" s="67"/>
      <c r="BU199" s="108"/>
      <c r="BV199" s="108"/>
      <c r="BW199" s="743"/>
      <c r="BX199" s="61"/>
      <c r="BY199" s="108"/>
      <c r="BZ199" s="108"/>
      <c r="CA199" s="108"/>
      <c r="CB199" s="123"/>
      <c r="CC199" s="14"/>
      <c r="CE199" s="12"/>
      <c r="CF199" s="12"/>
      <c r="CG199" s="17"/>
      <c r="CH199" s="181"/>
      <c r="CI199" s="12"/>
      <c r="CJ199" s="181"/>
      <c r="CK199" s="729"/>
      <c r="CL199" s="752"/>
      <c r="CO199" s="18"/>
      <c r="CS199" s="18"/>
      <c r="CT199" s="342"/>
      <c r="CV199" s="181"/>
      <c r="CW199" s="181"/>
      <c r="CX199" s="18"/>
      <c r="CY199" s="247"/>
      <c r="DA199" s="181"/>
      <c r="DB199" s="729"/>
      <c r="DC199" s="17"/>
      <c r="DE199" s="12"/>
      <c r="DG199" s="162"/>
      <c r="DH199" s="181"/>
      <c r="DI199" s="181"/>
      <c r="DJ199" s="181"/>
      <c r="DK199" s="17"/>
      <c r="DO199" s="18"/>
      <c r="DS199" s="163"/>
      <c r="DT199" s="162"/>
      <c r="DX199" s="163"/>
      <c r="DY199" s="162"/>
      <c r="EC199" s="162"/>
      <c r="EF199" s="176"/>
      <c r="EK199" s="163"/>
      <c r="EL199" s="708"/>
      <c r="EM199" s="181"/>
      <c r="EN199" s="181"/>
      <c r="EO199" s="783"/>
      <c r="EP199" s="708"/>
      <c r="EQ199" s="181"/>
      <c r="ER199" s="181"/>
      <c r="ES199" s="181">
        <v>1373</v>
      </c>
      <c r="ET199" s="783"/>
      <c r="EU199" s="708"/>
      <c r="EV199" s="181"/>
      <c r="EX199" s="163"/>
      <c r="EY199" s="162"/>
      <c r="FB199" s="163"/>
    </row>
    <row r="200" spans="1:158" ht="21" customHeight="1" thickBot="1" x14ac:dyDescent="0.25">
      <c r="A200" s="1186" t="s">
        <v>207</v>
      </c>
      <c r="B200" s="249">
        <f t="shared" ref="B200:B205" si="12">+B187</f>
        <v>0</v>
      </c>
      <c r="C200" s="249" t="s">
        <v>223</v>
      </c>
      <c r="D200" s="249"/>
      <c r="E200" s="1187">
        <f>+E193</f>
        <v>46357</v>
      </c>
      <c r="F200" s="249" t="s">
        <v>224</v>
      </c>
      <c r="G200" s="773"/>
      <c r="H200" s="11"/>
      <c r="I200" s="774">
        <f t="shared" si="7"/>
        <v>0</v>
      </c>
      <c r="P200" s="14"/>
      <c r="T200" s="123"/>
      <c r="U200" s="61"/>
      <c r="V200" s="123"/>
      <c r="W200" s="123"/>
      <c r="X200" s="19"/>
      <c r="Y200" s="123"/>
      <c r="Z200" s="123"/>
      <c r="AA200" s="61"/>
      <c r="AB200" s="123"/>
      <c r="AC200" s="61"/>
      <c r="AD200" s="123"/>
      <c r="AE200" s="123"/>
      <c r="AF200" s="19"/>
      <c r="AG200" s="123"/>
      <c r="AH200" s="123"/>
      <c r="AI200" s="124"/>
      <c r="AJ200" s="124"/>
      <c r="AK200" s="70"/>
      <c r="AL200" s="124"/>
      <c r="AM200" s="123"/>
      <c r="AN200" s="123"/>
      <c r="AO200" s="19"/>
      <c r="AP200" s="123"/>
      <c r="AQ200" s="123"/>
      <c r="AR200" s="123"/>
      <c r="AS200" s="123"/>
      <c r="AT200" s="61"/>
      <c r="AU200" s="123"/>
      <c r="AV200" s="741"/>
      <c r="AW200" s="741"/>
      <c r="AX200" s="108"/>
      <c r="AY200" s="63"/>
      <c r="AZ200" s="125"/>
      <c r="BA200" s="125"/>
      <c r="BB200" s="64"/>
      <c r="BC200" s="63"/>
      <c r="BD200" s="73"/>
      <c r="BE200" s="74"/>
      <c r="BF200" s="75"/>
      <c r="BG200" s="73"/>
      <c r="BH200" s="74"/>
      <c r="BI200" s="74"/>
      <c r="BJ200" s="75"/>
      <c r="BK200" s="74"/>
      <c r="BL200" s="74"/>
      <c r="BM200" s="73"/>
      <c r="BN200" s="74"/>
      <c r="BO200" s="75"/>
      <c r="BP200" s="74"/>
      <c r="BQ200" s="74"/>
      <c r="BR200" s="63"/>
      <c r="BS200" s="108"/>
      <c r="BT200" s="67"/>
      <c r="BU200" s="108"/>
      <c r="BV200" s="108"/>
      <c r="BW200" s="743"/>
      <c r="BX200" s="61"/>
      <c r="BY200" s="108"/>
      <c r="BZ200" s="108"/>
      <c r="CA200" s="108"/>
      <c r="CB200" s="123"/>
      <c r="CC200" s="14"/>
      <c r="CE200" s="12"/>
      <c r="CF200" s="12"/>
      <c r="CG200" s="17"/>
      <c r="CH200" s="181"/>
      <c r="CI200" s="12"/>
      <c r="CJ200" s="181"/>
      <c r="CK200" s="729"/>
      <c r="CL200" s="752"/>
      <c r="CO200" s="18"/>
      <c r="CS200" s="18"/>
      <c r="CT200" s="342"/>
      <c r="CV200" s="181"/>
      <c r="CW200" s="181"/>
      <c r="CX200" s="18"/>
      <c r="CY200" s="247"/>
      <c r="DA200" s="181"/>
      <c r="DB200" s="729"/>
      <c r="DC200" s="17"/>
      <c r="DE200" s="12"/>
      <c r="DG200" s="162"/>
      <c r="DH200" s="181"/>
      <c r="DI200" s="181"/>
      <c r="DJ200" s="181"/>
      <c r="DK200" s="17"/>
      <c r="DO200" s="18"/>
      <c r="DS200" s="163"/>
      <c r="DT200" s="162"/>
      <c r="DX200" s="163"/>
      <c r="DY200" s="162"/>
      <c r="EC200" s="162"/>
      <c r="EF200" s="163"/>
      <c r="EK200" s="163"/>
      <c r="EL200" s="708"/>
      <c r="EM200" s="181"/>
      <c r="EN200" s="181"/>
      <c r="EO200" s="783"/>
      <c r="EP200" s="708"/>
      <c r="EQ200" s="181"/>
      <c r="ER200" s="181"/>
      <c r="ES200" s="181"/>
      <c r="ET200" s="783"/>
      <c r="EU200" s="708"/>
      <c r="EV200" s="181"/>
      <c r="EX200" s="163"/>
      <c r="EY200" s="162"/>
      <c r="FB200" s="163"/>
    </row>
    <row r="201" spans="1:158" ht="21" customHeight="1" thickBot="1" x14ac:dyDescent="0.25">
      <c r="A201" s="1188"/>
      <c r="B201" s="249" t="str">
        <f t="shared" si="12"/>
        <v>Firedex</v>
      </c>
      <c r="C201" s="249" t="s">
        <v>197</v>
      </c>
      <c r="D201" s="249"/>
      <c r="E201" s="1189"/>
      <c r="F201" s="249" t="s">
        <v>15</v>
      </c>
      <c r="G201" s="773">
        <v>1500</v>
      </c>
      <c r="H201" s="11">
        <f t="shared" si="11"/>
        <v>0</v>
      </c>
      <c r="I201" s="774">
        <f t="shared" si="7"/>
        <v>1500</v>
      </c>
      <c r="P201" s="14"/>
      <c r="T201" s="123"/>
      <c r="U201" s="61"/>
      <c r="V201" s="123"/>
      <c r="W201" s="123"/>
      <c r="X201" s="19"/>
      <c r="Y201" s="123"/>
      <c r="Z201" s="123"/>
      <c r="AA201" s="61"/>
      <c r="AB201" s="123"/>
      <c r="AC201" s="61"/>
      <c r="AD201" s="123"/>
      <c r="AE201" s="123"/>
      <c r="AF201" s="19"/>
      <c r="AG201" s="123"/>
      <c r="AH201" s="123"/>
      <c r="AI201" s="124"/>
      <c r="AJ201" s="124"/>
      <c r="AK201" s="70"/>
      <c r="AL201" s="124"/>
      <c r="AM201" s="123"/>
      <c r="AN201" s="123"/>
      <c r="AO201" s="19"/>
      <c r="AP201" s="123"/>
      <c r="AQ201" s="123"/>
      <c r="AR201" s="123"/>
      <c r="AS201" s="123"/>
      <c r="AT201" s="61"/>
      <c r="AU201" s="123"/>
      <c r="AV201" s="741"/>
      <c r="AW201" s="741"/>
      <c r="AX201" s="108"/>
      <c r="AY201" s="63"/>
      <c r="AZ201" s="125"/>
      <c r="BA201" s="125"/>
      <c r="BB201" s="64"/>
      <c r="BC201" s="63"/>
      <c r="BD201" s="73"/>
      <c r="BE201" s="74"/>
      <c r="BF201" s="75"/>
      <c r="BG201" s="73"/>
      <c r="BH201" s="74"/>
      <c r="BI201" s="74"/>
      <c r="BJ201" s="75"/>
      <c r="BK201" s="74"/>
      <c r="BL201" s="74"/>
      <c r="BM201" s="73"/>
      <c r="BN201" s="74"/>
      <c r="BO201" s="75"/>
      <c r="BP201" s="74"/>
      <c r="BQ201" s="74"/>
      <c r="BR201" s="63"/>
      <c r="BS201" s="108"/>
      <c r="BT201" s="67"/>
      <c r="BU201" s="108"/>
      <c r="BV201" s="108"/>
      <c r="BW201" s="743"/>
      <c r="BX201" s="61"/>
      <c r="BY201" s="108"/>
      <c r="BZ201" s="108"/>
      <c r="CA201" s="108"/>
      <c r="CB201" s="123"/>
      <c r="CC201" s="14"/>
      <c r="CE201" s="12"/>
      <c r="CF201" s="12"/>
      <c r="CG201" s="17"/>
      <c r="CH201" s="181"/>
      <c r="CI201" s="12"/>
      <c r="CJ201" s="181"/>
      <c r="CK201" s="729"/>
      <c r="CL201" s="752"/>
      <c r="CO201" s="18"/>
      <c r="CS201" s="18"/>
      <c r="CT201" s="342"/>
      <c r="CV201" s="181"/>
      <c r="CW201" s="181"/>
      <c r="CX201" s="18"/>
      <c r="CY201" s="247"/>
      <c r="DA201" s="181"/>
      <c r="DB201" s="729"/>
      <c r="DC201" s="17"/>
      <c r="DE201" s="12"/>
      <c r="DG201" s="162"/>
      <c r="DH201" s="181"/>
      <c r="DI201" s="181"/>
      <c r="DJ201" s="181"/>
      <c r="DK201" s="17"/>
      <c r="DO201" s="18"/>
      <c r="DS201" s="163"/>
      <c r="DT201" s="162"/>
      <c r="DX201" s="163"/>
      <c r="DY201" s="162"/>
      <c r="EC201" s="162"/>
      <c r="EF201" s="163"/>
      <c r="EK201" s="163"/>
      <c r="EL201" s="708"/>
      <c r="EM201" s="181"/>
      <c r="EN201" s="181"/>
      <c r="EO201" s="783"/>
      <c r="EP201" s="708"/>
      <c r="EQ201" s="181"/>
      <c r="ER201" s="181"/>
      <c r="ES201" s="181"/>
      <c r="ET201" s="783"/>
      <c r="EU201" s="708"/>
      <c r="EV201" s="181"/>
      <c r="EX201" s="163"/>
      <c r="EY201" s="162"/>
      <c r="FB201" s="163"/>
    </row>
    <row r="202" spans="1:158" ht="21" customHeight="1" thickBot="1" x14ac:dyDescent="0.25">
      <c r="A202" s="1188"/>
      <c r="B202" s="249" t="str">
        <f t="shared" si="12"/>
        <v>Weinbrenner</v>
      </c>
      <c r="C202" s="249" t="s">
        <v>29</v>
      </c>
      <c r="D202" s="249"/>
      <c r="E202" s="1189"/>
      <c r="F202" s="249" t="s">
        <v>29</v>
      </c>
      <c r="G202" s="773">
        <v>750</v>
      </c>
      <c r="H202" s="11">
        <f t="shared" si="11"/>
        <v>0</v>
      </c>
      <c r="I202" s="774">
        <f t="shared" si="7"/>
        <v>750</v>
      </c>
      <c r="P202" s="14"/>
      <c r="T202" s="123"/>
      <c r="U202" s="61"/>
      <c r="V202" s="123"/>
      <c r="W202" s="123"/>
      <c r="X202" s="19"/>
      <c r="Y202" s="123"/>
      <c r="Z202" s="123"/>
      <c r="AA202" s="61"/>
      <c r="AB202" s="123"/>
      <c r="AC202" s="61"/>
      <c r="AD202" s="123"/>
      <c r="AE202" s="123"/>
      <c r="AF202" s="19"/>
      <c r="AG202" s="123"/>
      <c r="AH202" s="123"/>
      <c r="AI202" s="124"/>
      <c r="AJ202" s="124"/>
      <c r="AK202" s="70"/>
      <c r="AL202" s="124"/>
      <c r="AM202" s="123"/>
      <c r="AN202" s="123"/>
      <c r="AO202" s="19"/>
      <c r="AP202" s="123"/>
      <c r="AQ202" s="123"/>
      <c r="AR202" s="123"/>
      <c r="AS202" s="123"/>
      <c r="AT202" s="61"/>
      <c r="AU202" s="123"/>
      <c r="AV202" s="741"/>
      <c r="AW202" s="741"/>
      <c r="AX202" s="108"/>
      <c r="AY202" s="63"/>
      <c r="AZ202" s="125"/>
      <c r="BA202" s="125"/>
      <c r="BB202" s="64"/>
      <c r="BC202" s="63"/>
      <c r="BD202" s="73"/>
      <c r="BE202" s="74"/>
      <c r="BF202" s="75"/>
      <c r="BG202" s="73"/>
      <c r="BH202" s="74"/>
      <c r="BI202" s="74"/>
      <c r="BJ202" s="75"/>
      <c r="BK202" s="74"/>
      <c r="BL202" s="74"/>
      <c r="BM202" s="73"/>
      <c r="BN202" s="74"/>
      <c r="BO202" s="75"/>
      <c r="BP202" s="74"/>
      <c r="BQ202" s="74"/>
      <c r="BR202" s="63"/>
      <c r="BS202" s="108"/>
      <c r="BT202" s="67"/>
      <c r="BU202" s="108"/>
      <c r="BV202" s="108"/>
      <c r="BW202" s="743"/>
      <c r="BX202" s="61"/>
      <c r="BY202" s="108"/>
      <c r="BZ202" s="108"/>
      <c r="CA202" s="108"/>
      <c r="CB202" s="123"/>
      <c r="CC202" s="14"/>
      <c r="CE202" s="12"/>
      <c r="CF202" s="12"/>
      <c r="CG202" s="17"/>
      <c r="CH202" s="181"/>
      <c r="CI202" s="12"/>
      <c r="CJ202" s="181"/>
      <c r="CK202" s="729"/>
      <c r="CL202" s="752"/>
      <c r="CO202" s="18"/>
      <c r="CS202" s="18"/>
      <c r="CT202" s="342"/>
      <c r="CV202" s="181"/>
      <c r="CW202" s="181"/>
      <c r="CX202" s="18"/>
      <c r="CY202" s="247"/>
      <c r="DA202" s="181"/>
      <c r="DB202" s="729"/>
      <c r="DC202" s="17"/>
      <c r="DE202" s="12"/>
      <c r="DG202" s="162"/>
      <c r="DH202" s="181"/>
      <c r="DI202" s="181"/>
      <c r="DJ202" s="181"/>
      <c r="DK202" s="17"/>
      <c r="DO202" s="18"/>
      <c r="DS202" s="163"/>
      <c r="DT202" s="162"/>
      <c r="DX202" s="163"/>
      <c r="DY202" s="162"/>
      <c r="EC202" s="162"/>
      <c r="EF202" s="163"/>
      <c r="EK202" s="163"/>
      <c r="EL202" s="708"/>
      <c r="EM202" s="181"/>
      <c r="EN202" s="181"/>
      <c r="EO202" s="783"/>
      <c r="EP202" s="708"/>
      <c r="EQ202" s="181"/>
      <c r="ER202" s="12"/>
      <c r="ES202" s="181"/>
      <c r="ET202" s="783"/>
      <c r="EU202" s="708"/>
      <c r="EV202" s="181"/>
      <c r="EX202" s="163"/>
      <c r="EY202" s="162"/>
      <c r="FB202" s="163"/>
    </row>
    <row r="203" spans="1:158" ht="21" customHeight="1" thickBot="1" x14ac:dyDescent="0.25">
      <c r="A203" s="1188"/>
      <c r="B203" s="249" t="str">
        <f t="shared" si="12"/>
        <v>Chippewa</v>
      </c>
      <c r="C203" s="249" t="s">
        <v>8</v>
      </c>
      <c r="D203" s="249"/>
      <c r="E203" s="1189"/>
      <c r="F203" s="249" t="s">
        <v>8</v>
      </c>
      <c r="G203" s="773">
        <v>1000</v>
      </c>
      <c r="H203" s="11">
        <f t="shared" si="11"/>
        <v>1000</v>
      </c>
      <c r="I203" s="774">
        <f t="shared" si="7"/>
        <v>0</v>
      </c>
      <c r="P203" s="14"/>
      <c r="T203" s="123"/>
      <c r="U203" s="61"/>
      <c r="V203" s="123"/>
      <c r="W203" s="123"/>
      <c r="X203" s="19"/>
      <c r="Y203" s="123"/>
      <c r="Z203" s="123"/>
      <c r="AA203" s="61"/>
      <c r="AB203" s="123"/>
      <c r="AC203" s="61"/>
      <c r="AD203" s="123"/>
      <c r="AE203" s="123"/>
      <c r="AF203" s="19"/>
      <c r="AG203" s="123"/>
      <c r="AH203" s="123"/>
      <c r="AI203" s="124"/>
      <c r="AJ203" s="124"/>
      <c r="AK203" s="70"/>
      <c r="AL203" s="124"/>
      <c r="AM203" s="123"/>
      <c r="AN203" s="123"/>
      <c r="AO203" s="19"/>
      <c r="AP203" s="123"/>
      <c r="AQ203" s="123"/>
      <c r="AR203" s="123"/>
      <c r="AS203" s="123"/>
      <c r="AT203" s="61"/>
      <c r="AU203" s="123"/>
      <c r="AV203" s="741"/>
      <c r="AW203" s="741"/>
      <c r="AX203" s="108"/>
      <c r="AY203" s="63"/>
      <c r="AZ203" s="125"/>
      <c r="BA203" s="125"/>
      <c r="BB203" s="64"/>
      <c r="BC203" s="63"/>
      <c r="BD203" s="73"/>
      <c r="BE203" s="74"/>
      <c r="BF203" s="75"/>
      <c r="BG203" s="73"/>
      <c r="BH203" s="74"/>
      <c r="BI203" s="74"/>
      <c r="BJ203" s="75"/>
      <c r="BK203" s="74"/>
      <c r="BL203" s="74"/>
      <c r="BM203" s="73"/>
      <c r="BN203" s="74"/>
      <c r="BO203" s="75"/>
      <c r="BP203" s="74"/>
      <c r="BQ203" s="74"/>
      <c r="BR203" s="63"/>
      <c r="BS203" s="108"/>
      <c r="BT203" s="67"/>
      <c r="BU203" s="108"/>
      <c r="BV203" s="108"/>
      <c r="BW203" s="743"/>
      <c r="BX203" s="61"/>
      <c r="BY203" s="108"/>
      <c r="BZ203" s="108"/>
      <c r="CA203" s="108"/>
      <c r="CB203" s="123"/>
      <c r="CC203" s="14"/>
      <c r="CE203" s="12"/>
      <c r="CF203" s="12"/>
      <c r="CG203" s="17"/>
      <c r="CH203" s="181"/>
      <c r="CI203" s="12"/>
      <c r="CJ203" s="181"/>
      <c r="CK203" s="729"/>
      <c r="CL203" s="752"/>
      <c r="CO203" s="18"/>
      <c r="CS203" s="18"/>
      <c r="CT203" s="342"/>
      <c r="CV203" s="181"/>
      <c r="CW203" s="181"/>
      <c r="CX203" s="18"/>
      <c r="CY203" s="247"/>
      <c r="DA203" s="181"/>
      <c r="DB203" s="729"/>
      <c r="DC203" s="17"/>
      <c r="DE203" s="12"/>
      <c r="DG203" s="162"/>
      <c r="DH203" s="181"/>
      <c r="DI203" s="181"/>
      <c r="DJ203" s="181"/>
      <c r="DK203" s="17"/>
      <c r="DO203" s="18"/>
      <c r="DS203" s="163"/>
      <c r="DT203" s="162"/>
      <c r="DX203" s="163"/>
      <c r="DY203" s="162"/>
      <c r="EC203" s="162"/>
      <c r="EF203" s="163"/>
      <c r="EK203" s="163"/>
      <c r="EL203" s="708"/>
      <c r="EM203" s="181"/>
      <c r="EN203" s="181"/>
      <c r="EO203" s="783"/>
      <c r="EP203" s="708"/>
      <c r="EQ203" s="181"/>
      <c r="ER203" s="181"/>
      <c r="ES203" s="181">
        <v>1000</v>
      </c>
      <c r="ET203" s="783"/>
      <c r="EU203" s="708"/>
      <c r="EV203" s="181"/>
      <c r="EX203" s="163"/>
      <c r="EY203" s="162"/>
      <c r="FB203" s="163"/>
    </row>
    <row r="204" spans="1:158" ht="21" customHeight="1" thickBot="1" x14ac:dyDescent="0.25">
      <c r="A204" s="1188"/>
      <c r="B204" s="249" t="str">
        <f t="shared" si="12"/>
        <v>WWW</v>
      </c>
      <c r="C204" s="249" t="s">
        <v>201</v>
      </c>
      <c r="D204" s="249"/>
      <c r="E204" s="1189"/>
      <c r="F204" s="249" t="s">
        <v>201</v>
      </c>
      <c r="G204" s="773">
        <v>300</v>
      </c>
      <c r="H204" s="11">
        <f t="shared" si="11"/>
        <v>300</v>
      </c>
      <c r="I204" s="774">
        <f t="shared" si="7"/>
        <v>0</v>
      </c>
      <c r="P204" s="14"/>
      <c r="T204" s="123"/>
      <c r="U204" s="61"/>
      <c r="V204" s="123"/>
      <c r="W204" s="123"/>
      <c r="X204" s="19"/>
      <c r="Y204" s="123"/>
      <c r="Z204" s="123"/>
      <c r="AA204" s="61"/>
      <c r="AB204" s="123"/>
      <c r="AC204" s="61"/>
      <c r="AD204" s="123"/>
      <c r="AE204" s="123"/>
      <c r="AF204" s="19"/>
      <c r="AG204" s="123"/>
      <c r="AH204" s="123"/>
      <c r="AI204" s="124"/>
      <c r="AJ204" s="124"/>
      <c r="AK204" s="70"/>
      <c r="AL204" s="124"/>
      <c r="AM204" s="123"/>
      <c r="AN204" s="123"/>
      <c r="AO204" s="19"/>
      <c r="AP204" s="123"/>
      <c r="AQ204" s="123"/>
      <c r="AR204" s="123"/>
      <c r="AS204" s="123"/>
      <c r="AT204" s="61"/>
      <c r="AU204" s="123"/>
      <c r="AV204" s="741"/>
      <c r="AW204" s="741"/>
      <c r="AX204" s="108"/>
      <c r="AY204" s="63"/>
      <c r="AZ204" s="125"/>
      <c r="BA204" s="125"/>
      <c r="BB204" s="64"/>
      <c r="BC204" s="63"/>
      <c r="BD204" s="73"/>
      <c r="BE204" s="74"/>
      <c r="BF204" s="75"/>
      <c r="BG204" s="73"/>
      <c r="BH204" s="74"/>
      <c r="BI204" s="74"/>
      <c r="BJ204" s="75"/>
      <c r="BK204" s="74"/>
      <c r="BL204" s="74"/>
      <c r="BM204" s="73"/>
      <c r="BN204" s="74"/>
      <c r="BO204" s="75"/>
      <c r="BP204" s="74"/>
      <c r="BQ204" s="74"/>
      <c r="BR204" s="63"/>
      <c r="BS204" s="108"/>
      <c r="BT204" s="67"/>
      <c r="BU204" s="108"/>
      <c r="BV204" s="108"/>
      <c r="BW204" s="743"/>
      <c r="BX204" s="61"/>
      <c r="BY204" s="108"/>
      <c r="BZ204" s="108"/>
      <c r="CA204" s="108"/>
      <c r="CB204" s="123"/>
      <c r="CC204" s="14"/>
      <c r="CE204" s="12"/>
      <c r="CF204" s="12"/>
      <c r="CG204" s="17"/>
      <c r="CH204" s="181"/>
      <c r="CI204" s="12"/>
      <c r="CJ204" s="181"/>
      <c r="CK204" s="729"/>
      <c r="CL204" s="752"/>
      <c r="CO204" s="18"/>
      <c r="CS204" s="18"/>
      <c r="CT204" s="342"/>
      <c r="CV204" s="181"/>
      <c r="CW204" s="181"/>
      <c r="CX204" s="18"/>
      <c r="CY204" s="247"/>
      <c r="DA204" s="181"/>
      <c r="DB204" s="729"/>
      <c r="DC204" s="17"/>
      <c r="DE204" s="12"/>
      <c r="DG204" s="162"/>
      <c r="DH204" s="181"/>
      <c r="DI204" s="181"/>
      <c r="DJ204" s="783"/>
      <c r="DK204" s="162"/>
      <c r="DO204" s="163"/>
      <c r="DP204" s="162"/>
      <c r="DS204" s="163"/>
      <c r="DT204" s="162"/>
      <c r="DX204" s="163"/>
      <c r="DY204" s="162"/>
      <c r="EC204" s="162"/>
      <c r="EF204" s="163"/>
      <c r="EK204" s="163"/>
      <c r="EL204" s="708"/>
      <c r="EM204" s="181"/>
      <c r="EN204" s="181"/>
      <c r="EO204" s="783"/>
      <c r="EP204" s="708"/>
      <c r="EQ204" s="181"/>
      <c r="ER204" s="181"/>
      <c r="ES204" s="181">
        <v>300</v>
      </c>
      <c r="ET204" s="783"/>
      <c r="EU204" s="708"/>
      <c r="EV204" s="181"/>
      <c r="EX204" s="163"/>
      <c r="EY204" s="162"/>
      <c r="FB204" s="163"/>
    </row>
    <row r="205" spans="1:158" ht="21" customHeight="1" thickBot="1" x14ac:dyDescent="0.25">
      <c r="A205" s="1188"/>
      <c r="B205" s="249" t="str">
        <f t="shared" si="12"/>
        <v>USB</v>
      </c>
      <c r="C205" s="249" t="s">
        <v>103</v>
      </c>
      <c r="D205" s="249"/>
      <c r="E205" s="1189"/>
      <c r="F205" s="249" t="s">
        <v>202</v>
      </c>
      <c r="G205" s="773">
        <v>250</v>
      </c>
      <c r="H205" s="11">
        <f t="shared" si="11"/>
        <v>250</v>
      </c>
      <c r="I205" s="774">
        <f t="shared" si="7"/>
        <v>0</v>
      </c>
      <c r="P205" s="14"/>
      <c r="T205" s="123"/>
      <c r="U205" s="61"/>
      <c r="V205" s="123"/>
      <c r="W205" s="123"/>
      <c r="X205" s="19"/>
      <c r="Y205" s="123"/>
      <c r="Z205" s="123"/>
      <c r="AA205" s="61"/>
      <c r="AB205" s="123"/>
      <c r="AC205" s="61"/>
      <c r="AD205" s="123"/>
      <c r="AE205" s="123"/>
      <c r="AF205" s="19"/>
      <c r="AG205" s="123"/>
      <c r="AH205" s="123"/>
      <c r="AI205" s="124"/>
      <c r="AJ205" s="124"/>
      <c r="AK205" s="70"/>
      <c r="AL205" s="124"/>
      <c r="AM205" s="123"/>
      <c r="AN205" s="123"/>
      <c r="AO205" s="19"/>
      <c r="AP205" s="123"/>
      <c r="AQ205" s="123"/>
      <c r="AR205" s="123"/>
      <c r="AS205" s="123"/>
      <c r="AT205" s="61"/>
      <c r="AU205" s="123"/>
      <c r="AV205" s="741"/>
      <c r="AW205" s="741"/>
      <c r="AX205" s="108"/>
      <c r="AY205" s="63"/>
      <c r="AZ205" s="125"/>
      <c r="BA205" s="125"/>
      <c r="BB205" s="64"/>
      <c r="BC205" s="63"/>
      <c r="BD205" s="73"/>
      <c r="BE205" s="74"/>
      <c r="BF205" s="75"/>
      <c r="BG205" s="73"/>
      <c r="BH205" s="74"/>
      <c r="BI205" s="74"/>
      <c r="BJ205" s="75"/>
      <c r="BK205" s="74"/>
      <c r="BL205" s="74"/>
      <c r="BM205" s="73"/>
      <c r="BN205" s="74"/>
      <c r="BO205" s="75"/>
      <c r="BP205" s="74"/>
      <c r="BQ205" s="74"/>
      <c r="BR205" s="63"/>
      <c r="BS205" s="108"/>
      <c r="BT205" s="67"/>
      <c r="BU205" s="108"/>
      <c r="BV205" s="108"/>
      <c r="BW205" s="743"/>
      <c r="BX205" s="61"/>
      <c r="BY205" s="108"/>
      <c r="BZ205" s="108"/>
      <c r="CA205" s="108"/>
      <c r="CB205" s="123"/>
      <c r="CC205" s="14"/>
      <c r="CE205" s="12"/>
      <c r="CF205" s="12"/>
      <c r="CG205" s="17"/>
      <c r="CH205" s="181"/>
      <c r="CI205" s="12"/>
      <c r="CJ205" s="181"/>
      <c r="CK205" s="729"/>
      <c r="CL205" s="752"/>
      <c r="CO205" s="18"/>
      <c r="CS205" s="18"/>
      <c r="CT205" s="342"/>
      <c r="CV205" s="181"/>
      <c r="CW205" s="181"/>
      <c r="CX205" s="18"/>
      <c r="CY205" s="247"/>
      <c r="DA205" s="181"/>
      <c r="DB205" s="729"/>
      <c r="DC205" s="17"/>
      <c r="DE205" s="12"/>
      <c r="DG205" s="162"/>
      <c r="DH205" s="181"/>
      <c r="DI205" s="181"/>
      <c r="DJ205" s="783"/>
      <c r="DK205" s="162"/>
      <c r="DO205" s="163"/>
      <c r="DP205" s="162"/>
      <c r="DS205" s="163"/>
      <c r="DT205" s="162"/>
      <c r="DX205" s="163"/>
      <c r="DY205" s="162"/>
      <c r="EC205" s="162"/>
      <c r="EF205" s="163"/>
      <c r="EK205" s="163"/>
      <c r="EL205" s="708"/>
      <c r="EM205" s="181"/>
      <c r="EN205" s="181"/>
      <c r="EO205" s="783"/>
      <c r="EP205" s="708"/>
      <c r="EQ205" s="181"/>
      <c r="ER205" s="181"/>
      <c r="ES205" s="181">
        <v>250</v>
      </c>
      <c r="ET205" s="783"/>
      <c r="EU205" s="708"/>
      <c r="EV205" s="181"/>
      <c r="EX205" s="163"/>
      <c r="EY205" s="162"/>
      <c r="FB205" s="163"/>
    </row>
    <row r="206" spans="1:158" ht="21" customHeight="1" thickBot="1" x14ac:dyDescent="0.25">
      <c r="A206" s="208"/>
      <c r="B206" s="104"/>
      <c r="C206" s="104"/>
      <c r="D206" s="104"/>
      <c r="E206" s="104"/>
      <c r="F206" s="104"/>
      <c r="G206" s="710"/>
      <c r="H206" s="11">
        <f>SUM(O206:DO206)</f>
        <v>0</v>
      </c>
      <c r="I206" s="711">
        <f t="shared" si="7"/>
        <v>0</v>
      </c>
      <c r="P206" s="36"/>
      <c r="Q206" s="37"/>
      <c r="R206" s="37"/>
      <c r="S206" s="37"/>
      <c r="T206" s="188"/>
      <c r="U206" s="189"/>
      <c r="V206" s="188"/>
      <c r="W206" s="188"/>
      <c r="X206" s="190"/>
      <c r="Y206" s="188"/>
      <c r="Z206" s="188"/>
      <c r="AA206" s="189"/>
      <c r="AB206" s="188"/>
      <c r="AC206" s="189"/>
      <c r="AD206" s="188"/>
      <c r="AE206" s="188"/>
      <c r="AF206" s="190"/>
      <c r="AG206" s="188"/>
      <c r="AH206" s="188"/>
      <c r="AI206" s="191"/>
      <c r="AJ206" s="191"/>
      <c r="AK206" s="192"/>
      <c r="AL206" s="191"/>
      <c r="AM206" s="188"/>
      <c r="AN206" s="188"/>
      <c r="AO206" s="190"/>
      <c r="AP206" s="188"/>
      <c r="AQ206" s="188"/>
      <c r="AR206" s="188"/>
      <c r="AS206" s="188"/>
      <c r="AT206" s="189"/>
      <c r="AU206" s="188"/>
      <c r="AV206" s="785"/>
      <c r="AW206" s="785"/>
      <c r="AX206" s="193"/>
      <c r="AY206" s="73"/>
      <c r="AZ206" s="74"/>
      <c r="BA206" s="74"/>
      <c r="BB206" s="75"/>
      <c r="BC206" s="73"/>
      <c r="BD206" s="73"/>
      <c r="BE206" s="74"/>
      <c r="BF206" s="75"/>
      <c r="BG206" s="73"/>
      <c r="BH206" s="74"/>
      <c r="BI206" s="74"/>
      <c r="BJ206" s="75"/>
      <c r="BK206" s="74"/>
      <c r="BL206" s="74"/>
      <c r="BM206" s="73"/>
      <c r="BN206" s="74"/>
      <c r="BO206" s="75"/>
      <c r="BP206" s="74"/>
      <c r="BQ206" s="74"/>
      <c r="BR206" s="73"/>
      <c r="BS206" s="193"/>
      <c r="BT206" s="194"/>
      <c r="BU206" s="193"/>
      <c r="BV206" s="193"/>
      <c r="BW206" s="786"/>
      <c r="BX206" s="189"/>
      <c r="BY206" s="193"/>
      <c r="BZ206" s="193"/>
      <c r="CA206" s="193"/>
      <c r="CB206" s="188"/>
      <c r="CC206" s="36"/>
      <c r="CD206" s="39"/>
      <c r="CE206" s="39"/>
      <c r="CF206" s="39"/>
      <c r="CG206" s="41"/>
      <c r="CH206" s="713"/>
      <c r="CI206" s="37"/>
      <c r="CJ206" s="713"/>
      <c r="CK206" s="787"/>
      <c r="CL206" s="788"/>
      <c r="CM206" s="37"/>
      <c r="CN206" s="39"/>
      <c r="CO206" s="42"/>
      <c r="CP206" s="39"/>
      <c r="CQ206" s="39"/>
      <c r="CR206" s="39"/>
      <c r="CS206" s="42"/>
      <c r="CT206" s="344"/>
      <c r="CU206" s="39"/>
      <c r="CV206" s="39"/>
      <c r="CW206" s="39"/>
      <c r="CX206" s="42"/>
      <c r="CY206" s="325"/>
      <c r="CZ206" s="39"/>
      <c r="DA206" s="39"/>
      <c r="DB206" s="42"/>
      <c r="DC206" s="41"/>
      <c r="DD206" s="39"/>
      <c r="DE206" s="39"/>
      <c r="DF206" s="39"/>
      <c r="DG206" s="195"/>
      <c r="DH206" s="196"/>
      <c r="DI206" s="196"/>
      <c r="DJ206" s="789"/>
      <c r="DK206" s="195"/>
      <c r="DL206" s="196"/>
      <c r="DM206" s="196"/>
      <c r="DN206" s="196"/>
      <c r="DO206" s="197"/>
      <c r="DP206" s="195"/>
      <c r="DQ206" s="196"/>
      <c r="DR206" s="196"/>
      <c r="DS206" s="197"/>
      <c r="DT206" s="195"/>
      <c r="DU206" s="196"/>
      <c r="DV206" s="196"/>
      <c r="DW206" s="196"/>
      <c r="DX206" s="197"/>
      <c r="DY206" s="195"/>
      <c r="DZ206" s="196"/>
      <c r="EA206" s="196"/>
      <c r="EB206" s="196"/>
      <c r="EC206" s="195"/>
      <c r="ED206" s="196"/>
      <c r="EE206" s="196"/>
      <c r="EF206" s="197"/>
      <c r="EG206" s="196"/>
      <c r="EH206" s="196"/>
      <c r="EI206" s="196"/>
      <c r="EJ206" s="196"/>
      <c r="EK206" s="197"/>
      <c r="EL206" s="790"/>
      <c r="EM206" s="791"/>
      <c r="EN206" s="791"/>
      <c r="EO206" s="789"/>
      <c r="EP206" s="790"/>
      <c r="EQ206" s="791"/>
      <c r="ER206" s="791"/>
      <c r="ES206" s="791"/>
      <c r="ET206" s="789"/>
      <c r="EU206" s="790"/>
      <c r="EV206" s="791"/>
      <c r="EW206" s="196"/>
      <c r="EX206" s="197"/>
      <c r="EY206" s="195"/>
      <c r="EZ206" s="196"/>
      <c r="FA206" s="196"/>
      <c r="FB206" s="197"/>
    </row>
    <row r="207" spans="1:158" ht="16" thickBot="1" x14ac:dyDescent="0.25">
      <c r="A207" s="1201" t="s">
        <v>248</v>
      </c>
      <c r="B207" s="1202"/>
      <c r="C207" s="1202"/>
      <c r="D207" s="1202"/>
      <c r="E207" s="1202"/>
      <c r="F207" s="1203"/>
      <c r="G207" s="705"/>
      <c r="H207" s="198">
        <f>SUM(CC207:ET207)</f>
        <v>176996</v>
      </c>
      <c r="I207" s="199"/>
      <c r="J207" s="45"/>
      <c r="K207" s="45"/>
      <c r="L207" s="45"/>
      <c r="M207" s="45"/>
      <c r="N207" s="45"/>
      <c r="O207" s="45"/>
      <c r="P207" s="37"/>
      <c r="Q207" s="37"/>
      <c r="R207" s="200" t="s">
        <v>249</v>
      </c>
      <c r="S207" s="37">
        <f>+S50*5</f>
        <v>0</v>
      </c>
      <c r="T207" s="37"/>
      <c r="U207" s="201">
        <f t="shared" ref="U207:Z207" si="13">+U50*5</f>
        <v>150</v>
      </c>
      <c r="V207" s="178">
        <f t="shared" si="13"/>
        <v>285</v>
      </c>
      <c r="W207" s="178">
        <f t="shared" si="13"/>
        <v>510</v>
      </c>
      <c r="X207" s="178">
        <f t="shared" si="13"/>
        <v>625</v>
      </c>
      <c r="Y207" s="37">
        <f t="shared" si="13"/>
        <v>750</v>
      </c>
      <c r="Z207" s="36">
        <f t="shared" si="13"/>
        <v>1000</v>
      </c>
      <c r="AA207" s="201" t="e">
        <f>SUM(#REF!)</f>
        <v>#REF!</v>
      </c>
      <c r="AB207" s="178" t="e">
        <f>SUM(#REF!)</f>
        <v>#REF!</v>
      </c>
      <c r="AC207" s="201">
        <f t="shared" ref="AC207:BS207" si="14">SUM(AC52:AC75)</f>
        <v>0</v>
      </c>
      <c r="AD207" s="201">
        <f t="shared" si="14"/>
        <v>0</v>
      </c>
      <c r="AE207" s="201">
        <f t="shared" si="14"/>
        <v>0</v>
      </c>
      <c r="AF207" s="201">
        <f t="shared" si="14"/>
        <v>0</v>
      </c>
      <c r="AG207" s="201">
        <f t="shared" si="14"/>
        <v>0</v>
      </c>
      <c r="AH207" s="201">
        <f t="shared" si="14"/>
        <v>0</v>
      </c>
      <c r="AI207" s="201">
        <f t="shared" si="14"/>
        <v>0</v>
      </c>
      <c r="AJ207" s="201">
        <f t="shared" si="14"/>
        <v>0</v>
      </c>
      <c r="AK207" s="201">
        <f t="shared" si="14"/>
        <v>0</v>
      </c>
      <c r="AL207" s="201">
        <f t="shared" si="14"/>
        <v>0</v>
      </c>
      <c r="AM207" s="201">
        <f t="shared" si="14"/>
        <v>0</v>
      </c>
      <c r="AN207" s="201">
        <f t="shared" si="14"/>
        <v>0</v>
      </c>
      <c r="AO207" s="201">
        <f t="shared" si="14"/>
        <v>0</v>
      </c>
      <c r="AP207" s="201">
        <f t="shared" si="14"/>
        <v>0</v>
      </c>
      <c r="AQ207" s="201">
        <f t="shared" si="14"/>
        <v>0</v>
      </c>
      <c r="AR207" s="201">
        <f t="shared" si="14"/>
        <v>0</v>
      </c>
      <c r="AS207" s="201">
        <f t="shared" si="14"/>
        <v>0</v>
      </c>
      <c r="AT207" s="201">
        <f t="shared" si="14"/>
        <v>0</v>
      </c>
      <c r="AU207" s="201">
        <f t="shared" si="14"/>
        <v>0</v>
      </c>
      <c r="AV207" s="201">
        <f t="shared" si="14"/>
        <v>0</v>
      </c>
      <c r="AW207" s="201">
        <f t="shared" si="14"/>
        <v>0</v>
      </c>
      <c r="AX207" s="36">
        <f t="shared" si="14"/>
        <v>0</v>
      </c>
      <c r="AY207" s="201">
        <f t="shared" si="14"/>
        <v>0</v>
      </c>
      <c r="AZ207" s="201">
        <f t="shared" si="14"/>
        <v>0</v>
      </c>
      <c r="BA207" s="201">
        <f t="shared" si="14"/>
        <v>0</v>
      </c>
      <c r="BB207" s="201">
        <f t="shared" si="14"/>
        <v>0</v>
      </c>
      <c r="BC207" s="201">
        <f t="shared" si="14"/>
        <v>0</v>
      </c>
      <c r="BD207" s="201">
        <f t="shared" si="14"/>
        <v>0</v>
      </c>
      <c r="BE207" s="201">
        <f t="shared" si="14"/>
        <v>0</v>
      </c>
      <c r="BF207" s="201">
        <f t="shared" si="14"/>
        <v>0</v>
      </c>
      <c r="BG207" s="201">
        <f t="shared" si="14"/>
        <v>0</v>
      </c>
      <c r="BH207" s="201">
        <f t="shared" si="14"/>
        <v>0</v>
      </c>
      <c r="BI207" s="201">
        <f t="shared" si="14"/>
        <v>0</v>
      </c>
      <c r="BJ207" s="201">
        <f t="shared" si="14"/>
        <v>0</v>
      </c>
      <c r="BK207" s="201">
        <f t="shared" si="14"/>
        <v>0</v>
      </c>
      <c r="BL207" s="201">
        <f t="shared" si="14"/>
        <v>0</v>
      </c>
      <c r="BM207" s="201">
        <f t="shared" si="14"/>
        <v>0</v>
      </c>
      <c r="BN207" s="201">
        <f t="shared" si="14"/>
        <v>0</v>
      </c>
      <c r="BO207" s="201">
        <f t="shared" si="14"/>
        <v>0</v>
      </c>
      <c r="BP207" s="201">
        <f t="shared" si="14"/>
        <v>0</v>
      </c>
      <c r="BQ207" s="201">
        <f t="shared" si="14"/>
        <v>0</v>
      </c>
      <c r="BR207" s="201">
        <f t="shared" si="14"/>
        <v>0</v>
      </c>
      <c r="BS207" s="201">
        <f t="shared" si="14"/>
        <v>0</v>
      </c>
      <c r="BT207" s="201">
        <f t="shared" ref="BT207:EE207" si="15">SUM(BT52:BT206)</f>
        <v>0</v>
      </c>
      <c r="BU207" s="201">
        <f t="shared" si="15"/>
        <v>0</v>
      </c>
      <c r="BV207" s="201">
        <f t="shared" si="15"/>
        <v>0</v>
      </c>
      <c r="BW207" s="201">
        <f t="shared" si="15"/>
        <v>0</v>
      </c>
      <c r="BX207" s="201">
        <f t="shared" si="15"/>
        <v>0</v>
      </c>
      <c r="BY207" s="201">
        <f t="shared" si="15"/>
        <v>0</v>
      </c>
      <c r="BZ207" s="201">
        <f t="shared" si="15"/>
        <v>0</v>
      </c>
      <c r="CA207" s="201">
        <f t="shared" si="15"/>
        <v>0</v>
      </c>
      <c r="CB207" s="201">
        <f t="shared" si="15"/>
        <v>0</v>
      </c>
      <c r="CC207" s="201">
        <f t="shared" si="15"/>
        <v>100</v>
      </c>
      <c r="CD207" s="201">
        <f t="shared" si="15"/>
        <v>600</v>
      </c>
      <c r="CE207" s="201">
        <f t="shared" si="15"/>
        <v>1580</v>
      </c>
      <c r="CF207" s="201">
        <f t="shared" si="15"/>
        <v>1464</v>
      </c>
      <c r="CG207" s="201">
        <f t="shared" si="15"/>
        <v>1660</v>
      </c>
      <c r="CH207" s="201">
        <f t="shared" si="15"/>
        <v>2462</v>
      </c>
      <c r="CI207" s="201">
        <f t="shared" si="15"/>
        <v>1250</v>
      </c>
      <c r="CJ207" s="201">
        <f t="shared" si="15"/>
        <v>1250</v>
      </c>
      <c r="CK207" s="201">
        <f t="shared" si="15"/>
        <v>1876</v>
      </c>
      <c r="CL207" s="201">
        <f t="shared" si="15"/>
        <v>1042</v>
      </c>
      <c r="CM207" s="201">
        <f t="shared" si="15"/>
        <v>1600</v>
      </c>
      <c r="CN207" s="201">
        <f t="shared" si="15"/>
        <v>2234</v>
      </c>
      <c r="CO207" s="201">
        <f t="shared" si="15"/>
        <v>1275</v>
      </c>
      <c r="CP207" s="201">
        <f t="shared" si="15"/>
        <v>2129</v>
      </c>
      <c r="CQ207" s="201">
        <f t="shared" si="15"/>
        <v>2368</v>
      </c>
      <c r="CR207" s="201">
        <f t="shared" si="15"/>
        <v>1974</v>
      </c>
      <c r="CS207" s="201">
        <f t="shared" si="15"/>
        <v>1578</v>
      </c>
      <c r="CT207" s="201">
        <f t="shared" si="15"/>
        <v>0</v>
      </c>
      <c r="CU207" s="201">
        <f t="shared" si="15"/>
        <v>1854</v>
      </c>
      <c r="CV207" s="201">
        <f t="shared" si="15"/>
        <v>3368</v>
      </c>
      <c r="CW207" s="201">
        <f t="shared" si="15"/>
        <v>2500</v>
      </c>
      <c r="CX207" s="201">
        <f t="shared" si="15"/>
        <v>2456</v>
      </c>
      <c r="CY207" s="201">
        <f t="shared" si="15"/>
        <v>2930</v>
      </c>
      <c r="CZ207" s="201">
        <f t="shared" si="15"/>
        <v>2300</v>
      </c>
      <c r="DA207" s="201">
        <f t="shared" si="15"/>
        <v>2250</v>
      </c>
      <c r="DB207" s="201">
        <f t="shared" si="15"/>
        <v>2052</v>
      </c>
      <c r="DC207" s="201">
        <f t="shared" si="15"/>
        <v>3526</v>
      </c>
      <c r="DD207" s="201">
        <f t="shared" si="15"/>
        <v>2730</v>
      </c>
      <c r="DE207" s="201">
        <f t="shared" si="15"/>
        <v>2818</v>
      </c>
      <c r="DF207" s="201">
        <f t="shared" si="15"/>
        <v>2180</v>
      </c>
      <c r="DG207" s="201">
        <f t="shared" si="15"/>
        <v>2600</v>
      </c>
      <c r="DH207" s="201">
        <f t="shared" si="15"/>
        <v>2750</v>
      </c>
      <c r="DI207" s="201">
        <f t="shared" si="15"/>
        <v>2750</v>
      </c>
      <c r="DJ207" s="201">
        <f t="shared" si="15"/>
        <v>2708</v>
      </c>
      <c r="DK207" s="201">
        <f t="shared" si="15"/>
        <v>2170</v>
      </c>
      <c r="DL207" s="201">
        <f t="shared" si="15"/>
        <v>2700</v>
      </c>
      <c r="DM207" s="201">
        <f t="shared" si="15"/>
        <v>2566</v>
      </c>
      <c r="DN207" s="201">
        <f t="shared" si="15"/>
        <v>2267</v>
      </c>
      <c r="DO207" s="201">
        <f t="shared" si="15"/>
        <v>2277</v>
      </c>
      <c r="DP207" s="201">
        <f t="shared" si="15"/>
        <v>2750</v>
      </c>
      <c r="DQ207" s="201">
        <f t="shared" si="15"/>
        <v>2738</v>
      </c>
      <c r="DR207" s="201">
        <f t="shared" si="15"/>
        <v>2779</v>
      </c>
      <c r="DS207" s="201">
        <f t="shared" si="15"/>
        <v>2188</v>
      </c>
      <c r="DT207" s="201">
        <f t="shared" si="15"/>
        <v>2250</v>
      </c>
      <c r="DU207" s="201">
        <f t="shared" si="15"/>
        <v>2450</v>
      </c>
      <c r="DV207" s="201">
        <f t="shared" si="15"/>
        <v>2757</v>
      </c>
      <c r="DW207" s="201">
        <f t="shared" si="15"/>
        <v>2750</v>
      </c>
      <c r="DX207" s="201">
        <f t="shared" si="15"/>
        <v>2600</v>
      </c>
      <c r="DY207" s="201">
        <f t="shared" si="15"/>
        <v>2250</v>
      </c>
      <c r="DZ207" s="201">
        <f t="shared" si="15"/>
        <v>2750</v>
      </c>
      <c r="EA207" s="201">
        <f t="shared" si="15"/>
        <v>2706</v>
      </c>
      <c r="EB207" s="201">
        <f t="shared" si="15"/>
        <v>2800</v>
      </c>
      <c r="EC207" s="201">
        <f t="shared" si="15"/>
        <v>2250</v>
      </c>
      <c r="ED207" s="201">
        <f t="shared" si="15"/>
        <v>3250</v>
      </c>
      <c r="EE207" s="201">
        <f t="shared" si="15"/>
        <v>3533</v>
      </c>
      <c r="EF207" s="201">
        <f t="shared" ref="EF207:FB207" si="16">SUM(EF52:EF206)</f>
        <v>3097</v>
      </c>
      <c r="EG207" s="201">
        <f t="shared" si="16"/>
        <v>3500</v>
      </c>
      <c r="EH207" s="201">
        <f t="shared" si="16"/>
        <v>4470</v>
      </c>
      <c r="EI207" s="201">
        <f t="shared" si="16"/>
        <v>4283</v>
      </c>
      <c r="EJ207" s="201">
        <f t="shared" si="16"/>
        <v>3759</v>
      </c>
      <c r="EK207" s="201">
        <f t="shared" si="16"/>
        <v>3750</v>
      </c>
      <c r="EL207" s="201">
        <f t="shared" si="16"/>
        <v>4250</v>
      </c>
      <c r="EM207" s="201">
        <f t="shared" si="16"/>
        <v>4276</v>
      </c>
      <c r="EN207" s="201">
        <f t="shared" si="16"/>
        <v>4270</v>
      </c>
      <c r="EO207" s="201">
        <f t="shared" si="16"/>
        <v>3059</v>
      </c>
      <c r="EP207" s="201">
        <f t="shared" si="16"/>
        <v>3750</v>
      </c>
      <c r="EQ207" s="201">
        <f t="shared" si="16"/>
        <v>4289</v>
      </c>
      <c r="ER207" s="201">
        <f t="shared" si="16"/>
        <v>4250</v>
      </c>
      <c r="ES207" s="201">
        <f t="shared" si="16"/>
        <v>2998</v>
      </c>
      <c r="ET207" s="201">
        <f t="shared" si="16"/>
        <v>0</v>
      </c>
      <c r="EU207" s="201">
        <f t="shared" si="16"/>
        <v>0</v>
      </c>
      <c r="EV207" s="201">
        <f t="shared" si="16"/>
        <v>0</v>
      </c>
      <c r="EW207" s="201">
        <f t="shared" si="16"/>
        <v>0</v>
      </c>
      <c r="EX207" s="201">
        <f t="shared" si="16"/>
        <v>0</v>
      </c>
      <c r="EY207" s="201">
        <f t="shared" si="16"/>
        <v>0</v>
      </c>
      <c r="EZ207" s="201">
        <f t="shared" si="16"/>
        <v>0</v>
      </c>
      <c r="FA207" s="201">
        <f t="shared" si="16"/>
        <v>0</v>
      </c>
      <c r="FB207" s="201">
        <f t="shared" si="16"/>
        <v>0</v>
      </c>
    </row>
    <row r="208" spans="1:158" ht="16" thickBot="1" x14ac:dyDescent="0.25">
      <c r="A208" s="1204" t="s">
        <v>250</v>
      </c>
      <c r="B208" s="1205"/>
      <c r="C208" s="1205"/>
      <c r="D208" s="1205"/>
      <c r="E208" s="1205"/>
      <c r="F208" s="1206"/>
      <c r="G208" s="11"/>
      <c r="H208" s="198">
        <f>SUM(CC208:ET208)</f>
        <v>176125</v>
      </c>
      <c r="I208" s="76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77">
        <f t="shared" ref="U208:CF208" si="17">U50*5</f>
        <v>150</v>
      </c>
      <c r="V208" s="77">
        <f t="shared" si="17"/>
        <v>285</v>
      </c>
      <c r="W208" s="77">
        <f t="shared" si="17"/>
        <v>510</v>
      </c>
      <c r="X208" s="77">
        <f t="shared" si="17"/>
        <v>625</v>
      </c>
      <c r="Y208" s="77">
        <f t="shared" si="17"/>
        <v>750</v>
      </c>
      <c r="Z208" s="77">
        <f t="shared" si="17"/>
        <v>1000</v>
      </c>
      <c r="AA208" s="77">
        <f t="shared" si="17"/>
        <v>1000</v>
      </c>
      <c r="AB208" s="78">
        <f t="shared" si="17"/>
        <v>750</v>
      </c>
      <c r="AC208" s="77">
        <f t="shared" si="17"/>
        <v>1000</v>
      </c>
      <c r="AD208" s="38">
        <f t="shared" si="17"/>
        <v>900</v>
      </c>
      <c r="AE208" s="38">
        <f t="shared" si="17"/>
        <v>900</v>
      </c>
      <c r="AF208" s="78">
        <f t="shared" si="17"/>
        <v>900</v>
      </c>
      <c r="AG208" s="38">
        <f t="shared" si="17"/>
        <v>900</v>
      </c>
      <c r="AH208" s="38">
        <f t="shared" si="17"/>
        <v>900</v>
      </c>
      <c r="AI208" s="38">
        <f t="shared" si="17"/>
        <v>900</v>
      </c>
      <c r="AJ208" s="38">
        <f t="shared" si="17"/>
        <v>900</v>
      </c>
      <c r="AK208" s="38">
        <f t="shared" si="17"/>
        <v>600</v>
      </c>
      <c r="AL208" s="38">
        <f t="shared" si="17"/>
        <v>600</v>
      </c>
      <c r="AM208" s="38">
        <f t="shared" si="17"/>
        <v>1000</v>
      </c>
      <c r="AN208" s="38">
        <f t="shared" si="17"/>
        <v>1000</v>
      </c>
      <c r="AO208" s="38">
        <f t="shared" si="17"/>
        <v>1250</v>
      </c>
      <c r="AP208" s="77">
        <f t="shared" si="17"/>
        <v>1500</v>
      </c>
      <c r="AQ208" s="38">
        <f t="shared" si="17"/>
        <v>1250</v>
      </c>
      <c r="AR208" s="38">
        <f t="shared" si="17"/>
        <v>1500</v>
      </c>
      <c r="AS208" s="78">
        <f t="shared" si="17"/>
        <v>1500</v>
      </c>
      <c r="AT208" s="38">
        <f t="shared" si="17"/>
        <v>1500</v>
      </c>
      <c r="AU208" s="38">
        <f t="shared" si="17"/>
        <v>1750</v>
      </c>
      <c r="AV208" s="38">
        <f t="shared" si="17"/>
        <v>1500</v>
      </c>
      <c r="AW208" s="38">
        <f t="shared" si="17"/>
        <v>1500</v>
      </c>
      <c r="AX208" s="38">
        <f t="shared" si="17"/>
        <v>1500</v>
      </c>
      <c r="AY208" s="77">
        <f t="shared" si="17"/>
        <v>1000</v>
      </c>
      <c r="AZ208" s="38">
        <f t="shared" si="17"/>
        <v>1250</v>
      </c>
      <c r="BA208" s="38">
        <f t="shared" si="17"/>
        <v>1250</v>
      </c>
      <c r="BB208" s="78">
        <f t="shared" si="17"/>
        <v>1250</v>
      </c>
      <c r="BC208" s="78">
        <f t="shared" si="17"/>
        <v>1250</v>
      </c>
      <c r="BD208" s="78">
        <f t="shared" si="17"/>
        <v>1250</v>
      </c>
      <c r="BE208" s="78">
        <f t="shared" si="17"/>
        <v>1500</v>
      </c>
      <c r="BF208" s="78">
        <f t="shared" si="17"/>
        <v>1500</v>
      </c>
      <c r="BG208" s="78">
        <f t="shared" si="17"/>
        <v>1250</v>
      </c>
      <c r="BH208" s="78">
        <f t="shared" si="17"/>
        <v>1500</v>
      </c>
      <c r="BI208" s="78">
        <f t="shared" si="17"/>
        <v>1500</v>
      </c>
      <c r="BJ208" s="78">
        <f t="shared" si="17"/>
        <v>1500</v>
      </c>
      <c r="BK208" s="78">
        <f t="shared" si="17"/>
        <v>1500</v>
      </c>
      <c r="BL208" s="78">
        <f t="shared" si="17"/>
        <v>1500</v>
      </c>
      <c r="BM208" s="78">
        <f t="shared" si="17"/>
        <v>1750</v>
      </c>
      <c r="BN208" s="78">
        <f t="shared" si="17"/>
        <v>1750</v>
      </c>
      <c r="BO208" s="78">
        <f t="shared" si="17"/>
        <v>1750</v>
      </c>
      <c r="BP208" s="78">
        <f t="shared" si="17"/>
        <v>1750</v>
      </c>
      <c r="BQ208" s="78">
        <f t="shared" si="17"/>
        <v>1750</v>
      </c>
      <c r="BR208" s="78">
        <f t="shared" si="17"/>
        <v>2000</v>
      </c>
      <c r="BS208" s="78">
        <f t="shared" si="17"/>
        <v>2000</v>
      </c>
      <c r="BT208" s="78">
        <f t="shared" si="17"/>
        <v>1750</v>
      </c>
      <c r="BU208" s="78">
        <f t="shared" si="17"/>
        <v>1750</v>
      </c>
      <c r="BV208" s="78">
        <f t="shared" si="17"/>
        <v>2000</v>
      </c>
      <c r="BW208" s="78">
        <f t="shared" si="17"/>
        <v>1900</v>
      </c>
      <c r="BX208" s="78">
        <f t="shared" si="17"/>
        <v>1750</v>
      </c>
      <c r="BY208" s="78">
        <f t="shared" si="17"/>
        <v>2000</v>
      </c>
      <c r="BZ208" s="78">
        <f t="shared" si="17"/>
        <v>2000</v>
      </c>
      <c r="CA208" s="78">
        <f t="shared" si="17"/>
        <v>2000</v>
      </c>
      <c r="CB208" s="78">
        <f t="shared" si="17"/>
        <v>1500</v>
      </c>
      <c r="CC208" s="78">
        <f t="shared" si="17"/>
        <v>1500</v>
      </c>
      <c r="CD208" s="78">
        <f t="shared" si="17"/>
        <v>600</v>
      </c>
      <c r="CE208" s="78">
        <f t="shared" si="17"/>
        <v>1500</v>
      </c>
      <c r="CF208" s="78">
        <f t="shared" si="17"/>
        <v>1600</v>
      </c>
      <c r="CG208" s="78">
        <f t="shared" ref="CG208:CN208" si="18">CG50*5</f>
        <v>1600</v>
      </c>
      <c r="CH208" s="78">
        <f t="shared" si="18"/>
        <v>2250</v>
      </c>
      <c r="CI208" s="78">
        <f t="shared" si="18"/>
        <v>1250</v>
      </c>
      <c r="CJ208" s="78">
        <f t="shared" si="18"/>
        <v>1250</v>
      </c>
      <c r="CK208" s="78">
        <f t="shared" si="18"/>
        <v>1850</v>
      </c>
      <c r="CL208" s="78">
        <f t="shared" si="18"/>
        <v>1500</v>
      </c>
      <c r="CM208" s="78">
        <f t="shared" si="18"/>
        <v>1750</v>
      </c>
      <c r="CN208" s="78">
        <f t="shared" si="18"/>
        <v>2125</v>
      </c>
      <c r="CO208" s="78">
        <f>CO50*3</f>
        <v>1275</v>
      </c>
      <c r="CP208" s="78">
        <f>CP50*5</f>
        <v>2000</v>
      </c>
      <c r="CQ208" s="78">
        <f>CQ50*5</f>
        <v>2500</v>
      </c>
      <c r="CR208" s="78">
        <f>CR50*5</f>
        <v>2000</v>
      </c>
      <c r="CS208" s="78">
        <f>CS50*2</f>
        <v>800</v>
      </c>
      <c r="CT208" s="78">
        <f t="shared" ref="CT208:EN208" si="19">CT50*5</f>
        <v>0</v>
      </c>
      <c r="CU208" s="78">
        <f t="shared" si="19"/>
        <v>2750</v>
      </c>
      <c r="CV208" s="78">
        <f t="shared" si="19"/>
        <v>2500</v>
      </c>
      <c r="CW208" s="78">
        <f t="shared" si="19"/>
        <v>2500</v>
      </c>
      <c r="CX208" s="78">
        <f t="shared" si="19"/>
        <v>2250</v>
      </c>
      <c r="CY208" s="78">
        <f t="shared" si="19"/>
        <v>2750</v>
      </c>
      <c r="CZ208" s="78">
        <f t="shared" si="19"/>
        <v>2500</v>
      </c>
      <c r="DA208" s="78">
        <f t="shared" si="19"/>
        <v>2000</v>
      </c>
      <c r="DB208" s="78">
        <f t="shared" si="19"/>
        <v>2000</v>
      </c>
      <c r="DC208" s="78">
        <f t="shared" si="19"/>
        <v>2750</v>
      </c>
      <c r="DD208" s="78">
        <f t="shared" si="19"/>
        <v>2750</v>
      </c>
      <c r="DE208" s="78">
        <f t="shared" si="19"/>
        <v>2750</v>
      </c>
      <c r="DF208" s="78">
        <f t="shared" si="19"/>
        <v>2000</v>
      </c>
      <c r="DG208" s="78">
        <f t="shared" si="19"/>
        <v>2750</v>
      </c>
      <c r="DH208" s="78">
        <f t="shared" si="19"/>
        <v>2750</v>
      </c>
      <c r="DI208" s="78">
        <f t="shared" si="19"/>
        <v>2750</v>
      </c>
      <c r="DJ208" s="178">
        <f t="shared" si="19"/>
        <v>2750</v>
      </c>
      <c r="DK208" s="78">
        <f t="shared" si="19"/>
        <v>2000</v>
      </c>
      <c r="DL208" s="78">
        <f t="shared" si="19"/>
        <v>2750</v>
      </c>
      <c r="DM208" s="78">
        <f t="shared" si="19"/>
        <v>2750</v>
      </c>
      <c r="DN208" s="78">
        <f t="shared" si="19"/>
        <v>2000</v>
      </c>
      <c r="DO208" s="78">
        <f t="shared" si="19"/>
        <v>2250</v>
      </c>
      <c r="DP208" s="78">
        <f t="shared" si="19"/>
        <v>2750</v>
      </c>
      <c r="DQ208" s="78">
        <f t="shared" si="19"/>
        <v>2750</v>
      </c>
      <c r="DR208" s="78">
        <f t="shared" si="19"/>
        <v>2750</v>
      </c>
      <c r="DS208" s="78">
        <f t="shared" si="19"/>
        <v>2000</v>
      </c>
      <c r="DT208" s="78">
        <f t="shared" si="19"/>
        <v>2250</v>
      </c>
      <c r="DU208" s="78">
        <f t="shared" si="19"/>
        <v>2750</v>
      </c>
      <c r="DV208" s="78">
        <f t="shared" si="19"/>
        <v>2750</v>
      </c>
      <c r="DW208" s="78">
        <f t="shared" si="19"/>
        <v>2750</v>
      </c>
      <c r="DX208" s="78">
        <f t="shared" si="19"/>
        <v>2250</v>
      </c>
      <c r="DY208" s="78">
        <f t="shared" si="19"/>
        <v>2250</v>
      </c>
      <c r="DZ208" s="78">
        <f t="shared" si="19"/>
        <v>2750</v>
      </c>
      <c r="EA208" s="78">
        <f t="shared" si="19"/>
        <v>2750</v>
      </c>
      <c r="EB208" s="78">
        <f t="shared" si="19"/>
        <v>2750</v>
      </c>
      <c r="EC208" s="78">
        <f t="shared" si="19"/>
        <v>2125</v>
      </c>
      <c r="ED208" s="78">
        <f t="shared" si="19"/>
        <v>3250</v>
      </c>
      <c r="EE208" s="78">
        <f t="shared" si="19"/>
        <v>3250</v>
      </c>
      <c r="EF208" s="78">
        <f t="shared" si="19"/>
        <v>3500</v>
      </c>
      <c r="EG208" s="78">
        <f t="shared" si="19"/>
        <v>3500</v>
      </c>
      <c r="EH208" s="78">
        <f t="shared" si="19"/>
        <v>4250</v>
      </c>
      <c r="EI208" s="78">
        <f t="shared" si="19"/>
        <v>4250</v>
      </c>
      <c r="EJ208" s="78">
        <f t="shared" si="19"/>
        <v>3750</v>
      </c>
      <c r="EK208" s="78">
        <f t="shared" si="19"/>
        <v>3750</v>
      </c>
      <c r="EL208" s="78">
        <f t="shared" si="19"/>
        <v>4250</v>
      </c>
      <c r="EM208" s="78">
        <f t="shared" si="19"/>
        <v>4250</v>
      </c>
      <c r="EN208" s="78">
        <f t="shared" si="19"/>
        <v>4250</v>
      </c>
      <c r="EO208" s="78">
        <f>EO50*4</f>
        <v>3000</v>
      </c>
      <c r="EP208" s="78">
        <f>EP50*5</f>
        <v>3750</v>
      </c>
      <c r="EQ208" s="78">
        <f>EQ50*5</f>
        <v>4250</v>
      </c>
      <c r="ER208" s="78">
        <f>ER50*5</f>
        <v>4250</v>
      </c>
      <c r="ES208" s="78">
        <f>ES50*4</f>
        <v>3400</v>
      </c>
      <c r="ET208" s="78">
        <v>0</v>
      </c>
      <c r="EU208" s="78">
        <f t="shared" ref="EU208:FB208" si="20">EU50*5</f>
        <v>4250</v>
      </c>
      <c r="EV208" s="78">
        <f t="shared" si="20"/>
        <v>4250</v>
      </c>
      <c r="EW208" s="78">
        <f t="shared" si="20"/>
        <v>4250</v>
      </c>
      <c r="EX208" s="78">
        <f t="shared" si="20"/>
        <v>4250</v>
      </c>
      <c r="EY208" s="78">
        <f t="shared" si="20"/>
        <v>3500</v>
      </c>
      <c r="EZ208" s="78">
        <f t="shared" si="20"/>
        <v>3500</v>
      </c>
      <c r="FA208" s="78">
        <f t="shared" si="20"/>
        <v>4250</v>
      </c>
      <c r="FB208" s="78">
        <f t="shared" si="20"/>
        <v>4250</v>
      </c>
    </row>
    <row r="209" spans="1:158" ht="16" thickBot="1" x14ac:dyDescent="0.25">
      <c r="A209" s="1207" t="s">
        <v>251</v>
      </c>
      <c r="B209" s="1208"/>
      <c r="C209" s="1208"/>
      <c r="D209" s="1208"/>
      <c r="E209" s="1208"/>
      <c r="F209" s="1209"/>
      <c r="G209" s="104"/>
      <c r="H209" s="792">
        <f>+H207-H208</f>
        <v>871</v>
      </c>
      <c r="I209" s="793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77">
        <f t="shared" ref="U209:Z209" si="21">U207-U208</f>
        <v>0</v>
      </c>
      <c r="V209" s="77">
        <f t="shared" si="21"/>
        <v>0</v>
      </c>
      <c r="W209" s="77">
        <f t="shared" si="21"/>
        <v>0</v>
      </c>
      <c r="X209" s="77">
        <f t="shared" si="21"/>
        <v>0</v>
      </c>
      <c r="Y209" s="77">
        <f t="shared" si="21"/>
        <v>0</v>
      </c>
      <c r="Z209" s="77">
        <f t="shared" si="21"/>
        <v>0</v>
      </c>
      <c r="AA209" s="77" t="e">
        <f>AA207-AA208</f>
        <v>#REF!</v>
      </c>
      <c r="AB209" s="78" t="e">
        <f t="shared" ref="AB209:CM209" si="22">AB207-AB208</f>
        <v>#REF!</v>
      </c>
      <c r="AC209" s="77">
        <f>AC207-AC208</f>
        <v>-1000</v>
      </c>
      <c r="AD209" s="38">
        <f>AD207-AD208</f>
        <v>-900</v>
      </c>
      <c r="AE209" s="38">
        <f t="shared" si="22"/>
        <v>-900</v>
      </c>
      <c r="AF209" s="78">
        <f t="shared" si="22"/>
        <v>-900</v>
      </c>
      <c r="AG209" s="38">
        <f t="shared" si="22"/>
        <v>-900</v>
      </c>
      <c r="AH209" s="38">
        <f t="shared" si="22"/>
        <v>-900</v>
      </c>
      <c r="AI209" s="38">
        <f t="shared" si="22"/>
        <v>-900</v>
      </c>
      <c r="AJ209" s="38">
        <f t="shared" si="22"/>
        <v>-900</v>
      </c>
      <c r="AK209" s="38">
        <f t="shared" si="22"/>
        <v>-600</v>
      </c>
      <c r="AL209" s="38">
        <f t="shared" si="22"/>
        <v>-600</v>
      </c>
      <c r="AM209" s="38">
        <f t="shared" si="22"/>
        <v>-1000</v>
      </c>
      <c r="AN209" s="38">
        <f t="shared" si="22"/>
        <v>-1000</v>
      </c>
      <c r="AO209" s="38">
        <f t="shared" si="22"/>
        <v>-1250</v>
      </c>
      <c r="AP209" s="77">
        <f t="shared" si="22"/>
        <v>-1500</v>
      </c>
      <c r="AQ209" s="38">
        <f t="shared" si="22"/>
        <v>-1250</v>
      </c>
      <c r="AR209" s="38">
        <f t="shared" si="22"/>
        <v>-1500</v>
      </c>
      <c r="AS209" s="78">
        <f t="shared" si="22"/>
        <v>-1500</v>
      </c>
      <c r="AT209" s="38">
        <f t="shared" si="22"/>
        <v>-1500</v>
      </c>
      <c r="AU209" s="38">
        <f t="shared" si="22"/>
        <v>-1750</v>
      </c>
      <c r="AV209" s="38">
        <f t="shared" si="22"/>
        <v>-1500</v>
      </c>
      <c r="AW209" s="38">
        <f t="shared" si="22"/>
        <v>-1500</v>
      </c>
      <c r="AX209" s="38">
        <f t="shared" si="22"/>
        <v>-1500</v>
      </c>
      <c r="AY209" s="77">
        <f t="shared" si="22"/>
        <v>-1000</v>
      </c>
      <c r="AZ209" s="38">
        <f t="shared" si="22"/>
        <v>-1250</v>
      </c>
      <c r="BA209" s="38">
        <f t="shared" si="22"/>
        <v>-1250</v>
      </c>
      <c r="BB209" s="78">
        <f t="shared" si="22"/>
        <v>-1250</v>
      </c>
      <c r="BC209" s="78">
        <f t="shared" si="22"/>
        <v>-1250</v>
      </c>
      <c r="BD209" s="78">
        <f t="shared" si="22"/>
        <v>-1250</v>
      </c>
      <c r="BE209" s="78">
        <f t="shared" si="22"/>
        <v>-1500</v>
      </c>
      <c r="BF209" s="78">
        <f t="shared" si="22"/>
        <v>-1500</v>
      </c>
      <c r="BG209" s="78">
        <f t="shared" si="22"/>
        <v>-1250</v>
      </c>
      <c r="BH209" s="78">
        <f t="shared" si="22"/>
        <v>-1500</v>
      </c>
      <c r="BI209" s="78">
        <f t="shared" si="22"/>
        <v>-1500</v>
      </c>
      <c r="BJ209" s="78">
        <f t="shared" si="22"/>
        <v>-1500</v>
      </c>
      <c r="BK209" s="78">
        <f t="shared" si="22"/>
        <v>-1500</v>
      </c>
      <c r="BL209" s="78">
        <f t="shared" si="22"/>
        <v>-1500</v>
      </c>
      <c r="BM209" s="78">
        <f t="shared" si="22"/>
        <v>-1750</v>
      </c>
      <c r="BN209" s="78">
        <f t="shared" si="22"/>
        <v>-1750</v>
      </c>
      <c r="BO209" s="78">
        <f t="shared" si="22"/>
        <v>-1750</v>
      </c>
      <c r="BP209" s="78">
        <f t="shared" si="22"/>
        <v>-1750</v>
      </c>
      <c r="BQ209" s="78">
        <f t="shared" si="22"/>
        <v>-1750</v>
      </c>
      <c r="BR209" s="78">
        <f t="shared" si="22"/>
        <v>-2000</v>
      </c>
      <c r="BS209" s="78">
        <f t="shared" si="22"/>
        <v>-2000</v>
      </c>
      <c r="BT209" s="78">
        <f t="shared" si="22"/>
        <v>-1750</v>
      </c>
      <c r="BU209" s="78">
        <f t="shared" si="22"/>
        <v>-1750</v>
      </c>
      <c r="BV209" s="78">
        <f t="shared" si="22"/>
        <v>-2000</v>
      </c>
      <c r="BW209" s="78">
        <f t="shared" si="22"/>
        <v>-1900</v>
      </c>
      <c r="BX209" s="78">
        <f t="shared" si="22"/>
        <v>-1750</v>
      </c>
      <c r="BY209" s="78">
        <f>BY207-BY208</f>
        <v>-2000</v>
      </c>
      <c r="BZ209" s="78">
        <f t="shared" si="22"/>
        <v>-2000</v>
      </c>
      <c r="CA209" s="78">
        <f t="shared" si="22"/>
        <v>-2000</v>
      </c>
      <c r="CB209" s="78">
        <f t="shared" si="22"/>
        <v>-1500</v>
      </c>
      <c r="CC209" s="78">
        <f>CC207-CC208</f>
        <v>-1400</v>
      </c>
      <c r="CD209" s="78">
        <f t="shared" si="22"/>
        <v>0</v>
      </c>
      <c r="CE209" s="78">
        <f t="shared" si="22"/>
        <v>80</v>
      </c>
      <c r="CF209" s="78">
        <f>CF207-CF208</f>
        <v>-136</v>
      </c>
      <c r="CG209" s="78">
        <f t="shared" si="22"/>
        <v>60</v>
      </c>
      <c r="CH209" s="78">
        <f t="shared" si="22"/>
        <v>212</v>
      </c>
      <c r="CI209" s="78">
        <f t="shared" si="22"/>
        <v>0</v>
      </c>
      <c r="CJ209" s="78">
        <f t="shared" si="22"/>
        <v>0</v>
      </c>
      <c r="CK209" s="78">
        <f t="shared" si="22"/>
        <v>26</v>
      </c>
      <c r="CL209" s="78">
        <f>CL207-CL208</f>
        <v>-458</v>
      </c>
      <c r="CM209" s="78">
        <f t="shared" si="22"/>
        <v>-150</v>
      </c>
      <c r="CN209" s="78">
        <f t="shared" ref="CN209:EY209" si="23">CN207-CN208</f>
        <v>109</v>
      </c>
      <c r="CO209" s="78">
        <f t="shared" si="23"/>
        <v>0</v>
      </c>
      <c r="CP209" s="78">
        <f t="shared" si="23"/>
        <v>129</v>
      </c>
      <c r="CQ209" s="78">
        <f t="shared" si="23"/>
        <v>-132</v>
      </c>
      <c r="CR209" s="78">
        <f t="shared" si="23"/>
        <v>-26</v>
      </c>
      <c r="CS209" s="78">
        <f t="shared" si="23"/>
        <v>778</v>
      </c>
      <c r="CT209" s="78">
        <f t="shared" si="23"/>
        <v>0</v>
      </c>
      <c r="CU209" s="78">
        <f t="shared" si="23"/>
        <v>-896</v>
      </c>
      <c r="CV209" s="78">
        <f t="shared" si="23"/>
        <v>868</v>
      </c>
      <c r="CW209" s="78">
        <f t="shared" si="23"/>
        <v>0</v>
      </c>
      <c r="CX209" s="78">
        <f t="shared" si="23"/>
        <v>206</v>
      </c>
      <c r="CY209" s="78">
        <f t="shared" si="23"/>
        <v>180</v>
      </c>
      <c r="CZ209" s="78">
        <f t="shared" si="23"/>
        <v>-200</v>
      </c>
      <c r="DA209" s="78">
        <f t="shared" si="23"/>
        <v>250</v>
      </c>
      <c r="DB209" s="78">
        <f t="shared" si="23"/>
        <v>52</v>
      </c>
      <c r="DC209" s="78">
        <f t="shared" si="23"/>
        <v>776</v>
      </c>
      <c r="DD209" s="78">
        <f t="shared" si="23"/>
        <v>-20</v>
      </c>
      <c r="DE209" s="78">
        <f t="shared" si="23"/>
        <v>68</v>
      </c>
      <c r="DF209" s="78">
        <f t="shared" si="23"/>
        <v>180</v>
      </c>
      <c r="DG209" s="78">
        <f t="shared" si="23"/>
        <v>-150</v>
      </c>
      <c r="DH209" s="78">
        <f t="shared" si="23"/>
        <v>0</v>
      </c>
      <c r="DI209" s="78">
        <f t="shared" si="23"/>
        <v>0</v>
      </c>
      <c r="DJ209" s="178">
        <f t="shared" si="23"/>
        <v>-42</v>
      </c>
      <c r="DK209" s="78">
        <f t="shared" si="23"/>
        <v>170</v>
      </c>
      <c r="DL209" s="78">
        <f t="shared" si="23"/>
        <v>-50</v>
      </c>
      <c r="DM209" s="78">
        <f t="shared" si="23"/>
        <v>-184</v>
      </c>
      <c r="DN209" s="78">
        <f t="shared" si="23"/>
        <v>267</v>
      </c>
      <c r="DO209" s="78">
        <f t="shared" si="23"/>
        <v>27</v>
      </c>
      <c r="DP209" s="78">
        <f t="shared" si="23"/>
        <v>0</v>
      </c>
      <c r="DQ209" s="78">
        <f t="shared" si="23"/>
        <v>-12</v>
      </c>
      <c r="DR209" s="78">
        <f t="shared" si="23"/>
        <v>29</v>
      </c>
      <c r="DS209" s="78">
        <f t="shared" si="23"/>
        <v>188</v>
      </c>
      <c r="DT209" s="78">
        <f t="shared" si="23"/>
        <v>0</v>
      </c>
      <c r="DU209" s="78">
        <f t="shared" si="23"/>
        <v>-300</v>
      </c>
      <c r="DV209" s="78">
        <f t="shared" si="23"/>
        <v>7</v>
      </c>
      <c r="DW209" s="78">
        <f t="shared" si="23"/>
        <v>0</v>
      </c>
      <c r="DX209" s="78">
        <f t="shared" si="23"/>
        <v>350</v>
      </c>
      <c r="DY209" s="78">
        <f t="shared" si="23"/>
        <v>0</v>
      </c>
      <c r="DZ209" s="78">
        <f t="shared" si="23"/>
        <v>0</v>
      </c>
      <c r="EA209" s="78">
        <f>EA207-EA208</f>
        <v>-44</v>
      </c>
      <c r="EB209" s="78">
        <f t="shared" si="23"/>
        <v>50</v>
      </c>
      <c r="EC209" s="78">
        <f t="shared" si="23"/>
        <v>125</v>
      </c>
      <c r="ED209" s="78">
        <f t="shared" si="23"/>
        <v>0</v>
      </c>
      <c r="EE209" s="78">
        <f t="shared" si="23"/>
        <v>283</v>
      </c>
      <c r="EF209" s="78">
        <f t="shared" si="23"/>
        <v>-403</v>
      </c>
      <c r="EG209" s="78">
        <f t="shared" si="23"/>
        <v>0</v>
      </c>
      <c r="EH209" s="78">
        <f t="shared" si="23"/>
        <v>220</v>
      </c>
      <c r="EI209" s="78">
        <f t="shared" si="23"/>
        <v>33</v>
      </c>
      <c r="EJ209" s="78">
        <f t="shared" si="23"/>
        <v>9</v>
      </c>
      <c r="EK209" s="78">
        <f t="shared" si="23"/>
        <v>0</v>
      </c>
      <c r="EL209" s="78">
        <f t="shared" si="23"/>
        <v>0</v>
      </c>
      <c r="EM209" s="78">
        <f t="shared" si="23"/>
        <v>26</v>
      </c>
      <c r="EN209" s="78">
        <f t="shared" si="23"/>
        <v>20</v>
      </c>
      <c r="EO209" s="78">
        <f t="shared" si="23"/>
        <v>59</v>
      </c>
      <c r="EP209" s="78">
        <f t="shared" si="23"/>
        <v>0</v>
      </c>
      <c r="EQ209" s="78">
        <f t="shared" si="23"/>
        <v>39</v>
      </c>
      <c r="ER209" s="78">
        <f t="shared" si="23"/>
        <v>0</v>
      </c>
      <c r="ES209" s="78">
        <f t="shared" si="23"/>
        <v>-402</v>
      </c>
      <c r="ET209" s="78">
        <f t="shared" si="23"/>
        <v>0</v>
      </c>
      <c r="EU209" s="78">
        <f t="shared" si="23"/>
        <v>-4250</v>
      </c>
      <c r="EV209" s="78">
        <f t="shared" si="23"/>
        <v>-4250</v>
      </c>
      <c r="EW209" s="78">
        <f t="shared" si="23"/>
        <v>-4250</v>
      </c>
      <c r="EX209" s="78">
        <f t="shared" si="23"/>
        <v>-4250</v>
      </c>
      <c r="EY209" s="78">
        <f t="shared" si="23"/>
        <v>-3500</v>
      </c>
      <c r="EZ209" s="78">
        <f>EZ207-EZ208</f>
        <v>-3500</v>
      </c>
      <c r="FA209" s="78">
        <f>FA207-FA208</f>
        <v>-4250</v>
      </c>
      <c r="FB209" s="78">
        <f>FB207-FB208</f>
        <v>-4250</v>
      </c>
    </row>
    <row r="210" spans="1:158" x14ac:dyDescent="0.2">
      <c r="AG210" s="80"/>
      <c r="AJ210" s="81"/>
      <c r="DJ210" s="181"/>
    </row>
    <row r="211" spans="1:158" x14ac:dyDescent="0.2">
      <c r="AG211" s="80"/>
      <c r="AJ211" s="81"/>
      <c r="DJ211" s="181"/>
    </row>
    <row r="212" spans="1:158" hidden="1" x14ac:dyDescent="0.2">
      <c r="A212" s="1210" t="s">
        <v>252</v>
      </c>
      <c r="B212" s="1035"/>
      <c r="C212" s="1035"/>
      <c r="D212" s="1035"/>
      <c r="E212" s="1035"/>
      <c r="F212" s="1035"/>
      <c r="G212" s="1035"/>
      <c r="H212" s="1035"/>
      <c r="I212" s="59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82">
        <v>35</v>
      </c>
      <c r="U212" s="83">
        <v>35</v>
      </c>
      <c r="V212" s="83">
        <v>35</v>
      </c>
      <c r="W212" s="83">
        <v>35</v>
      </c>
      <c r="X212" s="84">
        <v>50</v>
      </c>
      <c r="Y212" s="82">
        <f t="shared" ref="Y212:CJ212" si="24">+X212</f>
        <v>50</v>
      </c>
      <c r="Z212" s="83">
        <f t="shared" si="24"/>
        <v>50</v>
      </c>
      <c r="AA212" s="83">
        <f>+Z212</f>
        <v>50</v>
      </c>
      <c r="AB212" s="83" t="e">
        <f>+((#REF!+#REF!)*35+(#REF!*50))/AB207</f>
        <v>#REF!</v>
      </c>
      <c r="AC212" s="82">
        <v>35</v>
      </c>
      <c r="AD212" s="83" t="e">
        <f>+((#REF!*35)+(#REF!*50))/AD207</f>
        <v>#REF!</v>
      </c>
      <c r="AE212" s="83">
        <v>50</v>
      </c>
      <c r="AF212" s="84">
        <f t="shared" si="24"/>
        <v>50</v>
      </c>
      <c r="AG212" s="82">
        <f t="shared" si="24"/>
        <v>50</v>
      </c>
      <c r="AH212" s="83">
        <f>+AG212</f>
        <v>50</v>
      </c>
      <c r="AI212" s="83">
        <f t="shared" si="24"/>
        <v>50</v>
      </c>
      <c r="AJ212" s="84">
        <f t="shared" si="24"/>
        <v>50</v>
      </c>
      <c r="AK212" s="82">
        <f>+AJ212</f>
        <v>50</v>
      </c>
      <c r="AL212" s="83">
        <f t="shared" si="24"/>
        <v>50</v>
      </c>
      <c r="AM212" s="83">
        <f>+AL212</f>
        <v>50</v>
      </c>
      <c r="AN212" s="83">
        <f t="shared" si="24"/>
        <v>50</v>
      </c>
      <c r="AO212" s="84">
        <f>+AN212</f>
        <v>50</v>
      </c>
      <c r="AP212" s="82">
        <f t="shared" si="24"/>
        <v>50</v>
      </c>
      <c r="AQ212" s="83">
        <f t="shared" si="24"/>
        <v>50</v>
      </c>
      <c r="AR212" s="83">
        <f t="shared" si="24"/>
        <v>50</v>
      </c>
      <c r="AS212" s="84">
        <f t="shared" si="24"/>
        <v>50</v>
      </c>
      <c r="AT212" s="85">
        <f t="shared" si="24"/>
        <v>50</v>
      </c>
      <c r="AU212" s="84">
        <f t="shared" si="24"/>
        <v>50</v>
      </c>
      <c r="AV212" s="84">
        <f t="shared" si="24"/>
        <v>50</v>
      </c>
      <c r="AW212" s="84">
        <f t="shared" si="24"/>
        <v>50</v>
      </c>
      <c r="AX212" s="84">
        <f t="shared" si="24"/>
        <v>50</v>
      </c>
      <c r="AY212" s="85">
        <f t="shared" si="24"/>
        <v>50</v>
      </c>
      <c r="AZ212" s="84">
        <f t="shared" si="24"/>
        <v>50</v>
      </c>
      <c r="BA212" s="84">
        <f t="shared" si="24"/>
        <v>50</v>
      </c>
      <c r="BB212" s="84">
        <f t="shared" si="24"/>
        <v>50</v>
      </c>
      <c r="BC212" s="84">
        <f t="shared" si="24"/>
        <v>50</v>
      </c>
      <c r="BD212" s="84">
        <f t="shared" si="24"/>
        <v>50</v>
      </c>
      <c r="BE212" s="84">
        <f t="shared" si="24"/>
        <v>50</v>
      </c>
      <c r="BF212" s="84">
        <f t="shared" si="24"/>
        <v>50</v>
      </c>
      <c r="BG212" s="84">
        <f t="shared" si="24"/>
        <v>50</v>
      </c>
      <c r="BH212" s="84">
        <f t="shared" si="24"/>
        <v>50</v>
      </c>
      <c r="BI212" s="84">
        <f t="shared" si="24"/>
        <v>50</v>
      </c>
      <c r="BJ212" s="83">
        <f t="shared" si="24"/>
        <v>50</v>
      </c>
      <c r="BK212" s="85">
        <f t="shared" si="24"/>
        <v>50</v>
      </c>
      <c r="BL212" s="84">
        <f t="shared" si="24"/>
        <v>50</v>
      </c>
      <c r="BM212" s="84">
        <f t="shared" si="24"/>
        <v>50</v>
      </c>
      <c r="BN212" s="84">
        <f t="shared" si="24"/>
        <v>50</v>
      </c>
      <c r="BO212" s="84">
        <f t="shared" si="24"/>
        <v>50</v>
      </c>
      <c r="BP212" s="84">
        <f t="shared" si="24"/>
        <v>50</v>
      </c>
      <c r="BQ212" s="84">
        <f t="shared" si="24"/>
        <v>50</v>
      </c>
      <c r="BR212" s="84">
        <f t="shared" si="24"/>
        <v>50</v>
      </c>
      <c r="BS212" s="84">
        <f t="shared" si="24"/>
        <v>50</v>
      </c>
      <c r="BT212" s="84">
        <f t="shared" si="24"/>
        <v>50</v>
      </c>
      <c r="BU212" s="84">
        <f t="shared" si="24"/>
        <v>50</v>
      </c>
      <c r="BV212" s="84">
        <f t="shared" si="24"/>
        <v>50</v>
      </c>
      <c r="BW212" s="84">
        <f t="shared" si="24"/>
        <v>50</v>
      </c>
      <c r="BX212" s="84">
        <f t="shared" si="24"/>
        <v>50</v>
      </c>
      <c r="BY212" s="84">
        <f t="shared" si="24"/>
        <v>50</v>
      </c>
      <c r="BZ212" s="84">
        <f t="shared" si="24"/>
        <v>50</v>
      </c>
      <c r="CA212" s="84">
        <f t="shared" si="24"/>
        <v>50</v>
      </c>
      <c r="CB212" s="84">
        <f t="shared" si="24"/>
        <v>50</v>
      </c>
      <c r="CC212" s="84">
        <f t="shared" si="24"/>
        <v>50</v>
      </c>
      <c r="CD212" s="84">
        <f t="shared" si="24"/>
        <v>50</v>
      </c>
      <c r="CE212" s="84">
        <f t="shared" si="24"/>
        <v>50</v>
      </c>
      <c r="CF212" s="84">
        <f t="shared" si="24"/>
        <v>50</v>
      </c>
      <c r="CG212" s="84">
        <f t="shared" si="24"/>
        <v>50</v>
      </c>
      <c r="CH212" s="84">
        <f t="shared" si="24"/>
        <v>50</v>
      </c>
      <c r="CI212" s="84">
        <f t="shared" si="24"/>
        <v>50</v>
      </c>
      <c r="CJ212" s="84">
        <f t="shared" si="24"/>
        <v>50</v>
      </c>
      <c r="CK212" s="84">
        <f t="shared" ref="CK212:CX212" si="25">+CJ212</f>
        <v>50</v>
      </c>
      <c r="CL212" s="84">
        <f t="shared" si="25"/>
        <v>50</v>
      </c>
      <c r="CM212" s="84">
        <f t="shared" si="25"/>
        <v>50</v>
      </c>
      <c r="CN212" s="84">
        <f t="shared" si="25"/>
        <v>50</v>
      </c>
      <c r="CO212" s="84">
        <f t="shared" si="25"/>
        <v>50</v>
      </c>
      <c r="CP212" s="84">
        <f t="shared" si="25"/>
        <v>50</v>
      </c>
      <c r="CQ212" s="84">
        <f t="shared" si="25"/>
        <v>50</v>
      </c>
      <c r="CR212" s="84">
        <f t="shared" si="25"/>
        <v>50</v>
      </c>
      <c r="CS212" s="84">
        <f t="shared" si="25"/>
        <v>50</v>
      </c>
      <c r="CT212" s="84">
        <f t="shared" si="25"/>
        <v>50</v>
      </c>
      <c r="CU212" s="84">
        <f t="shared" si="25"/>
        <v>50</v>
      </c>
      <c r="CV212" s="84">
        <f t="shared" si="25"/>
        <v>50</v>
      </c>
      <c r="CW212" s="84">
        <f t="shared" si="25"/>
        <v>50</v>
      </c>
      <c r="CX212" s="84">
        <f t="shared" si="25"/>
        <v>50</v>
      </c>
      <c r="DJ212" s="181"/>
    </row>
    <row r="213" spans="1:158" s="89" customFormat="1" ht="16" hidden="1" thickBot="1" x14ac:dyDescent="0.25">
      <c r="A213" s="1025" t="s">
        <v>253</v>
      </c>
      <c r="B213" s="1026"/>
      <c r="C213" s="1026"/>
      <c r="D213" s="1026"/>
      <c r="E213" s="1026"/>
      <c r="F213" s="1026"/>
      <c r="G213" s="1026"/>
      <c r="H213" s="1026"/>
      <c r="I213" s="88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7">
        <f>+T212*T207</f>
        <v>0</v>
      </c>
      <c r="U213" s="86" t="e">
        <f>+(#REF!+#REF!+#REF!+#REF!)*U212</f>
        <v>#REF!</v>
      </c>
      <c r="V213" s="86" t="e">
        <f>+(#REF!+#REF!+#REF!+#REF!)*V212</f>
        <v>#REF!</v>
      </c>
      <c r="W213" s="86" t="e">
        <f>+(#REF!+#REF!+#REF!+#REF!)*W212</f>
        <v>#REF!</v>
      </c>
      <c r="X213" s="88" t="e">
        <f>+(#REF!+#REF!+#REF!+#REF!)*X212</f>
        <v>#REF!</v>
      </c>
      <c r="Y213" s="87" t="e">
        <f>+(#REF!+#REF!+#REF!+#REF!)*Y212</f>
        <v>#REF!</v>
      </c>
      <c r="Z213" s="86" t="e">
        <f>+(#REF!+#REF!+#REF!+#REF!)*Z212</f>
        <v>#REF!</v>
      </c>
      <c r="AA213" s="86" t="e">
        <f>+(#REF!+#REF!+#REF!+#REF!+#REF!+#REF!+#REF!)*AA212</f>
        <v>#REF!</v>
      </c>
      <c r="AB213" s="86" t="e">
        <f>+(#REF!+#REF!+#REF!+#REF!+#REF!+#REF!+#REF!)*AB212</f>
        <v>#REF!</v>
      </c>
      <c r="AC213" s="87" t="e">
        <f>+(#REF!+#REF!+#REF!+#REF!+#REF!+#REF!+#REF!)*AC212</f>
        <v>#REF!</v>
      </c>
      <c r="AD213" s="86" t="e">
        <f>+(#REF!+#REF!+#REF!+#REF!+#REF!+#REF!+#REF!)*AD212</f>
        <v>#REF!</v>
      </c>
      <c r="AE213" s="86" t="e">
        <f>+(#REF!+#REF!+#REF!+#REF!+#REF!+#REF!+#REF!)*AE212</f>
        <v>#REF!</v>
      </c>
      <c r="AF213" s="88" t="e">
        <f>+(#REF!+#REF!+#REF!+#REF!+#REF!+#REF!+#REF!)*AF212</f>
        <v>#REF!</v>
      </c>
      <c r="AG213" s="87" t="e">
        <f>+(#REF!+#REF!+#REF!+#REF!+#REF!+#REF!+#REF!)*AG212</f>
        <v>#REF!</v>
      </c>
      <c r="AH213" s="86" t="e">
        <f>+(#REF!+#REF!+#REF!+#REF!+#REF!+#REF!+#REF!)*AH212</f>
        <v>#REF!</v>
      </c>
      <c r="AI213" s="86" t="e">
        <f>+(#REF!+#REF!+#REF!+#REF!+#REF!+#REF!+#REF!)*AI212</f>
        <v>#REF!</v>
      </c>
      <c r="AJ213" s="86" t="e">
        <f>+(#REF!+#REF!+#REF!+#REF!+#REF!+#REF!+#REF!)*AJ212</f>
        <v>#REF!</v>
      </c>
      <c r="AK213" s="86" t="e">
        <f>+(#REF!+#REF!+#REF!+#REF!+#REF!+#REF!+#REF!)*AK212</f>
        <v>#REF!</v>
      </c>
      <c r="AL213" s="86" t="e">
        <f>+(#REF!+#REF!+#REF!+#REF!+#REF!+#REF!+#REF!)*AL212</f>
        <v>#REF!</v>
      </c>
      <c r="AM213" s="86" t="e">
        <f>+(#REF!+#REF!+#REF!+#REF!+#REF!+#REF!+#REF!)*AM212</f>
        <v>#REF!</v>
      </c>
      <c r="AN213" s="86" t="e">
        <f>+(#REF!+#REF!+#REF!+#REF!+#REF!+#REF!+#REF!)*AN212</f>
        <v>#REF!</v>
      </c>
      <c r="AO213" s="86" t="e">
        <f>+(#REF!+#REF!+#REF!+#REF!+#REF!+#REF!+#REF!)*AO212</f>
        <v>#REF!</v>
      </c>
      <c r="AP213" s="86" t="e">
        <f>+(#REF!+#REF!+#REF!+#REF!+#REF!+#REF!+#REF!)*AP212</f>
        <v>#REF!</v>
      </c>
      <c r="AQ213" s="86" t="e">
        <f>+(#REF!+#REF!+#REF!+#REF!+#REF!+#REF!+#REF!)*AQ212</f>
        <v>#REF!</v>
      </c>
      <c r="AR213" s="86" t="e">
        <f>+(#REF!+#REF!+#REF!+#REF!+#REF!+#REF!+#REF!)*AR212</f>
        <v>#REF!</v>
      </c>
      <c r="AS213" s="86" t="e">
        <f>+(#REF!+#REF!+#REF!+#REF!+#REF!+#REF!+#REF!)*AS212</f>
        <v>#REF!</v>
      </c>
      <c r="AT213" s="86" t="e">
        <f>+(#REF!+#REF!+#REF!+#REF!+#REF!+#REF!+#REF!)*AT212</f>
        <v>#REF!</v>
      </c>
      <c r="AU213" s="86" t="e">
        <f>+(#REF!+#REF!+#REF!+#REF!+#REF!+#REF!+#REF!)*AU212</f>
        <v>#REF!</v>
      </c>
      <c r="AV213" s="86" t="e">
        <f>+(#REF!+#REF!+#REF!+#REF!+#REF!+#REF!+#REF!)*AV212</f>
        <v>#REF!</v>
      </c>
      <c r="AW213" s="86" t="e">
        <f>+(#REF!+#REF!+#REF!+#REF!+#REF!+#REF!+#REF!)*AW212</f>
        <v>#REF!</v>
      </c>
      <c r="AX213" s="86" t="e">
        <f>+(#REF!+#REF!+#REF!+#REF!+#REF!+#REF!+#REF!)*AX212</f>
        <v>#REF!</v>
      </c>
      <c r="AY213" s="86" t="e">
        <f>+(#REF!+#REF!+#REF!+#REF!+#REF!+#REF!+#REF!)*AY212</f>
        <v>#REF!</v>
      </c>
      <c r="AZ213" s="86" t="e">
        <f>+(#REF!+#REF!+#REF!+#REF!+#REF!+#REF!+#REF!)*AZ212</f>
        <v>#REF!</v>
      </c>
      <c r="BA213" s="86" t="e">
        <f>+(#REF!+#REF!+#REF!+#REF!+#REF!+#REF!+#REF!)*BA212</f>
        <v>#REF!</v>
      </c>
      <c r="BB213" s="86" t="e">
        <f>+(#REF!+#REF!+#REF!+#REF!+#REF!+#REF!+#REF!)*BB212</f>
        <v>#REF!</v>
      </c>
      <c r="BC213" s="86" t="e">
        <f>+(#REF!+#REF!+#REF!+#REF!+#REF!+#REF!+#REF!)*BC212</f>
        <v>#REF!</v>
      </c>
      <c r="BD213" s="86" t="e">
        <f>+(#REF!+#REF!+#REF!+#REF!+#REF!+#REF!+#REF!)*BD212</f>
        <v>#REF!</v>
      </c>
      <c r="BE213" s="86" t="e">
        <f>+(#REF!+#REF!+#REF!+#REF!+#REF!+#REF!+#REF!)*BE212</f>
        <v>#REF!</v>
      </c>
      <c r="BF213" s="86" t="e">
        <f>+(#REF!+#REF!+#REF!+#REF!+#REF!+#REF!+#REF!)*BF212</f>
        <v>#REF!</v>
      </c>
      <c r="BG213" s="86" t="e">
        <f>+(#REF!+#REF!+#REF!+#REF!+#REF!+#REF!+#REF!+#REF!)*BG212</f>
        <v>#REF!</v>
      </c>
      <c r="BH213" s="86" t="e">
        <f>+(#REF!+#REF!+#REF!+#REF!+#REF!+#REF!+#REF!+#REF!)*BH212</f>
        <v>#REF!</v>
      </c>
      <c r="BI213" s="86" t="e">
        <f>+(#REF!+#REF!+#REF!+#REF!+#REF!+#REF!+#REF!+#REF!)*BI212</f>
        <v>#REF!</v>
      </c>
      <c r="BJ213" s="86" t="e">
        <f>+(#REF!+#REF!+#REF!+#REF!+#REF!+#REF!+#REF!+#REF!)*BJ212</f>
        <v>#REF!</v>
      </c>
      <c r="BK213" s="87" t="e">
        <f>+(#REF!+#REF!+#REF!+#REF!+#REF!+#REF!+#REF!+#REF!)*BK212</f>
        <v>#REF!</v>
      </c>
      <c r="BL213" s="86" t="e">
        <f>+(#REF!+#REF!+#REF!+#REF!+#REF!+#REF!+#REF!+#REF!)*BL212</f>
        <v>#REF!</v>
      </c>
      <c r="BM213" s="86" t="e">
        <f>+(#REF!+#REF!+#REF!+#REF!+#REF!+#REF!+#REF!+#REF!)*BM212</f>
        <v>#REF!</v>
      </c>
      <c r="BN213" s="86" t="e">
        <f>+(#REF!+#REF!+#REF!+#REF!+#REF!+#REF!+#REF!+#REF!)*BN212</f>
        <v>#REF!</v>
      </c>
      <c r="BO213" s="88" t="e">
        <f>+(#REF!+#REF!+#REF!+#REF!+#REF!+#REF!+#REF!+#REF!)*BO212</f>
        <v>#REF!</v>
      </c>
      <c r="BP213" s="86" t="e">
        <f>+(#REF!+#REF!+#REF!+#REF!+#REF!+#REF!+#REF!+#REF!)*BP212</f>
        <v>#REF!</v>
      </c>
      <c r="BQ213" s="86" t="e">
        <f>+(#REF!+#REF!+#REF!+#REF!+#REF!+#REF!+#REF!+#REF!)*BQ212</f>
        <v>#REF!</v>
      </c>
      <c r="BR213" s="86" t="e">
        <f>+(#REF!+#REF!+#REF!+#REF!+#REF!+#REF!+#REF!+#REF!)*BR212</f>
        <v>#REF!</v>
      </c>
      <c r="BS213" s="86" t="e">
        <f>+(#REF!+#REF!+#REF!+#REF!+#REF!+#REF!+#REF!+#REF!)*BS212</f>
        <v>#REF!</v>
      </c>
      <c r="BT213" s="86" t="e">
        <f>+(#REF!+#REF!+#REF!+#REF!+#REF!+#REF!+#REF!+#REF!)*BT212</f>
        <v>#REF!</v>
      </c>
      <c r="BU213" s="86" t="e">
        <f>+(#REF!+#REF!+#REF!+#REF!+#REF!+#REF!+#REF!+#REF!)*BU212</f>
        <v>#REF!</v>
      </c>
      <c r="BV213" s="86" t="e">
        <f>+(#REF!+#REF!+#REF!+#REF!+#REF!+#REF!+#REF!+#REF!)*BV212</f>
        <v>#REF!</v>
      </c>
      <c r="BW213" s="86" t="e">
        <f>+(#REF!+#REF!+#REF!+#REF!+#REF!+#REF!+#REF!+#REF!)*BW212</f>
        <v>#REF!</v>
      </c>
      <c r="BX213" s="86" t="e">
        <f>+(#REF!+#REF!+#REF!+#REF!+#REF!+#REF!+#REF!+#REF!)*BX212</f>
        <v>#REF!</v>
      </c>
      <c r="BY213" s="86" t="e">
        <f>+(#REF!+#REF!+#REF!+#REF!+#REF!+#REF!+#REF!+#REF!)*BY212</f>
        <v>#REF!</v>
      </c>
      <c r="BZ213" s="86" t="e">
        <f>+(#REF!+#REF!+#REF!+#REF!+#REF!+#REF!+#REF!+#REF!)*BZ212</f>
        <v>#REF!</v>
      </c>
      <c r="CA213" s="86" t="e">
        <f>+(#REF!+#REF!+#REF!+#REF!+#REF!+#REF!+#REF!+#REF!)*CA212</f>
        <v>#REF!</v>
      </c>
      <c r="CB213" s="86" t="e">
        <f>+(#REF!+#REF!+#REF!+#REF!+#REF!+#REF!+#REF!+#REF!)*CB212</f>
        <v>#REF!</v>
      </c>
      <c r="CC213" s="86" t="e">
        <f>+(#REF!+#REF!+#REF!+#REF!+#REF!+#REF!+#REF!+#REF!)*CC212</f>
        <v>#REF!</v>
      </c>
      <c r="CD213" s="86" t="e">
        <f>+(#REF!+#REF!+#REF!+#REF!+#REF!+#REF!+#REF!+#REF!)*CD212</f>
        <v>#REF!</v>
      </c>
      <c r="CE213" s="86" t="e">
        <f>+(#REF!+#REF!+#REF!+#REF!+#REF!+#REF!+#REF!+#REF!)*CE212</f>
        <v>#REF!</v>
      </c>
      <c r="CF213" s="87" t="e">
        <f>+(#REF!+#REF!+#REF!+#REF!+#REF!+#REF!+#REF!+#REF!)*CF212</f>
        <v>#REF!</v>
      </c>
      <c r="CG213" s="86" t="e">
        <f>+(#REF!+#REF!+#REF!+#REF!+#REF!+#REF!+#REF!+#REF!)*CG212</f>
        <v>#REF!</v>
      </c>
      <c r="CH213" s="86" t="e">
        <f>+(#REF!+#REF!+#REF!+#REF!+#REF!+#REF!+#REF!+#REF!)*CH212</f>
        <v>#REF!</v>
      </c>
      <c r="CI213" s="86" t="e">
        <f>+(#REF!+#REF!+#REF!+#REF!+#REF!+#REF!+#REF!+#REF!)*CI212</f>
        <v>#REF!</v>
      </c>
      <c r="CJ213" s="86" t="e">
        <f>+(#REF!+#REF!+#REF!+#REF!+#REF!+#REF!+#REF!+#REF!)*CJ212</f>
        <v>#REF!</v>
      </c>
      <c r="CK213" s="86" t="e">
        <f>+(#REF!+#REF!+#REF!+#REF!+#REF!+#REF!+#REF!+#REF!)*CK212</f>
        <v>#REF!</v>
      </c>
      <c r="CL213" s="86" t="e">
        <f>+(#REF!+#REF!+#REF!+#REF!+#REF!+#REF!+#REF!+#REF!)*CL212</f>
        <v>#REF!</v>
      </c>
      <c r="CM213" s="86" t="e">
        <f>+(#REF!+#REF!+#REF!+#REF!+#REF!+#REF!+#REF!+#REF!)*CM212</f>
        <v>#REF!</v>
      </c>
      <c r="CN213" s="86" t="e">
        <f>+(#REF!+#REF!+#REF!+#REF!+#REF!+#REF!+#REF!+#REF!)*CN212</f>
        <v>#REF!</v>
      </c>
      <c r="CO213" s="86" t="e">
        <f>+(#REF!+#REF!+#REF!+#REF!+#REF!+#REF!+#REF!+#REF!)*CO212</f>
        <v>#REF!</v>
      </c>
      <c r="CP213" s="86" t="e">
        <f>+(#REF!+#REF!+#REF!+#REF!+#REF!+#REF!+#REF!+#REF!)*CP212</f>
        <v>#REF!</v>
      </c>
      <c r="CQ213" s="86" t="e">
        <f>+(#REF!+#REF!+#REF!+#REF!+#REF!+#REF!+#REF!+#REF!)*CQ212</f>
        <v>#REF!</v>
      </c>
      <c r="CR213" s="86" t="e">
        <f>+(#REF!+#REF!+#REF!+#REF!+#REF!+#REF!+#REF!+#REF!)*CR212</f>
        <v>#REF!</v>
      </c>
      <c r="CS213" s="86" t="e">
        <f>+(#REF!+#REF!+#REF!+#REF!+#REF!+#REF!+#REF!+#REF!)*CS212</f>
        <v>#REF!</v>
      </c>
      <c r="CT213" s="86" t="e">
        <f>+(#REF!+#REF!+#REF!+#REF!+#REF!+#REF!+#REF!+#REF!)*CT212</f>
        <v>#REF!</v>
      </c>
      <c r="CU213" s="86" t="e">
        <f>+(#REF!+#REF!+#REF!+#REF!+#REF!+#REF!+#REF!+#REF!)*CU212</f>
        <v>#REF!</v>
      </c>
      <c r="CV213" s="86" t="e">
        <f>+(#REF!+#REF!+#REF!+#REF!+#REF!+#REF!+#REF!+#REF!)*CV212</f>
        <v>#REF!</v>
      </c>
      <c r="CW213" s="86" t="e">
        <f>+(#REF!+#REF!+#REF!+#REF!+#REF!+#REF!+#REF!+#REF!)*CW212</f>
        <v>#REF!</v>
      </c>
      <c r="CX213" s="88" t="e">
        <f>+(#REF!+#REF!+#REF!+#REF!+#REF!+#REF!+#REF!+#REF!)*CX212</f>
        <v>#REF!</v>
      </c>
      <c r="CY213" s="251"/>
      <c r="DJ213" s="255"/>
    </row>
    <row r="214" spans="1:158" s="89" customFormat="1" ht="16" hidden="1" thickBot="1" x14ac:dyDescent="0.25">
      <c r="A214" s="1025" t="s">
        <v>254</v>
      </c>
      <c r="B214" s="1026"/>
      <c r="C214" s="1026"/>
      <c r="D214" s="1026"/>
      <c r="E214" s="1026"/>
      <c r="F214" s="1026"/>
      <c r="G214" s="1026"/>
      <c r="H214" s="1026"/>
      <c r="I214" s="88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7"/>
      <c r="U214" s="86" t="e">
        <f>+(#REF!+#REF!+#REF!)*U212</f>
        <v>#REF!</v>
      </c>
      <c r="V214" s="86" t="e">
        <f>+(#REF!+#REF!+#REF!)*V212</f>
        <v>#REF!</v>
      </c>
      <c r="W214" s="86" t="e">
        <f>+(#REF!+#REF!+#REF!)*W212</f>
        <v>#REF!</v>
      </c>
      <c r="X214" s="88" t="e">
        <f>+(#REF!+#REF!+#REF!)*X212</f>
        <v>#REF!</v>
      </c>
      <c r="Y214" s="87" t="e">
        <f>+(#REF!+#REF!+#REF!)*Y212</f>
        <v>#REF!</v>
      </c>
      <c r="Z214" s="86" t="e">
        <f>+(#REF!+#REF!+#REF!)*Z212</f>
        <v>#REF!</v>
      </c>
      <c r="AA214" s="86" t="e">
        <f>+(#REF!+#REF!+#REF!+#REF!+#REF!+#REF!+#REF!)*AA212</f>
        <v>#REF!</v>
      </c>
      <c r="AB214" s="86" t="e">
        <f>+(#REF!+#REF!+#REF!+#REF!+#REF!+#REF!+#REF!)*AB212</f>
        <v>#REF!</v>
      </c>
      <c r="AC214" s="87" t="e">
        <f>+(#REF!+#REF!+#REF!+#REF!+#REF!+#REF!+#REF!+#REF!+#REF!+#REF!+#REF!+#REF!+#REF!+#REF!+#REF!+#REF!+#REF!+#REF!+#REF!+#REF!+#REF!+#REF!+AC57+#REF!+#REF!+#REF!+#REF!+#REF!+#REF!+#REF!+#REF!+#REF!+#REF!+#REF!+#REF!+#REF!+#REF!+#REF!+#REF!+#REF!+#REF!+#REF!+#REF!+#REF!+#REF!+#REF!+#REF!+#REF!+#REF!+#REF!+#REF!+#REF!+#REF!)*AC212</f>
        <v>#REF!</v>
      </c>
      <c r="AD214" s="87" t="e">
        <f>+(#REF!+#REF!+#REF!+#REF!+#REF!+#REF!+#REF!+#REF!+#REF!+#REF!+#REF!+#REF!+#REF!+#REF!+#REF!+#REF!+#REF!+#REF!+#REF!+#REF!+#REF!+#REF!+AD57+#REF!+#REF!+#REF!+#REF!+#REF!+#REF!+#REF!+#REF!+#REF!+#REF!+#REF!+#REF!+#REF!+#REF!+#REF!+#REF!+#REF!+#REF!+#REF!+#REF!+#REF!+#REF!+#REF!+#REF!+#REF!+#REF!+#REF!+#REF!+#REF!+#REF!)*AD212</f>
        <v>#REF!</v>
      </c>
      <c r="AE214" s="87" t="e">
        <f>+(#REF!+#REF!+#REF!+#REF!+#REF!+#REF!+#REF!+#REF!+#REF!+#REF!+#REF!+#REF!+#REF!+#REF!+#REF!+#REF!+#REF!+#REF!+#REF!+#REF!+#REF!+#REF!+AE57+#REF!+#REF!+#REF!+#REF!+#REF!+#REF!+#REF!+#REF!+#REF!+#REF!+#REF!+#REF!+#REF!+#REF!+#REF!+#REF!+#REF!+#REF!+#REF!+#REF!+#REF!+#REF!+#REF!+#REF!+#REF!+#REF!+#REF!+#REF!+#REF!+#REF!)*AE212</f>
        <v>#REF!</v>
      </c>
      <c r="AF214" s="87" t="e">
        <f>+(#REF!+#REF!+#REF!+#REF!+#REF!+#REF!+#REF!+#REF!+#REF!+#REF!+#REF!+#REF!+#REF!+#REF!+#REF!+#REF!+#REF!+#REF!+#REF!+#REF!+#REF!+#REF!+AF57+#REF!+#REF!+#REF!+#REF!+#REF!+#REF!+#REF!+#REF!+#REF!+#REF!+#REF!+#REF!+#REF!+#REF!+#REF!+#REF!+#REF!+#REF!+#REF!+#REF!+#REF!+#REF!+#REF!+#REF!+#REF!+#REF!+#REF!+#REF!+#REF!+#REF!)*AF212</f>
        <v>#REF!</v>
      </c>
      <c r="AG214" s="87" t="e">
        <f>+(#REF!+#REF!+#REF!+#REF!+#REF!+#REF!+#REF!+#REF!+#REF!+#REF!+#REF!+#REF!+#REF!+#REF!+#REF!+#REF!+#REF!+#REF!+#REF!+#REF!+#REF!+#REF!+AG57+#REF!+#REF!+#REF!+#REF!+#REF!+#REF!+#REF!+#REF!+#REF!+#REF!+#REF!+#REF!+#REF!+#REF!+#REF!+#REF!+#REF!+#REF!+#REF!+#REF!+#REF!+#REF!+#REF!+#REF!+#REF!+#REF!+#REF!+#REF!+#REF!+#REF!)*AG212</f>
        <v>#REF!</v>
      </c>
      <c r="AH214" s="87" t="e">
        <f>+(#REF!+#REF!+#REF!+#REF!+#REF!+#REF!+#REF!+#REF!+#REF!+#REF!++#REF!+#REF!+#REF!+#REF!+#REF!+#REF!+#REF!+#REF!+#REF!+#REF!+#REF!+AH57+#REF!+#REF!+#REF!+#REF!+#REF!+#REF!+#REF!+#REF!+#REF!+#REF!+#REF!+#REF!+#REF!+#REF!+#REF!+#REF!+#REF!+#REF!+#REF!+#REF!+#REF!+#REF!+#REF!+#REF!+#REF!+#REF!+#REF!+#REF!+#REF!+#REF!)*AH212</f>
        <v>#REF!</v>
      </c>
      <c r="AI214" s="87" t="e">
        <f>+(#REF!+#REF!+#REF!+#REF!+#REF!+#REF!+#REF!+#REF!+#REF!+#REF!+#REF!+#REF!+#REF!+#REF!+#REF!+#REF!+#REF!+#REF!+#REF!+#REF!+#REF!+#REF!+#REF!+#REF!+AI57+#REF!+#REF!+#REF!+#REF!+#REF!+#REF!+#REF!+#REF!+#REF!+#REF!+#REF!+#REF!+#REF!+#REF!+#REF!+#REF!+#REF!+#REF!+#REF!+#REF!+#REF!+#REF!+#REF!+#REF!+#REF!+#REF!+#REF!+#REF!+#REF!+#REF!)*AI212</f>
        <v>#REF!</v>
      </c>
      <c r="AJ214" s="87" t="e">
        <f>+(#REF!+#REF!+#REF!+#REF!+#REF!+#REF!+#REF!+#REF!+#REF!+#REF!++#REF!+#REF!+#REF!+#REF!+#REF!+#REF!+#REF!+#REF!+#REF!+#REF!+#REF!+AJ57+#REF!+#REF!+#REF!+#REF!+#REF!+#REF!+#REF!+#REF!+#REF!+#REF!+#REF!+#REF!+#REF!+#REF!+#REF!+#REF!+#REF!+#REF!+#REF!+#REF!+#REF!+#REF!+#REF!+#REF!+#REF!+#REF!+#REF!+#REF!+#REF!+#REF!)*AJ212</f>
        <v>#REF!</v>
      </c>
      <c r="AK214" s="87" t="e">
        <f>+(#REF!+#REF!+#REF!+#REF!+#REF!+#REF!+#REF!+#REF!+#REF!+#REF!++#REF!+#REF!+#REF!+#REF!+#REF!+#REF!+#REF!+#REF!+#REF!+#REF!+#REF!+AK57+#REF!+#REF!+#REF!+#REF!+#REF!+#REF!+#REF!+#REF!+#REF!+#REF!+#REF!+#REF!+#REF!+#REF!+#REF!+#REF!+#REF!+#REF!+#REF!+#REF!+#REF!+#REF!+#REF!+#REF!+#REF!+#REF!+#REF!+#REF!+#REF!+#REF!)*AK212</f>
        <v>#REF!</v>
      </c>
      <c r="AL214" s="87" t="e">
        <f>+(#REF!+#REF!+#REF!+#REF!+#REF!+#REF!+#REF!+#REF!+#REF!+#REF!++#REF!+#REF!+#REF!+#REF!+#REF!+#REF!+#REF!+#REF!+#REF!+#REF!+#REF!+AL57+#REF!+#REF!+#REF!+#REF!+#REF!+#REF!+#REF!+#REF!+#REF!+#REF!+#REF!+#REF!+#REF!+#REF!+#REF!+#REF!+#REF!+#REF!+#REF!+#REF!+#REF!+#REF!+#REF!+#REF!+#REF!+#REF!+#REF!+#REF!+#REF!+#REF!)*AL212</f>
        <v>#REF!</v>
      </c>
      <c r="AM214" s="87" t="e">
        <f>+(#REF!+#REF!+#REF!+#REF!+#REF!+#REF!+#REF!+#REF!+#REF!+#REF!++#REF!+#REF!+#REF!+#REF!+#REF!+#REF!+#REF!+#REF!+#REF!+#REF!+#REF!+AM57+#REF!+#REF!+#REF!+#REF!+#REF!+#REF!+#REF!+#REF!+#REF!+#REF!+#REF!+#REF!+#REF!+#REF!+#REF!+#REF!+#REF!+#REF!+#REF!+#REF!+#REF!+#REF!+#REF!+#REF!+#REF!+#REF!+#REF!+#REF!+#REF!+#REF!)*AM212</f>
        <v>#REF!</v>
      </c>
      <c r="AN214" s="87" t="e">
        <f>+(#REF!+#REF!+#REF!+#REF!+#REF!+#REF!+#REF!+#REF!+#REF!+#REF!++#REF!+#REF!+#REF!+#REF!+#REF!+#REF!+#REF!+#REF!+#REF!+#REF!+#REF!+AN57+#REF!+#REF!+#REF!+#REF!+#REF!+#REF!+#REF!+#REF!+#REF!+#REF!+#REF!+#REF!+#REF!+#REF!+#REF!+#REF!+#REF!+#REF!+#REF!+#REF!+#REF!+#REF!+#REF!+#REF!+#REF!+#REF!+#REF!+#REF!+#REF!+#REF!)*AN212</f>
        <v>#REF!</v>
      </c>
      <c r="AO214" s="87" t="e">
        <f>+(#REF!+#REF!+#REF!+#REF!+#REF!+#REF!+#REF!+#REF!+#REF!+#REF!++#REF!+#REF!+#REF!+#REF!+#REF!+#REF!+#REF!+#REF!+#REF!+#REF!+#REF!+AO57+#REF!+#REF!+#REF!+#REF!+#REF!+#REF!+#REF!+#REF!+#REF!+#REF!+#REF!+#REF!+#REF!+#REF!+#REF!+#REF!+#REF!+#REF!+#REF!+#REF!+#REF!+#REF!+#REF!+#REF!+#REF!+#REF!+#REF!+#REF!+#REF!+#REF!)*AO212</f>
        <v>#REF!</v>
      </c>
      <c r="AP214" s="87" t="e">
        <f>+(#REF!+#REF!+#REF!+#REF!+#REF!+#REF!+#REF!+#REF!+#REF!+#REF!++#REF!+#REF!+#REF!+#REF!+#REF!+#REF!+#REF!+#REF!+#REF!+#REF!+#REF!+AP57+#REF!+#REF!+#REF!+#REF!+#REF!+#REF!+#REF!+#REF!+#REF!+#REF!+#REF!+#REF!+#REF!+#REF!+#REF!+#REF!+#REF!+#REF!+#REF!+#REF!+#REF!+#REF!+#REF!+#REF!+#REF!+#REF!+#REF!+#REF!+#REF!+#REF!)*AP212</f>
        <v>#REF!</v>
      </c>
      <c r="AQ214" s="87" t="e">
        <f>+(#REF!+#REF!+#REF!+#REF!+#REF!+#REF!+#REF!+#REF!+#REF!+#REF!++#REF!+#REF!+#REF!+#REF!+#REF!+#REF!+#REF!+#REF!+#REF!+#REF!+#REF!+AQ57+#REF!+#REF!+#REF!+#REF!+#REF!+#REF!+#REF!+#REF!+#REF!+#REF!+#REF!+#REF!+#REF!+#REF!+#REF!+#REF!+#REF!+#REF!+#REF!+#REF!+#REF!+#REF!+#REF!+#REF!+#REF!+#REF!+#REF!+#REF!+#REF!+#REF!)*AQ212</f>
        <v>#REF!</v>
      </c>
      <c r="AR214" s="87" t="e">
        <f>+(#REF!+#REF!+#REF!+#REF!+#REF!+#REF!+#REF!+#REF!+#REF!+#REF!++#REF!+#REF!+#REF!+#REF!+#REF!+#REF!+#REF!+#REF!+#REF!+#REF!+#REF!+AR57+#REF!+#REF!+#REF!+#REF!+#REF!+#REF!+#REF!+#REF!+#REF!+#REF!+#REF!+#REF!+#REF!+#REF!+#REF!+#REF!+#REF!+#REF!+#REF!+#REF!+#REF!+#REF!+#REF!+#REF!+#REF!+#REF!+#REF!+#REF!+#REF!+#REF!)*AR212</f>
        <v>#REF!</v>
      </c>
      <c r="AS214" s="87" t="e">
        <f>+(#REF!+#REF!+#REF!+#REF!+#REF!+#REF!+#REF!+#REF!+#REF!+#REF!++#REF!+#REF!+#REF!+#REF!+#REF!+#REF!+#REF!+#REF!+#REF!+#REF!+#REF!+AS57+#REF!+#REF!+#REF!+#REF!+#REF!+#REF!+#REF!+#REF!+#REF!+#REF!+#REF!+#REF!+#REF!+#REF!+#REF!+#REF!+#REF!+#REF!+#REF!+#REF!+#REF!+#REF!+#REF!+#REF!+#REF!+#REF!+#REF!+#REF!+#REF!+#REF!)*AS212</f>
        <v>#REF!</v>
      </c>
      <c r="AT214" s="87" t="e">
        <f>+(#REF!+#REF!+#REF!+#REF!+#REF!+#REF!+#REF!+#REF!+#REF!+#REF!++#REF!+#REF!+#REF!+#REF!+#REF!+#REF!+#REF!+#REF!+#REF!+#REF!+#REF!+AT57+#REF!+#REF!+#REF!+#REF!+#REF!+#REF!+#REF!+#REF!+#REF!+#REF!+#REF!+#REF!+#REF!+#REF!+#REF!+#REF!+#REF!+#REF!+#REF!+#REF!+#REF!+#REF!+#REF!+#REF!+#REF!+#REF!+#REF!+#REF!+#REF!+#REF!)*AT212</f>
        <v>#REF!</v>
      </c>
      <c r="AU214" s="87" t="e">
        <f>+(#REF!+#REF!+#REF!+#REF!+#REF!+#REF!+#REF!+#REF!+#REF!+#REF!++#REF!+#REF!+#REF!+#REF!+#REF!+#REF!+#REF!+#REF!+#REF!+#REF!+#REF!+AU57+#REF!+#REF!+#REF!+#REF!+#REF!+#REF!+#REF!+#REF!+#REF!+#REF!+#REF!+#REF!+#REF!+#REF!+#REF!+#REF!+#REF!+#REF!+#REF!+#REF!+#REF!+#REF!+#REF!+#REF!+#REF!+#REF!+#REF!+#REF!+#REF!+#REF!)*AU212</f>
        <v>#REF!</v>
      </c>
      <c r="AV214" s="87" t="e">
        <f>+(#REF!+#REF!+#REF!+#REF!+#REF!+#REF!+#REF!+#REF!+#REF!+#REF!++#REF!+#REF!+#REF!+#REF!+#REF!+#REF!+#REF!+#REF!+#REF!+#REF!+#REF!+AV57+#REF!+#REF!+#REF!+#REF!+#REF!+#REF!+#REF!+#REF!+#REF!+#REF!+#REF!+#REF!+#REF!+#REF!+#REF!+#REF!+#REF!+#REF!+#REF!+#REF!+#REF!+#REF!+#REF!+#REF!+#REF!+#REF!+#REF!+#REF!+#REF!+#REF!)*AV212</f>
        <v>#REF!</v>
      </c>
      <c r="AW214" s="87" t="e">
        <f>+(#REF!+#REF!+#REF!+#REF!+#REF!+#REF!+#REF!+#REF!+#REF!+#REF!++#REF!+#REF!+#REF!+#REF!+#REF!+#REF!+#REF!+#REF!+#REF!+#REF!+#REF!+AW57+#REF!+#REF!+#REF!+#REF!+#REF!+#REF!+#REF!+#REF!+#REF!+#REF!+#REF!+#REF!+#REF!+#REF!+#REF!+#REF!+#REF!+#REF!+#REF!+#REF!+#REF!+#REF!+#REF!+#REF!+#REF!+#REF!+#REF!+#REF!+#REF!+#REF!)*AW212</f>
        <v>#REF!</v>
      </c>
      <c r="AX214" s="87" t="e">
        <f>+(#REF!+#REF!+#REF!+#REF!+#REF!+#REF!+#REF!+#REF!+#REF!+#REF!++#REF!+#REF!+#REF!+#REF!+#REF!+#REF!+#REF!+#REF!+#REF!+#REF!+#REF!+AX57+#REF!+#REF!+#REF!+#REF!+#REF!+#REF!+#REF!+#REF!+#REF!+#REF!+#REF!+#REF!+#REF!+#REF!+#REF!+#REF!+#REF!+#REF!+#REF!+#REF!+#REF!+#REF!+#REF!+#REF!+#REF!+#REF!+#REF!+#REF!+#REF!+#REF!)*AX212</f>
        <v>#REF!</v>
      </c>
      <c r="AY214" s="87" t="e">
        <f>+(#REF!+#REF!+#REF!+#REF!+#REF!+#REF!+#REF!+#REF!+#REF!+#REF!++#REF!+#REF!+#REF!+#REF!+#REF!+#REF!+#REF!+#REF!+#REF!+#REF!+#REF!+AY57+#REF!+#REF!+#REF!+#REF!+#REF!+#REF!+#REF!+#REF!+#REF!+#REF!+#REF!+#REF!+#REF!+#REF!+#REF!+#REF!+#REF!+#REF!+#REF!+#REF!+#REF!+#REF!+#REF!+#REF!+#REF!+#REF!+#REF!+#REF!+#REF!+#REF!)*AY212</f>
        <v>#REF!</v>
      </c>
      <c r="AZ214" s="87" t="e">
        <f>+(#REF!+#REF!+#REF!+#REF!+#REF!+#REF!+#REF!+#REF!+#REF!+#REF!++#REF!+#REF!+#REF!+#REF!+#REF!+#REF!+#REF!+#REF!+#REF!+#REF!+#REF!+AZ57+#REF!+#REF!+#REF!+#REF!+#REF!+#REF!+#REF!+#REF!+#REF!+#REF!+#REF!+#REF!+#REF!+#REF!+#REF!+#REF!+#REF!+#REF!+#REF!+#REF!+#REF!+#REF!+#REF!+#REF!+#REF!+#REF!+#REF!+#REF!+#REF!+#REF!)*AZ212</f>
        <v>#REF!</v>
      </c>
      <c r="BA214" s="87" t="e">
        <f>+(#REF!+#REF!+#REF!+#REF!+#REF!+#REF!+#REF!+#REF!+#REF!+#REF!++#REF!+#REF!+#REF!+#REF!+#REF!+#REF!+#REF!+#REF!+#REF!+#REF!+#REF!+BA57+#REF!+#REF!+#REF!+#REF!+#REF!+#REF!+#REF!+#REF!+#REF!+#REF!+#REF!+#REF!+#REF!+#REF!+#REF!+#REF!+#REF!+#REF!+#REF!+#REF!+#REF!+#REF!+#REF!+#REF!+#REF!+#REF!+#REF!+#REF!+#REF!+#REF!)*BA212</f>
        <v>#REF!</v>
      </c>
      <c r="BB214" s="87" t="e">
        <f>+(#REF!+#REF!+#REF!+#REF!+#REF!+#REF!+#REF!+#REF!+#REF!+#REF!++#REF!+#REF!+#REF!+#REF!+#REF!+#REF!+#REF!+#REF!+#REF!+#REF!+#REF!+BB57+#REF!+#REF!+#REF!+#REF!+#REF!+#REF!+#REF!+#REF!+#REF!+#REF!+#REF!+#REF!+#REF!+#REF!+#REF!+#REF!+#REF!+#REF!+#REF!+#REF!+#REF!+#REF!+#REF!+#REF!+#REF!+#REF!+#REF!+#REF!+#REF!+#REF!)*BB212</f>
        <v>#REF!</v>
      </c>
      <c r="BC214" s="87" t="e">
        <f>+(#REF!+#REF!+#REF!+#REF!+#REF!+#REF!+#REF!+#REF!+#REF!+#REF!++#REF!+#REF!+#REF!+#REF!+#REF!+#REF!+#REF!+#REF!+#REF!+#REF!+#REF!+BC57+#REF!+#REF!+#REF!+#REF!+#REF!+#REF!+#REF!+#REF!+#REF!+#REF!+#REF!+#REF!+#REF!+#REF!+#REF!+#REF!+#REF!+#REF!+#REF!+#REF!+#REF!+#REF!+#REF!+#REF!+#REF!+#REF!+#REF!+#REF!+#REF!+#REF!)*BC212</f>
        <v>#REF!</v>
      </c>
      <c r="BD214" s="87" t="e">
        <f>+(#REF!+#REF!+#REF!+#REF!+#REF!+#REF!+#REF!+#REF!+#REF!+#REF!++#REF!+#REF!+#REF!+#REF!+#REF!+#REF!+#REF!+#REF!+#REF!+#REF!+#REF!+BD57+#REF!+#REF!+#REF!+#REF!+#REF!+#REF!+#REF!+#REF!+#REF!+#REF!+#REF!+#REF!+#REF!+#REF!+#REF!+#REF!+#REF!+#REF!+#REF!+#REF!+#REF!+#REF!+#REF!+#REF!+#REF!+#REF!+#REF!+#REF!+#REF!+#REF!)*BD212</f>
        <v>#REF!</v>
      </c>
      <c r="BE214" s="87" t="e">
        <f>+(#REF!+#REF!+#REF!+#REF!+#REF!+#REF!+#REF!+#REF!+#REF!+#REF!++#REF!+#REF!+#REF!+#REF!+#REF!+#REF!+#REF!+#REF!+#REF!+#REF!+#REF!+BE57+#REF!+#REF!+#REF!+#REF!+#REF!+#REF!+#REF!+#REF!+#REF!+#REF!+#REF!+#REF!+#REF!+#REF!+#REF!+#REF!+#REF!+#REF!+#REF!+#REF!+#REF!+#REF!+#REF!+#REF!+#REF!+#REF!+#REF!+#REF!+#REF!+#REF!)*BE212</f>
        <v>#REF!</v>
      </c>
      <c r="BF214" s="87" t="e">
        <f>+(#REF!+#REF!+#REF!+#REF!+#REF!+#REF!+#REF!+#REF!+#REF!+#REF!++#REF!+#REF!+#REF!+#REF!+#REF!+#REF!+#REF!+#REF!+#REF!+#REF!+#REF!+BF57+#REF!+#REF!+#REF!+#REF!+#REF!+#REF!+#REF!+#REF!+#REF!+#REF!+#REF!+#REF!+#REF!+#REF!+#REF!+#REF!+#REF!+#REF!+#REF!+#REF!+#REF!+#REF!+#REF!+#REF!+#REF!+#REF!+#REF!+#REF!+#REF!+#REF!)*BF212</f>
        <v>#REF!</v>
      </c>
      <c r="BG214" s="87" t="e">
        <f>+(#REF!+#REF!+#REF!+#REF!+#REF!+#REF!+#REF!+#REF!+#REF!+#REF!+#REF!+#REF!+BG56+#REF!+#REF!+#REF!+#REF!+#REF!+#REF!+BG53+BG54+BG59+BG84+BG86+#REF!+#REF!+#REF!+#REF!+BG57)*BG212</f>
        <v>#REF!</v>
      </c>
      <c r="BH214" s="87" t="e">
        <f>+(#REF!+#REF!+#REF!+#REF!+#REF!+#REF!+#REF!+#REF!+#REF!+#REF!+#REF!+#REF!+BH56+#REF!+#REF!+#REF!+#REF!+#REF!+#REF!+BH53+BH54+BH59+BH84+BH86+#REF!+#REF!+#REF!+#REF!+BH57)*BH212</f>
        <v>#REF!</v>
      </c>
      <c r="BI214" s="87" t="e">
        <f>+(#REF!+#REF!+#REF!+#REF!+#REF!+#REF!+#REF!+#REF!+#REF!+#REF!+#REF!+#REF!+BI56+#REF!+#REF!+#REF!+#REF!+#REF!+#REF!+BI53+BI54+BI59+BI84+BI86+#REF!+#REF!+#REF!+#REF!+BI57)*BI212</f>
        <v>#REF!</v>
      </c>
      <c r="BJ214" s="87" t="e">
        <f>+(#REF!+#REF!+#REF!+#REF!+#REF!+#REF!+#REF!+#REF!+#REF!+#REF!+#REF!+#REF!+BJ56+#REF!+#REF!+#REF!+#REF!+#REF!+#REF!+BJ53+BJ54+BJ59+BJ84+BJ86+#REF!+#REF!+#REF!+#REF!+BJ57)*BJ212</f>
        <v>#REF!</v>
      </c>
      <c r="BK214" s="87" t="e">
        <f>+(#REF!+#REF!+#REF!+#REF!+#REF!+#REF!+#REF!+#REF!+#REF!+#REF!+#REF!+#REF!+BK56+#REF!+#REF!+#REF!+#REF!+#REF!+#REF!+BK53+BK54+BK59+BK84+BK86+#REF!+#REF!+#REF!+#REF!+BK57)*BK212</f>
        <v>#REF!</v>
      </c>
      <c r="BL214" s="87" t="e">
        <f>+(#REF!+#REF!+#REF!+#REF!+#REF!+#REF!+#REF!+#REF!+#REF!+#REF!+#REF!+#REF!+BL56+#REF!+#REF!+#REF!+#REF!+#REF!+#REF!+BL53+BL54+BL59+BL84+BL86+#REF!+#REF!+#REF!+#REF!+BL57)*BL212</f>
        <v>#REF!</v>
      </c>
      <c r="BM214" s="87" t="e">
        <f>+(#REF!+#REF!+#REF!+#REF!+#REF!+#REF!+#REF!+#REF!+#REF!+#REF!+#REF!+#REF!+BM56+#REF!+#REF!+#REF!+#REF!+#REF!+#REF!+BM53+BM54+BM59+BM84+BM86+#REF!+#REF!+#REF!+#REF!+BM57)*BM212</f>
        <v>#REF!</v>
      </c>
      <c r="BN214" s="87" t="e">
        <f>+(#REF!+#REF!+#REF!+#REF!+#REF!+#REF!+#REF!+#REF!+#REF!+#REF!+#REF!+#REF!+BN56+#REF!+#REF!+#REF!+#REF!+#REF!+#REF!+BN53+BN54+BN59+BN84+BN86+#REF!+#REF!+#REF!+#REF!+BN57)*BN212</f>
        <v>#REF!</v>
      </c>
      <c r="BO214" s="90" t="e">
        <f>+(#REF!+#REF!+#REF!+#REF!+#REF!+#REF!+#REF!+#REF!+#REF!+#REF!+#REF!+#REF!+BO56+#REF!+#REF!+#REF!+#REF!+#REF!+#REF!+BO53+BO54+BO59+BO84+BO86+#REF!+#REF!+#REF!+#REF!+BO57)*BO212</f>
        <v>#REF!</v>
      </c>
      <c r="BP214" s="86" t="e">
        <f>+(#REF!+#REF!+#REF!+#REF!+#REF!+#REF!+#REF!+#REF!+#REF!+#REF!+#REF!+#REF!+BP56+#REF!+#REF!+#REF!+#REF!+#REF!+#REF!+BP53+BP54+BP59+BP84+BP86+#REF!+#REF!+#REF!+#REF!+BP57)*BP212</f>
        <v>#REF!</v>
      </c>
      <c r="BQ214" s="87" t="e">
        <f>+(#REF!+#REF!+#REF!+#REF!+#REF!+#REF!+#REF!+#REF!+#REF!+#REF!+#REF!+#REF!+BQ56+#REF!+#REF!+#REF!+#REF!+#REF!+#REF!+BQ53+BQ54+BQ59+BQ84+BQ86+#REF!+#REF!+#REF!+#REF!+BQ57)*BQ212</f>
        <v>#REF!</v>
      </c>
      <c r="BR214" s="87" t="e">
        <f>+(#REF!+#REF!+#REF!+#REF!+#REF!+#REF!+#REF!+#REF!+#REF!+#REF!+#REF!+#REF!+BR56+#REF!+#REF!+#REF!+#REF!+#REF!+#REF!+BR53+BR54+BR59+BR84+BR86+#REF!+#REF!+#REF!+#REF!+BR57)*BR212</f>
        <v>#REF!</v>
      </c>
      <c r="BS214" s="87" t="e">
        <f>+(#REF!+#REF!+#REF!+#REF!+#REF!+#REF!+#REF!+#REF!+#REF!+#REF!+#REF!+#REF!+BS56+#REF!+#REF!+#REF!+#REF!+#REF!+#REF!+BS53+BS54+BS59+BS84+BS86+#REF!+#REF!+#REF!+#REF!+BS57)*BS212</f>
        <v>#REF!</v>
      </c>
      <c r="BT214" s="87" t="e">
        <f>+(#REF!+#REF!+#REF!+#REF!+#REF!+#REF!+#REF!+#REF!+#REF!+#REF!+#REF!+#REF!+BT56+#REF!+#REF!+#REF!+#REF!+#REF!+#REF!+BT53+BT54+BT59+BT84+BT86+#REF!+#REF!+#REF!+#REF!+BT57)*BT212</f>
        <v>#REF!</v>
      </c>
      <c r="BU214" s="87" t="e">
        <f>+(#REF!+#REF!+#REF!+#REF!+#REF!+#REF!+#REF!+#REF!+#REF!+#REF!+#REF!+#REF!+BU56+#REF!+#REF!+#REF!+#REF!+#REF!+#REF!+BU53+BU54+BU59+BU84+BU86+#REF!+#REF!+#REF!+#REF!+BU57)*BU212</f>
        <v>#REF!</v>
      </c>
      <c r="BV214" s="87" t="e">
        <f>+(#REF!+#REF!+#REF!+#REF!+#REF!+#REF!+#REF!+#REF!+#REF!+#REF!+#REF!+#REF!+BV56+#REF!+#REF!+#REF!+#REF!+#REF!+#REF!+BV53+BV54+BV59+BV84+BV86+#REF!+#REF!+#REF!+#REF!+BV57)*BV212</f>
        <v>#REF!</v>
      </c>
      <c r="BW214" s="87" t="e">
        <f>+(#REF!+#REF!+#REF!+#REF!+#REF!+#REF!+#REF!+#REF!+#REF!+#REF!+#REF!+#REF!+BW56+#REF!+#REF!+#REF!+#REF!+#REF!+#REF!+BW53+BW54+BW59+BW84+BW86+#REF!+#REF!+#REF!+#REF!+BW57)*BW212</f>
        <v>#REF!</v>
      </c>
      <c r="BX214" s="87" t="e">
        <f>+(#REF!+#REF!+#REF!+#REF!+#REF!+#REF!+#REF!+#REF!+#REF!+#REF!+#REF!+#REF!+BX56+#REF!+#REF!+#REF!+#REF!+#REF!+#REF!+BX53+BX54+BX59+BX84+BX86+#REF!+#REF!+#REF!+#REF!+BX57)*BX212</f>
        <v>#REF!</v>
      </c>
      <c r="BY214" s="87" t="e">
        <f>+(#REF!+#REF!+#REF!+#REF!+#REF!+#REF!+#REF!+#REF!+#REF!+#REF!+#REF!+#REF!+BY56+#REF!+#REF!+#REF!+#REF!+#REF!+#REF!+BY53+BY54+BY59+BY84+BY86+#REF!+#REF!+#REF!+#REF!+BY57)*BY212</f>
        <v>#REF!</v>
      </c>
      <c r="BZ214" s="87" t="e">
        <f>+(#REF!+#REF!+#REF!+#REF!+#REF!+#REF!+#REF!+#REF!+#REF!+#REF!+#REF!+#REF!+BZ56+#REF!+#REF!+#REF!+#REF!+#REF!+#REF!+BZ53+BZ54+BZ59+BZ84+BZ86+#REF!+#REF!+#REF!+#REF!+BZ57)*BZ212</f>
        <v>#REF!</v>
      </c>
      <c r="CA214" s="87" t="e">
        <f>+(#REF!+#REF!+#REF!+#REF!+#REF!+#REF!+#REF!+#REF!+#REF!+#REF!+#REF!+#REF!+CA56+#REF!+#REF!+#REF!+#REF!+#REF!+#REF!+CA53+CA54+CA59+CA84+CA86+#REF!+#REF!+#REF!+#REF!+CA57)*CA212</f>
        <v>#REF!</v>
      </c>
      <c r="CB214" s="87" t="e">
        <f>+(#REF!+#REF!+#REF!+#REF!+#REF!+#REF!+#REF!+#REF!+#REF!+#REF!+#REF!+#REF!+CB56+#REF!+#REF!+#REF!+#REF!+#REF!+#REF!+CB53+CB54+CB59+CB84+CB86+#REF!+#REF!+#REF!+#REF!+CB57)*CB212</f>
        <v>#REF!</v>
      </c>
      <c r="CC214" s="87" t="e">
        <f>+(#REF!+#REF!+#REF!+#REF!+#REF!+#REF!+#REF!+#REF!+#REF!+#REF!+#REF!+#REF!+CC56+#REF!+#REF!+#REF!+#REF!+#REF!+#REF!+CC53+CC54+CC59+CC84+CC86+#REF!+#REF!+#REF!+#REF!+CC57)*CC212</f>
        <v>#REF!</v>
      </c>
      <c r="CD214" s="87" t="e">
        <f>+(#REF!+#REF!+#REF!+#REF!+#REF!+#REF!+#REF!+#REF!+#REF!+#REF!+#REF!+#REF!+CD56+#REF!+#REF!+#REF!+#REF!+#REF!+#REF!+CD53+CD54+CD59+CD84+CD86+#REF!+#REF!+#REF!+#REF!+CD57)*CD212</f>
        <v>#REF!</v>
      </c>
      <c r="CE214" s="87" t="e">
        <f>+(#REF!+#REF!+#REF!+#REF!+#REF!+#REF!+#REF!+#REF!+#REF!+#REF!+#REF!+#REF!+CE56+#REF!+#REF!+#REF!+#REF!+#REF!+#REF!+CE53+CE54+CE59+CE84+CE86+#REF!+#REF!+#REF!+#REF!+CE57)*CE212</f>
        <v>#REF!</v>
      </c>
      <c r="CF214" s="87" t="e">
        <f>+(#REF!+#REF!+#REF!+#REF!+#REF!+#REF!+#REF!+#REF!+#REF!+#REF!+#REF!+#REF!+CF56+#REF!+#REF!+#REF!+#REF!+#REF!+#REF!+CF53+CF54+CF59+CF84+CF86+#REF!+#REF!+#REF!+#REF!+CF57)*CF212</f>
        <v>#REF!</v>
      </c>
      <c r="CG214" s="87" t="e">
        <f>+(#REF!+#REF!+#REF!+#REF!+#REF!+#REF!+#REF!+#REF!+#REF!+#REF!+#REF!+#REF!+CG56+#REF!+#REF!+#REF!+#REF!+#REF!+#REF!+CG53+CG54+CG59+CG84+CG86+#REF!+#REF!+#REF!+#REF!+CG57)*CG212</f>
        <v>#REF!</v>
      </c>
      <c r="CH214" s="87" t="e">
        <f>+(#REF!+#REF!+#REF!+#REF!+#REF!+#REF!+#REF!+#REF!+#REF!+#REF!+#REF!+#REF!+CH56+#REF!+#REF!+#REF!+#REF!+#REF!+#REF!+CH53+CH54+CH59+CH84+CH86+#REF!+#REF!+#REF!+#REF!+CH57)*CH212</f>
        <v>#REF!</v>
      </c>
      <c r="CI214" s="87" t="e">
        <f>+(#REF!+#REF!+#REF!+#REF!+#REF!+#REF!+#REF!+#REF!+#REF!+#REF!+#REF!+#REF!+CI56+#REF!+#REF!+#REF!+#REF!+#REF!+#REF!+CI53+CI54+CK59+CI84+CI86+#REF!+#REF!+#REF!+#REF!+CI57)*CI212</f>
        <v>#REF!</v>
      </c>
      <c r="CJ214" s="87" t="e">
        <f>+(#REF!+#REF!+#REF!+#REF!+#REF!+#REF!+#REF!+#REF!+#REF!+#REF!+#REF!+#REF!+CJ56+#REF!+#REF!+#REF!+#REF!+#REF!+#REF!+CJ53+CJ54+CJ59+CJ84+CJ86+#REF!+#REF!+#REF!+#REF!+CJ57)*CJ212</f>
        <v>#REF!</v>
      </c>
      <c r="CK214" s="87" t="e">
        <f>+(#REF!+#REF!+#REF!+#REF!+#REF!+#REF!+#REF!+#REF!+#REF!+#REF!+#REF!+#REF!+CK56+#REF!+#REF!+#REF!+#REF!+#REF!+#REF!+CK53+CK54+#REF!+CK84+CK86+#REF!+#REF!+#REF!+#REF!+CK57)*CK212</f>
        <v>#REF!</v>
      </c>
      <c r="CL214" s="87" t="e">
        <f>+(#REF!+#REF!+#REF!+#REF!+#REF!+#REF!+#REF!+#REF!+#REF!+#REF!+#REF!+#REF!+CL56+#REF!+#REF!+#REF!+#REF!+#REF!+#REF!+CL53+CL54+CL59+CL84+CL86+#REF!+#REF!+#REF!+#REF!+CL57)*CL212</f>
        <v>#REF!</v>
      </c>
      <c r="CM214" s="87" t="e">
        <f>+(#REF!+#REF!+#REF!+#REF!+#REF!+#REF!+#REF!+#REF!+#REF!+#REF!+#REF!+#REF!+CM56+#REF!+#REF!+#REF!+#REF!+#REF!+#REF!+CM53+CM54+CM59+CM84+CM86+#REF!+#REF!+#REF!+#REF!+CM57)*CM212</f>
        <v>#REF!</v>
      </c>
      <c r="CN214" s="87" t="e">
        <f>+(#REF!+#REF!+#REF!+#REF!+#REF!+#REF!+#REF!+#REF!+#REF!+#REF!+#REF!+#REF!+CN56+#REF!+#REF!+#REF!+#REF!+#REF!+#REF!+CN53+CN54+CN59+CN84+CN86+#REF!+#REF!+#REF!+#REF!+CN57)*CN212</f>
        <v>#REF!</v>
      </c>
      <c r="CO214" s="87" t="e">
        <f>+(#REF!+#REF!+#REF!+#REF!+#REF!+#REF!+#REF!+#REF!+#REF!+#REF!+#REF!+#REF!+CO56+#REF!+#REF!+#REF!+#REF!+#REF!+#REF!+CO53+CO54+CO59+CO84+CO86+#REF!+#REF!+#REF!+#REF!+CO57)*CO212</f>
        <v>#REF!</v>
      </c>
      <c r="CP214" s="87" t="e">
        <f>+(#REF!+#REF!+#REF!+#REF!+#REF!+#REF!+#REF!+#REF!+#REF!+#REF!+#REF!+#REF!+CP56+#REF!+#REF!+#REF!+#REF!+#REF!+#REF!+CP53+CP54+CP59+CP84+CP86+#REF!+#REF!+#REF!+#REF!+CP57)*CP212</f>
        <v>#REF!</v>
      </c>
      <c r="CQ214" s="87" t="e">
        <f>+(#REF!+#REF!+#REF!+#REF!+#REF!+#REF!+#REF!+#REF!+#REF!+#REF!+#REF!+#REF!+CQ56+#REF!+#REF!+#REF!+#REF!+#REF!+#REF!+CQ53+CQ54+CQ59+CQ84+CQ86+#REF!+#REF!+#REF!+#REF!+CQ57)*CQ212</f>
        <v>#REF!</v>
      </c>
      <c r="CR214" s="87" t="e">
        <f>+(#REF!+#REF!+#REF!+#REF!+#REF!+#REF!+#REF!+#REF!+#REF!+#REF!+#REF!+#REF!+CR56+#REF!+#REF!+#REF!+#REF!+#REF!+#REF!+CR53+CR54+CR59+CR84+CR86+#REF!+#REF!+#REF!+#REF!+CR57)*CR212</f>
        <v>#REF!</v>
      </c>
      <c r="CS214" s="87" t="e">
        <f>+(#REF!+#REF!+#REF!+#REF!+#REF!+#REF!+#REF!+#REF!+#REF!+#REF!+#REF!+#REF!+CS56+#REF!+#REF!+#REF!+#REF!+#REF!+#REF!+CS53+CS54+CS59+CS84+CS86+#REF!+#REF!+#REF!+#REF!+CS57)*CS212</f>
        <v>#REF!</v>
      </c>
      <c r="CT214" s="87" t="e">
        <f>+(#REF!+#REF!+#REF!+#REF!+#REF!+#REF!+#REF!+#REF!+#REF!+#REF!+#REF!+#REF!+CT56+#REF!+#REF!+#REF!+#REF!+#REF!+#REF!+CT53+CT54+CT59+CT84+CT86+#REF!+#REF!+#REF!+#REF!+CT57)*CT212</f>
        <v>#REF!</v>
      </c>
      <c r="CU214" s="87" t="e">
        <f>+(#REF!+#REF!+#REF!+#REF!+#REF!+#REF!+#REF!+#REF!+#REF!+#REF!+#REF!+#REF!+CU56+#REF!+#REF!+#REF!+#REF!+#REF!+#REF!+CU53+CU54+CU59+CU84+CU86+#REF!+#REF!+#REF!+#REF!+CU57)*CU212</f>
        <v>#REF!</v>
      </c>
      <c r="CV214" s="87" t="e">
        <f>+(#REF!+#REF!+#REF!+#REF!+#REF!+#REF!+#REF!+#REF!+#REF!+#REF!+#REF!+#REF!+CV56+#REF!+#REF!+#REF!+#REF!+#REF!+#REF!+CV53+CV54+CV59+CV84+CV86+#REF!+#REF!+#REF!+#REF!+CV57)*CV212</f>
        <v>#REF!</v>
      </c>
      <c r="CW214" s="87" t="e">
        <f>+(#REF!+#REF!+#REF!+#REF!+#REF!+#REF!+#REF!+#REF!+#REF!+#REF!+#REF!+#REF!+CW56+#REF!+#REF!+#REF!+#REF!+#REF!+#REF!+CW53+CW54+CW59+CW84+CW86+#REF!+#REF!+#REF!+#REF!+CW57)*CW212</f>
        <v>#REF!</v>
      </c>
      <c r="CX214" s="87" t="e">
        <f>+(#REF!+#REF!+#REF!+#REF!+#REF!+#REF!+#REF!+#REF!+#REF!+#REF!+#REF!+#REF!+CX56+#REF!+#REF!+#REF!+#REF!+#REF!+#REF!+CX53+CX54+CX59+CX84+CX86+#REF!+#REF!+#REF!+#REF!+CX57)*CX212</f>
        <v>#REF!</v>
      </c>
      <c r="CY214" s="251"/>
      <c r="DJ214" s="255"/>
    </row>
    <row r="215" spans="1:158" s="89" customFormat="1" ht="16" hidden="1" thickBot="1" x14ac:dyDescent="0.25">
      <c r="A215" s="91"/>
      <c r="B215" s="92" t="s">
        <v>255</v>
      </c>
      <c r="C215" s="92"/>
      <c r="D215" s="92"/>
      <c r="E215" s="92"/>
      <c r="F215" s="92" t="s">
        <v>256</v>
      </c>
      <c r="G215" s="92"/>
      <c r="H215" s="92" t="e">
        <f>SUM(BG215:CX215)</f>
        <v>#REF!</v>
      </c>
      <c r="I215" s="93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1088" t="e">
        <f>SUM(T213:X214)</f>
        <v>#REF!</v>
      </c>
      <c r="U215" s="1216"/>
      <c r="V215" s="1216"/>
      <c r="W215" s="1216"/>
      <c r="X215" s="1217"/>
      <c r="Y215" s="1088" t="e">
        <f>SUM(Y213:AB214)</f>
        <v>#REF!</v>
      </c>
      <c r="Z215" s="1218"/>
      <c r="AA215" s="1218"/>
      <c r="AB215" s="1219"/>
      <c r="AC215" s="1088" t="e">
        <f>SUM(AC213:AF214)</f>
        <v>#REF!</v>
      </c>
      <c r="AD215" s="1089"/>
      <c r="AE215" s="1089"/>
      <c r="AF215" s="1090"/>
      <c r="AG215" s="1199" t="e">
        <f>SUM(AH213:AJ214)</f>
        <v>#REF!</v>
      </c>
      <c r="AH215" s="1089"/>
      <c r="AI215" s="1089"/>
      <c r="AJ215" s="1089"/>
      <c r="AK215" s="1088" t="e">
        <f>SUM(AK213:AO214)</f>
        <v>#REF!</v>
      </c>
      <c r="AL215" s="1089"/>
      <c r="AM215" s="1089"/>
      <c r="AN215" s="1089"/>
      <c r="AO215" s="1089"/>
      <c r="AP215" s="1088" t="e">
        <f>SUM(AP213:AS214)</f>
        <v>#REF!</v>
      </c>
      <c r="AQ215" s="1199"/>
      <c r="AR215" s="1199"/>
      <c r="AS215" s="1200"/>
      <c r="AT215" s="1211" t="e">
        <f>SUM(AT213:AX214)</f>
        <v>#REF!</v>
      </c>
      <c r="AU215" s="1212"/>
      <c r="AV215" s="1212"/>
      <c r="AW215" s="1212"/>
      <c r="AX215" s="1213"/>
      <c r="AY215" s="1211" t="e">
        <f>SUM(AY213:BB214)</f>
        <v>#REF!</v>
      </c>
      <c r="AZ215" s="1212"/>
      <c r="BA215" s="1212"/>
      <c r="BB215" s="1213"/>
      <c r="BC215" s="1211" t="e">
        <f>SUM(BC213:BF214)</f>
        <v>#REF!</v>
      </c>
      <c r="BD215" s="1212"/>
      <c r="BE215" s="1212"/>
      <c r="BF215" s="1213"/>
      <c r="BG215" s="1214" t="e">
        <f>SUM(BG213:BJ214)</f>
        <v>#REF!</v>
      </c>
      <c r="BH215" s="1215"/>
      <c r="BI215" s="1215"/>
      <c r="BJ215" s="1215"/>
      <c r="BK215" s="1027" t="e">
        <f>SUM(BK213:BO214)</f>
        <v>#REF!</v>
      </c>
      <c r="BL215" s="1028"/>
      <c r="BM215" s="1028"/>
      <c r="BN215" s="1028"/>
      <c r="BO215" s="1029"/>
      <c r="BP215" s="1027" t="e">
        <f>SUM(BP213:BS214)</f>
        <v>#REF!</v>
      </c>
      <c r="BQ215" s="1028"/>
      <c r="BR215" s="1028"/>
      <c r="BS215" s="1029"/>
      <c r="BT215" s="1027" t="e">
        <f>SUM(BT213:BW214)</f>
        <v>#REF!</v>
      </c>
      <c r="BU215" s="1028"/>
      <c r="BV215" s="1028"/>
      <c r="BW215" s="1029"/>
      <c r="BX215" s="1027" t="e">
        <f>SUM(BX213:CB214)</f>
        <v>#REF!</v>
      </c>
      <c r="BY215" s="1028"/>
      <c r="BZ215" s="1028"/>
      <c r="CA215" s="1028"/>
      <c r="CB215" s="1029"/>
      <c r="CC215" s="1027" t="e">
        <f>SUM(CC213:CF214)</f>
        <v>#REF!</v>
      </c>
      <c r="CD215" s="1028"/>
      <c r="CE215" s="1028"/>
      <c r="CF215" s="1029"/>
      <c r="CG215" s="1027" t="e">
        <f>SUM(CG213:CK214)</f>
        <v>#REF!</v>
      </c>
      <c r="CH215" s="1028"/>
      <c r="CI215" s="1028"/>
      <c r="CJ215" s="1028"/>
      <c r="CK215" s="1029"/>
      <c r="CL215" s="1027" t="e">
        <f>SUM(CL213:CO214)</f>
        <v>#REF!</v>
      </c>
      <c r="CM215" s="1028"/>
      <c r="CN215" s="1028"/>
      <c r="CO215" s="1029"/>
      <c r="CP215" s="1027" t="e">
        <f>SUM(CP213:CS214)</f>
        <v>#REF!</v>
      </c>
      <c r="CQ215" s="1028"/>
      <c r="CR215" s="1028"/>
      <c r="CS215" s="1029"/>
      <c r="CT215" s="1027" t="e">
        <f>SUM(CT213:CX214)</f>
        <v>#REF!</v>
      </c>
      <c r="CU215" s="1028"/>
      <c r="CV215" s="1028"/>
      <c r="CW215" s="1028"/>
      <c r="CX215" s="1029"/>
      <c r="CY215" s="251"/>
      <c r="DJ215" s="255"/>
    </row>
    <row r="216" spans="1:158" ht="16" hidden="1" thickBot="1" x14ac:dyDescent="0.25">
      <c r="A216" s="94"/>
      <c r="B216" s="37"/>
      <c r="C216" s="37"/>
      <c r="D216" s="37"/>
      <c r="E216" s="37"/>
      <c r="F216" s="38"/>
      <c r="G216" s="38"/>
      <c r="H216" s="38"/>
      <c r="I216" s="78"/>
      <c r="T216" s="1022" t="s">
        <v>257</v>
      </c>
      <c r="U216" s="1093"/>
      <c r="V216" s="1093"/>
      <c r="W216" s="1093"/>
      <c r="X216" s="1092"/>
      <c r="Y216" s="1022" t="s">
        <v>258</v>
      </c>
      <c r="Z216" s="1093"/>
      <c r="AA216" s="1093"/>
      <c r="AB216" s="1092"/>
      <c r="AC216" s="1022" t="s">
        <v>259</v>
      </c>
      <c r="AD216" s="1093"/>
      <c r="AE216" s="1093"/>
      <c r="AF216" s="1092"/>
      <c r="AG216" s="1023" t="s">
        <v>260</v>
      </c>
      <c r="AH216" s="1093"/>
      <c r="AI216" s="1093"/>
      <c r="AJ216" s="1093"/>
      <c r="AK216" s="1022" t="s">
        <v>130</v>
      </c>
      <c r="AL216" s="1023"/>
      <c r="AM216" s="1023"/>
      <c r="AN216" s="1023"/>
      <c r="AO216" s="1023"/>
      <c r="AP216" s="1022" t="s">
        <v>261</v>
      </c>
      <c r="AQ216" s="1023"/>
      <c r="AR216" s="1023"/>
      <c r="AS216" s="1024"/>
      <c r="AT216" s="1022" t="s">
        <v>262</v>
      </c>
      <c r="AU216" s="1023"/>
      <c r="AV216" s="1023"/>
      <c r="AW216" s="1023"/>
      <c r="AX216" s="1024"/>
      <c r="AY216" s="1022" t="s">
        <v>263</v>
      </c>
      <c r="AZ216" s="1023"/>
      <c r="BA216" s="1023"/>
      <c r="BB216" s="1024"/>
      <c r="BC216" s="1022" t="s">
        <v>264</v>
      </c>
      <c r="BD216" s="1023"/>
      <c r="BE216" s="1023"/>
      <c r="BF216" s="1024"/>
      <c r="BG216" s="1022" t="s">
        <v>265</v>
      </c>
      <c r="BH216" s="1023"/>
      <c r="BI216" s="1023"/>
      <c r="BJ216" s="1023"/>
      <c r="BK216" s="1022" t="s">
        <v>266</v>
      </c>
      <c r="BL216" s="1023"/>
      <c r="BM216" s="1023"/>
      <c r="BN216" s="1023"/>
      <c r="BO216" s="1024"/>
      <c r="BP216" s="1022" t="s">
        <v>267</v>
      </c>
      <c r="BQ216" s="1023"/>
      <c r="BR216" s="1023"/>
      <c r="BS216" s="1024"/>
      <c r="BT216" s="1022" t="s">
        <v>268</v>
      </c>
      <c r="BU216" s="1023"/>
      <c r="BV216" s="1023"/>
      <c r="BW216" s="1024"/>
      <c r="BX216" s="1022" t="s">
        <v>258</v>
      </c>
      <c r="BY216" s="1023"/>
      <c r="BZ216" s="1023"/>
      <c r="CA216" s="1023"/>
      <c r="CB216" s="1024"/>
      <c r="CC216" s="1022" t="s">
        <v>259</v>
      </c>
      <c r="CD216" s="1023"/>
      <c r="CE216" s="1023"/>
      <c r="CF216" s="1024"/>
      <c r="CG216" s="1022" t="s">
        <v>269</v>
      </c>
      <c r="CH216" s="1023"/>
      <c r="CI216" s="1023"/>
      <c r="CJ216" s="1023"/>
      <c r="CK216" s="1024"/>
      <c r="CL216" s="1022" t="s">
        <v>130</v>
      </c>
      <c r="CM216" s="1023"/>
      <c r="CN216" s="1023"/>
      <c r="CO216" s="1024"/>
      <c r="CP216" s="1022" t="s">
        <v>261</v>
      </c>
      <c r="CQ216" s="1023"/>
      <c r="CR216" s="1023"/>
      <c r="CS216" s="1024"/>
      <c r="CT216" s="1022" t="s">
        <v>270</v>
      </c>
      <c r="CU216" s="1023"/>
      <c r="CV216" s="1023"/>
      <c r="CW216" s="1023"/>
      <c r="CX216" s="1024"/>
      <c r="DJ216" s="181"/>
    </row>
    <row r="217" spans="1:158" hidden="1" x14ac:dyDescent="0.2">
      <c r="U217" s="1220" t="e">
        <f>+#REF!</f>
        <v>#REF!</v>
      </c>
      <c r="V217" s="1220"/>
      <c r="W217" s="1220"/>
      <c r="X217" s="1220"/>
      <c r="Y217" s="1221" t="e">
        <f>+#REF!</f>
        <v>#REF!</v>
      </c>
      <c r="Z217" s="1221"/>
      <c r="AA217" s="1221"/>
      <c r="AB217" s="1221"/>
      <c r="AC217" s="1221" t="e">
        <f>+#REF!</f>
        <v>#REF!</v>
      </c>
      <c r="AD217" s="1221"/>
      <c r="AE217" s="1221"/>
      <c r="AF217" s="1221"/>
      <c r="AG217" s="1221" t="e">
        <f>+#REF!</f>
        <v>#REF!</v>
      </c>
      <c r="AH217" s="1221"/>
      <c r="AI217" s="1221"/>
      <c r="AJ217" s="1221"/>
      <c r="AK217" s="1221" t="e">
        <f>+#REF!</f>
        <v>#REF!</v>
      </c>
      <c r="AL217" s="1221"/>
      <c r="AM217" s="1221"/>
      <c r="AN217" s="1221"/>
      <c r="AO217" s="1221"/>
      <c r="AP217" s="1222" t="e">
        <f>+#REF!</f>
        <v>#REF!</v>
      </c>
      <c r="AQ217" s="1222"/>
      <c r="AR217" s="1222"/>
      <c r="AS217" s="1222"/>
      <c r="AT217" s="89"/>
      <c r="DJ217" s="181"/>
    </row>
    <row r="218" spans="1:158" hidden="1" x14ac:dyDescent="0.2">
      <c r="BG218" s="89"/>
      <c r="DJ218" s="181"/>
    </row>
    <row r="219" spans="1:158" hidden="1" x14ac:dyDescent="0.2">
      <c r="DJ219" s="181"/>
    </row>
    <row r="220" spans="1:158" ht="19" hidden="1" x14ac:dyDescent="0.2">
      <c r="F220" s="1020">
        <v>2025</v>
      </c>
      <c r="G220" s="1021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95" t="s">
        <v>271</v>
      </c>
      <c r="DJ220" s="181"/>
    </row>
    <row r="221" spans="1:158" hidden="1" x14ac:dyDescent="0.2">
      <c r="F221" s="96" t="s">
        <v>265</v>
      </c>
      <c r="G221" s="97" t="e">
        <f>BG215</f>
        <v>#REF!</v>
      </c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8" t="e">
        <f>+#REF!</f>
        <v>#REF!</v>
      </c>
      <c r="DJ221" s="181"/>
    </row>
    <row r="222" spans="1:158" hidden="1" x14ac:dyDescent="0.2">
      <c r="F222" s="96" t="s">
        <v>266</v>
      </c>
      <c r="G222" s="97" t="e">
        <f>BK215</f>
        <v>#REF!</v>
      </c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8" t="e">
        <f>+#REF!</f>
        <v>#REF!</v>
      </c>
      <c r="DJ222" s="181"/>
    </row>
    <row r="223" spans="1:158" hidden="1" x14ac:dyDescent="0.2">
      <c r="F223" s="96" t="s">
        <v>267</v>
      </c>
      <c r="G223" s="97" t="e">
        <f>BP215</f>
        <v>#REF!</v>
      </c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8" t="e">
        <f>+#REF!</f>
        <v>#REF!</v>
      </c>
      <c r="DJ223" s="181"/>
    </row>
    <row r="224" spans="1:158" hidden="1" x14ac:dyDescent="0.2">
      <c r="F224" s="96" t="s">
        <v>268</v>
      </c>
      <c r="G224" s="97" t="e">
        <f>BT215</f>
        <v>#REF!</v>
      </c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8" t="e">
        <f>+#REF!</f>
        <v>#REF!</v>
      </c>
      <c r="DJ224" s="181"/>
    </row>
    <row r="225" spans="1:158" hidden="1" x14ac:dyDescent="0.2">
      <c r="F225" s="96" t="s">
        <v>258</v>
      </c>
      <c r="G225" s="97" t="e">
        <f>BX215</f>
        <v>#REF!</v>
      </c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8" t="e">
        <f>+#REF!</f>
        <v>#REF!</v>
      </c>
      <c r="DJ225" s="181"/>
    </row>
    <row r="226" spans="1:158" hidden="1" x14ac:dyDescent="0.2">
      <c r="F226" s="96" t="s">
        <v>259</v>
      </c>
      <c r="G226" s="97" t="e">
        <f>CC215</f>
        <v>#REF!</v>
      </c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8" t="e">
        <f>+#REF!</f>
        <v>#REF!</v>
      </c>
      <c r="DJ226" s="181"/>
    </row>
    <row r="227" spans="1:158" hidden="1" x14ac:dyDescent="0.2">
      <c r="F227" s="99" t="s">
        <v>272</v>
      </c>
      <c r="G227" s="100" t="e">
        <f>CG215</f>
        <v>#REF!</v>
      </c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101"/>
      <c r="DJ227" s="181"/>
    </row>
    <row r="228" spans="1:158" hidden="1" x14ac:dyDescent="0.2">
      <c r="F228" s="99" t="s">
        <v>273</v>
      </c>
      <c r="G228" s="100" t="e">
        <f>CL215</f>
        <v>#REF!</v>
      </c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101"/>
      <c r="DJ228" s="181"/>
    </row>
    <row r="229" spans="1:158" s="12" customFormat="1" hidden="1" x14ac:dyDescent="0.2">
      <c r="A229" s="79"/>
      <c r="B229" s="15"/>
      <c r="C229" s="15"/>
      <c r="D229" s="15"/>
      <c r="E229" s="15"/>
      <c r="F229" s="99" t="s">
        <v>261</v>
      </c>
      <c r="G229" s="100" t="e">
        <f>CP215</f>
        <v>#REF!</v>
      </c>
      <c r="H229" s="15"/>
      <c r="I229" s="1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101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 s="137"/>
      <c r="CZ229"/>
      <c r="DA229"/>
      <c r="DB229"/>
      <c r="DC229"/>
      <c r="DD229"/>
      <c r="DE229"/>
      <c r="DF229"/>
      <c r="DG229"/>
      <c r="DH229"/>
      <c r="DI229"/>
      <c r="DJ229" s="181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</row>
    <row r="230" spans="1:158" s="12" customFormat="1" ht="16" hidden="1" thickBot="1" x14ac:dyDescent="0.25">
      <c r="A230" s="79"/>
      <c r="B230" s="15"/>
      <c r="C230" s="15"/>
      <c r="D230" s="15"/>
      <c r="E230" s="15"/>
      <c r="F230" s="102" t="s">
        <v>274</v>
      </c>
      <c r="G230" s="103" t="e">
        <f>SUM(G221:G229)</f>
        <v>#REF!</v>
      </c>
      <c r="H230" s="15"/>
      <c r="I230" s="15"/>
      <c r="J230" s="104"/>
      <c r="K230" s="104"/>
      <c r="L230" s="104"/>
      <c r="M230" s="104"/>
      <c r="N230" s="104"/>
      <c r="O230" s="104"/>
      <c r="P230" s="104"/>
      <c r="Q230" s="104"/>
      <c r="R230" s="104"/>
      <c r="S230" s="104"/>
      <c r="T230" s="104"/>
      <c r="U230" s="105" t="e">
        <f>SUM(U221:U226)</f>
        <v>#REF!</v>
      </c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 s="137"/>
      <c r="CZ230"/>
      <c r="DA230"/>
      <c r="DB230"/>
      <c r="DC230"/>
      <c r="DD230"/>
      <c r="DE230"/>
      <c r="DF230"/>
      <c r="DG230"/>
      <c r="DH230"/>
      <c r="DI230"/>
      <c r="DJ230" s="181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</row>
    <row r="231" spans="1:158" s="12" customFormat="1" hidden="1" x14ac:dyDescent="0.2">
      <c r="A231" s="79"/>
      <c r="B231" s="15"/>
      <c r="C231" s="15"/>
      <c r="D231" s="15"/>
      <c r="E231" s="15"/>
      <c r="F231" s="15"/>
      <c r="G231" s="15"/>
      <c r="H231" s="15"/>
      <c r="I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 s="137"/>
      <c r="CZ231"/>
      <c r="DA231"/>
      <c r="DB231"/>
      <c r="DC231"/>
      <c r="DD231"/>
      <c r="DE231"/>
      <c r="DF231"/>
      <c r="DG231"/>
      <c r="DH231"/>
      <c r="DI231"/>
      <c r="DJ231" s="18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</row>
  </sheetData>
  <autoFilter ref="A51:F209" xr:uid="{0E7B67FD-2388-5E4C-BD5D-AC0A50F5F909}"/>
  <mergeCells count="206">
    <mergeCell ref="F220:G220"/>
    <mergeCell ref="CG216:CK216"/>
    <mergeCell ref="CL216:CO216"/>
    <mergeCell ref="CP216:CS216"/>
    <mergeCell ref="CT216:CX216"/>
    <mergeCell ref="U217:X217"/>
    <mergeCell ref="Y217:AB217"/>
    <mergeCell ref="AC217:AF217"/>
    <mergeCell ref="AG217:AJ217"/>
    <mergeCell ref="AK217:AO217"/>
    <mergeCell ref="AP217:AS217"/>
    <mergeCell ref="BG216:BJ216"/>
    <mergeCell ref="BK216:BO216"/>
    <mergeCell ref="BP216:BS216"/>
    <mergeCell ref="BT216:BW216"/>
    <mergeCell ref="BX216:CB216"/>
    <mergeCell ref="CC216:CF216"/>
    <mergeCell ref="CT215:CX215"/>
    <mergeCell ref="T216:X216"/>
    <mergeCell ref="Y216:AB216"/>
    <mergeCell ref="AC216:AF216"/>
    <mergeCell ref="AG216:AJ216"/>
    <mergeCell ref="AK216:AO216"/>
    <mergeCell ref="AP216:AS216"/>
    <mergeCell ref="AT216:AX216"/>
    <mergeCell ref="AY216:BB216"/>
    <mergeCell ref="BC216:BF216"/>
    <mergeCell ref="BT215:BW215"/>
    <mergeCell ref="BX215:CB215"/>
    <mergeCell ref="CC215:CF215"/>
    <mergeCell ref="CG215:CK215"/>
    <mergeCell ref="CL215:CO215"/>
    <mergeCell ref="CP215:CS215"/>
    <mergeCell ref="AT215:AX215"/>
    <mergeCell ref="AY215:BB215"/>
    <mergeCell ref="BC215:BF215"/>
    <mergeCell ref="BG215:BJ215"/>
    <mergeCell ref="BK215:BO215"/>
    <mergeCell ref="BP215:BS215"/>
    <mergeCell ref="T215:X215"/>
    <mergeCell ref="Y215:AB215"/>
    <mergeCell ref="AC215:AF215"/>
    <mergeCell ref="AG215:AJ215"/>
    <mergeCell ref="AK215:AO215"/>
    <mergeCell ref="AP215:AS215"/>
    <mergeCell ref="A207:F207"/>
    <mergeCell ref="A208:F208"/>
    <mergeCell ref="A209:F209"/>
    <mergeCell ref="A212:H212"/>
    <mergeCell ref="A213:H213"/>
    <mergeCell ref="A214:H214"/>
    <mergeCell ref="A187:A192"/>
    <mergeCell ref="E187:E192"/>
    <mergeCell ref="A193:A199"/>
    <mergeCell ref="E193:E199"/>
    <mergeCell ref="A200:A205"/>
    <mergeCell ref="E200:E205"/>
    <mergeCell ref="A166:A173"/>
    <mergeCell ref="E166:E173"/>
    <mergeCell ref="A174:A179"/>
    <mergeCell ref="E174:E179"/>
    <mergeCell ref="A180:A186"/>
    <mergeCell ref="E180:E186"/>
    <mergeCell ref="A148:A153"/>
    <mergeCell ref="E148:E153"/>
    <mergeCell ref="A154:A159"/>
    <mergeCell ref="E154:E159"/>
    <mergeCell ref="A160:A165"/>
    <mergeCell ref="E160:E165"/>
    <mergeCell ref="A130:A136"/>
    <mergeCell ref="E130:E136"/>
    <mergeCell ref="A137:A142"/>
    <mergeCell ref="E137:E142"/>
    <mergeCell ref="A143:A147"/>
    <mergeCell ref="E143:E147"/>
    <mergeCell ref="E102:E107"/>
    <mergeCell ref="A108:A112"/>
    <mergeCell ref="E108:E112"/>
    <mergeCell ref="A118:A123"/>
    <mergeCell ref="E118:E123"/>
    <mergeCell ref="A124:A129"/>
    <mergeCell ref="E124:E129"/>
    <mergeCell ref="A53:A55"/>
    <mergeCell ref="A89:A90"/>
    <mergeCell ref="E89:E93"/>
    <mergeCell ref="A91:A92"/>
    <mergeCell ref="A96:A97"/>
    <mergeCell ref="E96:E101"/>
    <mergeCell ref="A98:A99"/>
    <mergeCell ref="B49:E49"/>
    <mergeCell ref="F49:G49"/>
    <mergeCell ref="H49:I49"/>
    <mergeCell ref="B50:E50"/>
    <mergeCell ref="F50:G50"/>
    <mergeCell ref="H50:I50"/>
    <mergeCell ref="H46:I46"/>
    <mergeCell ref="B47:E47"/>
    <mergeCell ref="F47:G47"/>
    <mergeCell ref="H47:I47"/>
    <mergeCell ref="B48:E48"/>
    <mergeCell ref="F48:G48"/>
    <mergeCell ref="H48:I48"/>
    <mergeCell ref="DB43:DB46"/>
    <mergeCell ref="B44:E44"/>
    <mergeCell ref="F44:G44"/>
    <mergeCell ref="H44:I44"/>
    <mergeCell ref="B45:E45"/>
    <mergeCell ref="F45:G45"/>
    <mergeCell ref="H45:I45"/>
    <mergeCell ref="B46:E46"/>
    <mergeCell ref="F46:G46"/>
    <mergeCell ref="B42:E42"/>
    <mergeCell ref="F42:G42"/>
    <mergeCell ref="H42:I42"/>
    <mergeCell ref="B43:E43"/>
    <mergeCell ref="F43:G43"/>
    <mergeCell ref="H43:I43"/>
    <mergeCell ref="DA36:DA38"/>
    <mergeCell ref="F37:G37"/>
    <mergeCell ref="F38:G38"/>
    <mergeCell ref="CV36:CV38"/>
    <mergeCell ref="CW43:CW46"/>
    <mergeCell ref="H28:I28"/>
    <mergeCell ref="A39:A41"/>
    <mergeCell ref="B39:E41"/>
    <mergeCell ref="F39:G39"/>
    <mergeCell ref="H39:I41"/>
    <mergeCell ref="F40:G40"/>
    <mergeCell ref="F41:G41"/>
    <mergeCell ref="CR33:CR35"/>
    <mergeCell ref="CS33:CS35"/>
    <mergeCell ref="F34:G34"/>
    <mergeCell ref="F35:G35"/>
    <mergeCell ref="F36:G36"/>
    <mergeCell ref="A33:A38"/>
    <mergeCell ref="B33:E38"/>
    <mergeCell ref="F33:G33"/>
    <mergeCell ref="H33:I38"/>
    <mergeCell ref="B20:E20"/>
    <mergeCell ref="F20:G20"/>
    <mergeCell ref="H20:I20"/>
    <mergeCell ref="B32:E32"/>
    <mergeCell ref="F32:G32"/>
    <mergeCell ref="H32:I32"/>
    <mergeCell ref="A21:A27"/>
    <mergeCell ref="B21:E27"/>
    <mergeCell ref="F21:G21"/>
    <mergeCell ref="H21:I27"/>
    <mergeCell ref="F22:G22"/>
    <mergeCell ref="F23:G23"/>
    <mergeCell ref="F24:G24"/>
    <mergeCell ref="F25:G25"/>
    <mergeCell ref="F26:G26"/>
    <mergeCell ref="F27:G27"/>
    <mergeCell ref="A29:A31"/>
    <mergeCell ref="B29:E31"/>
    <mergeCell ref="F29:G29"/>
    <mergeCell ref="H29:I31"/>
    <mergeCell ref="F30:G30"/>
    <mergeCell ref="F31:G31"/>
    <mergeCell ref="B28:E28"/>
    <mergeCell ref="F28:G28"/>
    <mergeCell ref="B16:E16"/>
    <mergeCell ref="F16:G16"/>
    <mergeCell ref="H16:I16"/>
    <mergeCell ref="A17:A19"/>
    <mergeCell ref="B17:E19"/>
    <mergeCell ref="F17:G17"/>
    <mergeCell ref="H17:I19"/>
    <mergeCell ref="F18:G18"/>
    <mergeCell ref="F19:G19"/>
    <mergeCell ref="CQ12:CQ14"/>
    <mergeCell ref="B13:E13"/>
    <mergeCell ref="F13:G13"/>
    <mergeCell ref="H13:I13"/>
    <mergeCell ref="A14:A15"/>
    <mergeCell ref="B14:E15"/>
    <mergeCell ref="F14:G14"/>
    <mergeCell ref="H14:I14"/>
    <mergeCell ref="F15:G15"/>
    <mergeCell ref="H15:I15"/>
    <mergeCell ref="F10:G10"/>
    <mergeCell ref="H10:I10"/>
    <mergeCell ref="F11:G11"/>
    <mergeCell ref="H11:I11"/>
    <mergeCell ref="B12:E12"/>
    <mergeCell ref="F12:G12"/>
    <mergeCell ref="H12:I12"/>
    <mergeCell ref="F7:G7"/>
    <mergeCell ref="H7:I7"/>
    <mergeCell ref="F8:G8"/>
    <mergeCell ref="H8:I8"/>
    <mergeCell ref="F9:G9"/>
    <mergeCell ref="H9:I9"/>
    <mergeCell ref="F4:G4"/>
    <mergeCell ref="H4:I4"/>
    <mergeCell ref="F5:G5"/>
    <mergeCell ref="H5:I5"/>
    <mergeCell ref="F6:G6"/>
    <mergeCell ref="H6:I6"/>
    <mergeCell ref="F1:G1"/>
    <mergeCell ref="H1:I1"/>
    <mergeCell ref="F2:G2"/>
    <mergeCell ref="H2:I2"/>
    <mergeCell ref="F3:G3"/>
    <mergeCell ref="H3:I3"/>
  </mergeCells>
  <pageMargins left="0.25" right="0.25" top="0.75" bottom="0.75" header="0.3" footer="0.3"/>
  <pageSetup paperSize="9" scale="13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53353-D378-B447-B412-21EFF8BAAB63}">
  <sheetPr codeName="Sheet10"/>
  <dimension ref="B1:T91"/>
  <sheetViews>
    <sheetView zoomScale="80" zoomScaleNormal="80" workbookViewId="0"/>
  </sheetViews>
  <sheetFormatPr baseColWidth="10" defaultColWidth="10.6640625" defaultRowHeight="15" x14ac:dyDescent="0.2"/>
  <cols>
    <col min="2" max="2" width="38.33203125" customWidth="1"/>
    <col min="3" max="3" width="32.6640625" customWidth="1"/>
    <col min="4" max="4" width="16.33203125" customWidth="1"/>
    <col min="5" max="5" width="22.33203125" customWidth="1"/>
    <col min="6" max="6" width="20.33203125" customWidth="1"/>
    <col min="7" max="18" width="16.33203125" customWidth="1"/>
    <col min="19" max="19" width="19.6640625" bestFit="1" customWidth="1"/>
  </cols>
  <sheetData>
    <row r="1" spans="2:19" ht="16" thickBot="1" x14ac:dyDescent="0.25"/>
    <row r="2" spans="2:19" ht="27" customHeight="1" x14ac:dyDescent="0.25">
      <c r="B2" s="1229" t="s">
        <v>551</v>
      </c>
      <c r="C2" s="1231" t="s">
        <v>552</v>
      </c>
      <c r="D2" s="1231" t="s">
        <v>553</v>
      </c>
      <c r="E2" s="1233" t="s">
        <v>554</v>
      </c>
      <c r="F2" s="604">
        <v>1</v>
      </c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6"/>
    </row>
    <row r="3" spans="2:19" ht="40" customHeight="1" x14ac:dyDescent="0.2">
      <c r="B3" s="1230"/>
      <c r="C3" s="1232"/>
      <c r="D3" s="1232"/>
      <c r="E3" s="1234"/>
      <c r="F3" s="229" t="s">
        <v>555</v>
      </c>
      <c r="G3" s="228" t="s">
        <v>270</v>
      </c>
      <c r="H3" s="637" t="s">
        <v>263</v>
      </c>
      <c r="I3" s="637" t="s">
        <v>264</v>
      </c>
      <c r="J3" s="637" t="s">
        <v>265</v>
      </c>
      <c r="K3" s="637" t="s">
        <v>266</v>
      </c>
      <c r="L3" s="637" t="s">
        <v>267</v>
      </c>
      <c r="M3" s="637" t="s">
        <v>268</v>
      </c>
      <c r="N3" s="637" t="s">
        <v>258</v>
      </c>
      <c r="O3" s="637" t="s">
        <v>259</v>
      </c>
      <c r="P3" s="637" t="s">
        <v>260</v>
      </c>
      <c r="Q3" s="637" t="s">
        <v>130</v>
      </c>
      <c r="R3" s="637" t="s">
        <v>261</v>
      </c>
      <c r="S3" s="638" t="s">
        <v>397</v>
      </c>
    </row>
    <row r="4" spans="2:19" ht="28" customHeight="1" x14ac:dyDescent="0.2">
      <c r="B4" s="608" t="s">
        <v>578</v>
      </c>
      <c r="C4" s="522" t="s">
        <v>556</v>
      </c>
      <c r="D4" s="517">
        <v>14</v>
      </c>
      <c r="E4" s="518">
        <f>D4*1.25</f>
        <v>17.5</v>
      </c>
      <c r="F4" s="519">
        <f>S4/F$2</f>
        <v>2379.6499999999996</v>
      </c>
      <c r="G4" s="636">
        <f t="shared" ref="G4:G30" si="0">G33*E4</f>
        <v>2379.6499999999996</v>
      </c>
      <c r="H4" s="526"/>
      <c r="I4" s="526"/>
      <c r="J4" s="526"/>
      <c r="K4" s="526"/>
      <c r="L4" s="526"/>
      <c r="M4" s="526"/>
      <c r="N4" s="526"/>
      <c r="O4" s="526"/>
      <c r="P4" s="526"/>
      <c r="Q4" s="526"/>
      <c r="R4" s="526"/>
      <c r="S4" s="591">
        <f t="shared" ref="S4:S15" si="1">SUM(G4:R4)</f>
        <v>2379.6499999999996</v>
      </c>
    </row>
    <row r="5" spans="2:19" ht="28" customHeight="1" x14ac:dyDescent="0.2">
      <c r="B5" s="608" t="s">
        <v>579</v>
      </c>
      <c r="C5" s="640" t="s">
        <v>580</v>
      </c>
      <c r="D5" s="641">
        <v>14</v>
      </c>
      <c r="E5" s="518">
        <f>D5*1.25</f>
        <v>17.5</v>
      </c>
      <c r="F5" s="519">
        <f>S5/F$2</f>
        <v>481.59999999999997</v>
      </c>
      <c r="G5" s="636">
        <f t="shared" si="0"/>
        <v>481.59999999999997</v>
      </c>
      <c r="H5" s="526"/>
      <c r="I5" s="526"/>
      <c r="J5" s="526"/>
      <c r="K5" s="526"/>
      <c r="L5" s="526"/>
      <c r="M5" s="526"/>
      <c r="N5" s="526"/>
      <c r="O5" s="526"/>
      <c r="P5" s="526"/>
      <c r="Q5" s="526"/>
      <c r="R5" s="526"/>
      <c r="S5" s="591">
        <f t="shared" si="1"/>
        <v>481.59999999999997</v>
      </c>
    </row>
    <row r="6" spans="2:19" ht="28" customHeight="1" x14ac:dyDescent="0.2">
      <c r="B6" s="610" t="s">
        <v>581</v>
      </c>
      <c r="C6" s="524" t="s">
        <v>582</v>
      </c>
      <c r="D6" s="523">
        <v>14</v>
      </c>
      <c r="E6" s="518">
        <f t="shared" ref="E6:E29" si="2">D6*1.25</f>
        <v>17.5</v>
      </c>
      <c r="F6" s="525">
        <f>S6/F$2</f>
        <v>2724.0499999999997</v>
      </c>
      <c r="G6" s="636">
        <f t="shared" si="0"/>
        <v>2724.0499999999997</v>
      </c>
      <c r="H6" s="526"/>
      <c r="I6" s="526"/>
      <c r="J6" s="526"/>
      <c r="K6" s="526"/>
      <c r="L6" s="526"/>
      <c r="M6" s="526"/>
      <c r="N6" s="526"/>
      <c r="O6" s="526"/>
      <c r="P6" s="526"/>
      <c r="Q6" s="526"/>
      <c r="R6" s="526"/>
      <c r="S6" s="591">
        <f>SUM(G6:R6)</f>
        <v>2724.0499999999997</v>
      </c>
    </row>
    <row r="7" spans="2:19" ht="28" customHeight="1" x14ac:dyDescent="0.2">
      <c r="B7" s="610" t="s">
        <v>583</v>
      </c>
      <c r="C7" s="522" t="s">
        <v>557</v>
      </c>
      <c r="D7" s="517">
        <v>18</v>
      </c>
      <c r="E7" s="518">
        <f t="shared" si="2"/>
        <v>22.5</v>
      </c>
      <c r="F7" s="519">
        <f t="shared" ref="F7:F26" si="3">S7/F$2</f>
        <v>3609.2249999999999</v>
      </c>
      <c r="G7" s="636">
        <f t="shared" si="0"/>
        <v>3609.2249999999999</v>
      </c>
      <c r="H7" s="526"/>
      <c r="I7" s="526"/>
      <c r="J7" s="526"/>
      <c r="K7" s="526"/>
      <c r="L7" s="526"/>
      <c r="M7" s="526"/>
      <c r="N7" s="526"/>
      <c r="O7" s="526"/>
      <c r="P7" s="526"/>
      <c r="Q7" s="526"/>
      <c r="R7" s="526"/>
      <c r="S7" s="591">
        <f t="shared" si="1"/>
        <v>3609.2249999999999</v>
      </c>
    </row>
    <row r="8" spans="2:19" ht="29" customHeight="1" x14ac:dyDescent="0.2">
      <c r="B8" s="610" t="s">
        <v>584</v>
      </c>
      <c r="C8" s="524" t="s">
        <v>558</v>
      </c>
      <c r="D8" s="523">
        <v>14</v>
      </c>
      <c r="E8" s="518">
        <f t="shared" si="2"/>
        <v>17.5</v>
      </c>
      <c r="F8" s="525">
        <f t="shared" si="3"/>
        <v>1933.2249999999999</v>
      </c>
      <c r="G8" s="636">
        <f t="shared" si="0"/>
        <v>1933.2249999999999</v>
      </c>
      <c r="H8" s="526"/>
      <c r="I8" s="526"/>
      <c r="J8" s="526"/>
      <c r="K8" s="526"/>
      <c r="L8" s="526"/>
      <c r="M8" s="526"/>
      <c r="N8" s="526"/>
      <c r="O8" s="526"/>
      <c r="P8" s="526"/>
      <c r="Q8" s="526"/>
      <c r="R8" s="526"/>
      <c r="S8" s="591">
        <f t="shared" si="1"/>
        <v>1933.2249999999999</v>
      </c>
    </row>
    <row r="9" spans="2:19" ht="28" customHeight="1" x14ac:dyDescent="0.2">
      <c r="B9" s="610" t="s">
        <v>585</v>
      </c>
      <c r="C9" s="524" t="s">
        <v>558</v>
      </c>
      <c r="D9" s="527">
        <v>14</v>
      </c>
      <c r="E9" s="518">
        <f t="shared" si="2"/>
        <v>17.5</v>
      </c>
      <c r="F9" s="525">
        <f t="shared" si="3"/>
        <v>2800</v>
      </c>
      <c r="G9" s="636">
        <f t="shared" si="0"/>
        <v>2800</v>
      </c>
      <c r="H9" s="526"/>
      <c r="I9" s="526"/>
      <c r="J9" s="526"/>
      <c r="K9" s="526"/>
      <c r="L9" s="526"/>
      <c r="M9" s="526"/>
      <c r="N9" s="526"/>
      <c r="O9" s="526"/>
      <c r="P9" s="526"/>
      <c r="Q9" s="526"/>
      <c r="R9" s="526"/>
      <c r="S9" s="591">
        <f t="shared" si="1"/>
        <v>2800</v>
      </c>
    </row>
    <row r="10" spans="2:19" ht="28" customHeight="1" x14ac:dyDescent="0.2">
      <c r="B10" s="611" t="s">
        <v>586</v>
      </c>
      <c r="C10" s="524" t="s">
        <v>559</v>
      </c>
      <c r="D10" s="523">
        <v>16</v>
      </c>
      <c r="E10" s="518">
        <f t="shared" si="2"/>
        <v>20</v>
      </c>
      <c r="F10" s="525">
        <f t="shared" si="3"/>
        <v>3184.4</v>
      </c>
      <c r="G10" s="636">
        <f t="shared" si="0"/>
        <v>3184.4</v>
      </c>
      <c r="H10" s="526"/>
      <c r="I10" s="526"/>
      <c r="J10" s="526"/>
      <c r="K10" s="526"/>
      <c r="L10" s="526"/>
      <c r="M10" s="526"/>
      <c r="N10" s="526"/>
      <c r="O10" s="526"/>
      <c r="P10" s="526"/>
      <c r="Q10" s="526"/>
      <c r="R10" s="526"/>
      <c r="S10" s="591">
        <f t="shared" si="1"/>
        <v>3184.4</v>
      </c>
    </row>
    <row r="11" spans="2:19" ht="28" customHeight="1" x14ac:dyDescent="0.2">
      <c r="B11" s="611" t="s">
        <v>587</v>
      </c>
      <c r="C11" s="524" t="s">
        <v>561</v>
      </c>
      <c r="D11" s="523">
        <v>21</v>
      </c>
      <c r="E11" s="518">
        <f t="shared" si="2"/>
        <v>26.25</v>
      </c>
      <c r="F11" s="525">
        <f t="shared" si="3"/>
        <v>4200</v>
      </c>
      <c r="G11" s="636">
        <f t="shared" si="0"/>
        <v>4200</v>
      </c>
      <c r="H11" s="526"/>
      <c r="I11" s="526"/>
      <c r="J11" s="526"/>
      <c r="K11" s="526"/>
      <c r="L11" s="526"/>
      <c r="M11" s="526"/>
      <c r="N11" s="526"/>
      <c r="O11" s="526"/>
      <c r="P11" s="526"/>
      <c r="Q11" s="526"/>
      <c r="R11" s="526"/>
      <c r="S11" s="591">
        <f t="shared" si="1"/>
        <v>4200</v>
      </c>
    </row>
    <row r="12" spans="2:19" ht="28" customHeight="1" x14ac:dyDescent="0.2">
      <c r="B12" s="611" t="s">
        <v>588</v>
      </c>
      <c r="C12" s="524" t="s">
        <v>560</v>
      </c>
      <c r="D12" s="523">
        <v>18</v>
      </c>
      <c r="E12" s="518">
        <f t="shared" si="2"/>
        <v>22.5</v>
      </c>
      <c r="F12" s="525">
        <f t="shared" si="3"/>
        <v>3600.6750000000002</v>
      </c>
      <c r="G12" s="636">
        <f t="shared" si="0"/>
        <v>3600.6750000000002</v>
      </c>
      <c r="H12" s="526"/>
      <c r="I12" s="526"/>
      <c r="J12" s="526"/>
      <c r="K12" s="526"/>
      <c r="L12" s="526"/>
      <c r="M12" s="526"/>
      <c r="N12" s="526"/>
      <c r="O12" s="526"/>
      <c r="P12" s="526"/>
      <c r="Q12" s="526"/>
      <c r="R12" s="526"/>
      <c r="S12" s="591">
        <f t="shared" si="1"/>
        <v>3600.6750000000002</v>
      </c>
    </row>
    <row r="13" spans="2:19" ht="28" customHeight="1" x14ac:dyDescent="0.2">
      <c r="B13" s="610" t="s">
        <v>589</v>
      </c>
      <c r="C13" s="524" t="s">
        <v>562</v>
      </c>
      <c r="D13" s="523">
        <v>14</v>
      </c>
      <c r="E13" s="518">
        <f t="shared" si="2"/>
        <v>17.5</v>
      </c>
      <c r="F13" s="525">
        <f t="shared" si="3"/>
        <v>2793.5250000000001</v>
      </c>
      <c r="G13" s="636">
        <f t="shared" si="0"/>
        <v>2793.5250000000001</v>
      </c>
      <c r="H13" s="526"/>
      <c r="I13" s="526"/>
      <c r="J13" s="526"/>
      <c r="K13" s="526"/>
      <c r="L13" s="526"/>
      <c r="M13" s="526"/>
      <c r="N13" s="526"/>
      <c r="O13" s="526"/>
      <c r="P13" s="526"/>
      <c r="Q13" s="526"/>
      <c r="R13" s="526"/>
      <c r="S13" s="591">
        <f t="shared" si="1"/>
        <v>2793.5250000000001</v>
      </c>
    </row>
    <row r="14" spans="2:19" ht="28" customHeight="1" x14ac:dyDescent="0.2">
      <c r="B14" s="610" t="s">
        <v>590</v>
      </c>
      <c r="C14" s="587" t="s">
        <v>563</v>
      </c>
      <c r="D14" s="523">
        <v>20</v>
      </c>
      <c r="E14" s="518">
        <f t="shared" si="2"/>
        <v>25</v>
      </c>
      <c r="F14" s="525">
        <f t="shared" si="3"/>
        <v>4000</v>
      </c>
      <c r="G14" s="636">
        <f t="shared" si="0"/>
        <v>4000</v>
      </c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591">
        <f t="shared" si="1"/>
        <v>4000</v>
      </c>
    </row>
    <row r="15" spans="2:19" ht="28" customHeight="1" x14ac:dyDescent="0.2">
      <c r="B15" s="610" t="s">
        <v>591</v>
      </c>
      <c r="C15" s="524" t="s">
        <v>564</v>
      </c>
      <c r="D15" s="523">
        <v>18</v>
      </c>
      <c r="E15" s="518">
        <f t="shared" si="2"/>
        <v>22.5</v>
      </c>
      <c r="F15" s="525">
        <f t="shared" si="3"/>
        <v>3556.5749999999998</v>
      </c>
      <c r="G15" s="636">
        <f t="shared" si="0"/>
        <v>3556.5749999999998</v>
      </c>
      <c r="H15" s="526"/>
      <c r="I15" s="526"/>
      <c r="J15" s="526"/>
      <c r="K15" s="526"/>
      <c r="L15" s="526"/>
      <c r="M15" s="526"/>
      <c r="N15" s="526"/>
      <c r="O15" s="526"/>
      <c r="P15" s="526"/>
      <c r="Q15" s="526"/>
      <c r="R15" s="526"/>
      <c r="S15" s="591">
        <f t="shared" si="1"/>
        <v>3556.5749999999998</v>
      </c>
    </row>
    <row r="16" spans="2:19" ht="28" customHeight="1" x14ac:dyDescent="0.2">
      <c r="B16" s="610" t="s">
        <v>571</v>
      </c>
      <c r="C16" s="421" t="s">
        <v>559</v>
      </c>
      <c r="D16" s="523">
        <v>14</v>
      </c>
      <c r="E16" s="518">
        <f t="shared" si="2"/>
        <v>17.5</v>
      </c>
      <c r="F16" s="525">
        <f>S16/F$2</f>
        <v>2655.2749999999996</v>
      </c>
      <c r="G16" s="636">
        <f t="shared" si="0"/>
        <v>2655.2749999999996</v>
      </c>
      <c r="H16" s="526"/>
      <c r="I16" s="526"/>
      <c r="J16" s="526"/>
      <c r="K16" s="526"/>
      <c r="L16" s="526"/>
      <c r="M16" s="526"/>
      <c r="N16" s="526"/>
      <c r="O16" s="526"/>
      <c r="P16" s="526"/>
      <c r="Q16" s="526"/>
      <c r="R16" s="526"/>
      <c r="S16" s="591">
        <f>SUM(G16:R16)</f>
        <v>2655.2749999999996</v>
      </c>
    </row>
    <row r="17" spans="2:19" ht="28" customHeight="1" x14ac:dyDescent="0.2">
      <c r="B17" s="610" t="s">
        <v>565</v>
      </c>
      <c r="C17" s="524" t="s">
        <v>566</v>
      </c>
      <c r="D17" s="523">
        <v>14</v>
      </c>
      <c r="E17" s="518">
        <f t="shared" si="2"/>
        <v>17.5</v>
      </c>
      <c r="F17" s="525">
        <f t="shared" si="3"/>
        <v>5831.7749999999996</v>
      </c>
      <c r="G17" s="636">
        <f t="shared" si="0"/>
        <v>2791.7750000000001</v>
      </c>
      <c r="H17" s="526"/>
      <c r="I17" s="526"/>
      <c r="J17" s="526"/>
      <c r="K17" s="526"/>
      <c r="L17" s="526"/>
      <c r="M17" s="526"/>
      <c r="N17" s="526"/>
      <c r="O17" s="526"/>
      <c r="P17" s="526"/>
      <c r="Q17" s="526"/>
      <c r="R17" s="526"/>
      <c r="S17" s="591">
        <f>SUM(G17:R18)</f>
        <v>5831.7749999999996</v>
      </c>
    </row>
    <row r="18" spans="2:19" ht="28" customHeight="1" x14ac:dyDescent="0.2">
      <c r="B18" s="610" t="s">
        <v>572</v>
      </c>
      <c r="C18" s="524" t="s">
        <v>592</v>
      </c>
      <c r="D18" s="523">
        <v>16</v>
      </c>
      <c r="E18" s="518">
        <f t="shared" si="2"/>
        <v>20</v>
      </c>
      <c r="F18" s="525">
        <f>S18/F$2</f>
        <v>3040</v>
      </c>
      <c r="G18" s="636">
        <f t="shared" si="0"/>
        <v>3040</v>
      </c>
      <c r="H18" s="526"/>
      <c r="I18" s="526"/>
      <c r="J18" s="526"/>
      <c r="K18" s="526"/>
      <c r="L18" s="526"/>
      <c r="M18" s="526"/>
      <c r="N18" s="526"/>
      <c r="O18" s="526"/>
      <c r="P18" s="526"/>
      <c r="Q18" s="526"/>
      <c r="R18" s="526"/>
      <c r="S18" s="591">
        <f>SUM(G18:R18)</f>
        <v>3040</v>
      </c>
    </row>
    <row r="19" spans="2:19" ht="28" customHeight="1" x14ac:dyDescent="0.2">
      <c r="B19" s="610" t="s">
        <v>593</v>
      </c>
      <c r="C19" s="524" t="s">
        <v>568</v>
      </c>
      <c r="D19" s="523">
        <v>15</v>
      </c>
      <c r="E19" s="518">
        <f t="shared" si="2"/>
        <v>18.75</v>
      </c>
      <c r="F19" s="525">
        <f t="shared" si="3"/>
        <v>3000</v>
      </c>
      <c r="G19" s="636">
        <f t="shared" si="0"/>
        <v>3000</v>
      </c>
      <c r="H19" s="526"/>
      <c r="I19" s="526"/>
      <c r="J19" s="526"/>
      <c r="K19" s="526"/>
      <c r="L19" s="526"/>
      <c r="M19" s="526"/>
      <c r="N19" s="526"/>
      <c r="O19" s="526"/>
      <c r="P19" s="526"/>
      <c r="Q19" s="526"/>
      <c r="R19" s="526"/>
      <c r="S19" s="591">
        <f>SUM(G19:R19)</f>
        <v>3000</v>
      </c>
    </row>
    <row r="20" spans="2:19" ht="28" customHeight="1" x14ac:dyDescent="0.2">
      <c r="B20" s="610" t="s">
        <v>594</v>
      </c>
      <c r="C20" s="524" t="s">
        <v>568</v>
      </c>
      <c r="D20" s="523">
        <v>16</v>
      </c>
      <c r="E20" s="518">
        <f t="shared" si="2"/>
        <v>20</v>
      </c>
      <c r="F20" s="525">
        <f t="shared" si="3"/>
        <v>3040</v>
      </c>
      <c r="G20" s="636">
        <f t="shared" si="0"/>
        <v>3040</v>
      </c>
      <c r="H20" s="526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591">
        <f>SUM(G20:R20)</f>
        <v>3040</v>
      </c>
    </row>
    <row r="21" spans="2:19" ht="28" customHeight="1" x14ac:dyDescent="0.2">
      <c r="B21" s="610" t="s">
        <v>595</v>
      </c>
      <c r="C21" s="524" t="s">
        <v>569</v>
      </c>
      <c r="D21" s="523">
        <v>16</v>
      </c>
      <c r="E21" s="518">
        <f t="shared" si="2"/>
        <v>20</v>
      </c>
      <c r="F21" s="525">
        <f t="shared" si="3"/>
        <v>3112</v>
      </c>
      <c r="G21" s="636">
        <f t="shared" si="0"/>
        <v>3112</v>
      </c>
      <c r="H21" s="526"/>
      <c r="I21" s="526"/>
      <c r="J21" s="526"/>
      <c r="K21" s="526"/>
      <c r="L21" s="526"/>
      <c r="M21" s="526"/>
      <c r="N21" s="526"/>
      <c r="O21" s="526"/>
      <c r="P21" s="526"/>
      <c r="Q21" s="526"/>
      <c r="R21" s="526"/>
      <c r="S21" s="591">
        <f t="shared" ref="S21:S29" si="4">SUM(G21:R21)</f>
        <v>3112</v>
      </c>
    </row>
    <row r="22" spans="2:19" ht="28" customHeight="1" x14ac:dyDescent="0.2">
      <c r="B22" s="610" t="s">
        <v>589</v>
      </c>
      <c r="C22" s="524" t="s">
        <v>596</v>
      </c>
      <c r="D22" s="523">
        <v>14</v>
      </c>
      <c r="E22" s="518">
        <f t="shared" si="2"/>
        <v>17.5</v>
      </c>
      <c r="F22" s="525">
        <f t="shared" si="3"/>
        <v>2793.5250000000001</v>
      </c>
      <c r="G22" s="636">
        <f t="shared" si="0"/>
        <v>2793.5250000000001</v>
      </c>
      <c r="H22" s="526"/>
      <c r="I22" s="526"/>
      <c r="J22" s="526"/>
      <c r="K22" s="526"/>
      <c r="L22" s="526"/>
      <c r="M22" s="526"/>
      <c r="N22" s="526"/>
      <c r="O22" s="526"/>
      <c r="P22" s="526"/>
      <c r="Q22" s="526"/>
      <c r="R22" s="526"/>
      <c r="S22" s="591">
        <f t="shared" si="4"/>
        <v>2793.5250000000001</v>
      </c>
    </row>
    <row r="23" spans="2:19" ht="28" customHeight="1" x14ac:dyDescent="0.2">
      <c r="B23" s="610" t="s">
        <v>597</v>
      </c>
      <c r="C23" s="524" t="s">
        <v>567</v>
      </c>
      <c r="D23" s="523">
        <v>14</v>
      </c>
      <c r="E23" s="518">
        <f t="shared" si="2"/>
        <v>17.5</v>
      </c>
      <c r="F23" s="525">
        <f t="shared" si="3"/>
        <v>2520</v>
      </c>
      <c r="G23" s="636">
        <f t="shared" si="0"/>
        <v>2520</v>
      </c>
      <c r="H23" s="526"/>
      <c r="I23" s="526"/>
      <c r="J23" s="526"/>
      <c r="K23" s="526"/>
      <c r="L23" s="526"/>
      <c r="M23" s="526"/>
      <c r="N23" s="526"/>
      <c r="O23" s="526"/>
      <c r="P23" s="526"/>
      <c r="Q23" s="526"/>
      <c r="R23" s="526"/>
      <c r="S23" s="591">
        <f t="shared" si="4"/>
        <v>2520</v>
      </c>
    </row>
    <row r="24" spans="2:19" ht="28" customHeight="1" x14ac:dyDescent="0.2">
      <c r="B24" s="610" t="s">
        <v>570</v>
      </c>
      <c r="C24" s="524" t="s">
        <v>568</v>
      </c>
      <c r="D24" s="523">
        <v>14</v>
      </c>
      <c r="E24" s="518">
        <f t="shared" si="2"/>
        <v>17.5</v>
      </c>
      <c r="F24" s="525">
        <f t="shared" si="3"/>
        <v>2800</v>
      </c>
      <c r="G24" s="636">
        <f t="shared" si="0"/>
        <v>2800</v>
      </c>
      <c r="H24" s="526"/>
      <c r="I24" s="526"/>
      <c r="J24" s="526"/>
      <c r="K24" s="526"/>
      <c r="L24" s="526"/>
      <c r="M24" s="526"/>
      <c r="N24" s="526"/>
      <c r="O24" s="526"/>
      <c r="P24" s="526"/>
      <c r="Q24" s="526"/>
      <c r="R24" s="526"/>
      <c r="S24" s="591">
        <f t="shared" si="4"/>
        <v>2800</v>
      </c>
    </row>
    <row r="25" spans="2:19" ht="28" customHeight="1" x14ac:dyDescent="0.2">
      <c r="B25" s="610" t="s">
        <v>598</v>
      </c>
      <c r="C25" s="524" t="s">
        <v>599</v>
      </c>
      <c r="D25" s="523">
        <v>14</v>
      </c>
      <c r="E25" s="518">
        <f t="shared" si="2"/>
        <v>17.5</v>
      </c>
      <c r="F25" s="525">
        <f t="shared" si="3"/>
        <v>2800</v>
      </c>
      <c r="G25" s="636">
        <f t="shared" si="0"/>
        <v>2800</v>
      </c>
      <c r="H25" s="526"/>
      <c r="I25" s="526"/>
      <c r="J25" s="526"/>
      <c r="K25" s="526"/>
      <c r="L25" s="526"/>
      <c r="M25" s="526"/>
      <c r="N25" s="526"/>
      <c r="O25" s="526"/>
      <c r="P25" s="526"/>
      <c r="Q25" s="526"/>
      <c r="R25" s="526"/>
      <c r="S25" s="591">
        <f t="shared" si="4"/>
        <v>2800</v>
      </c>
    </row>
    <row r="26" spans="2:19" ht="28" customHeight="1" x14ac:dyDescent="0.2">
      <c r="B26" s="610" t="s">
        <v>600</v>
      </c>
      <c r="C26" s="421" t="s">
        <v>568</v>
      </c>
      <c r="D26" s="523">
        <v>14</v>
      </c>
      <c r="E26" s="518">
        <f t="shared" si="2"/>
        <v>17.5</v>
      </c>
      <c r="F26" s="525">
        <f t="shared" si="3"/>
        <v>2205.875</v>
      </c>
      <c r="G26" s="636">
        <f t="shared" si="0"/>
        <v>2205.875</v>
      </c>
      <c r="H26" s="526"/>
      <c r="I26" s="526"/>
      <c r="J26" s="526"/>
      <c r="K26" s="526"/>
      <c r="L26" s="526"/>
      <c r="M26" s="526"/>
      <c r="N26" s="526"/>
      <c r="O26" s="526"/>
      <c r="P26" s="526"/>
      <c r="Q26" s="526"/>
      <c r="R26" s="526"/>
      <c r="S26" s="591">
        <f t="shared" si="4"/>
        <v>2205.875</v>
      </c>
    </row>
    <row r="27" spans="2:19" ht="28" customHeight="1" x14ac:dyDescent="0.2">
      <c r="B27" s="610" t="s">
        <v>573</v>
      </c>
      <c r="C27" s="421" t="s">
        <v>567</v>
      </c>
      <c r="D27" s="523">
        <v>14</v>
      </c>
      <c r="E27" s="518">
        <f t="shared" si="2"/>
        <v>17.5</v>
      </c>
      <c r="F27" s="525">
        <f>S27/F$2</f>
        <v>2513</v>
      </c>
      <c r="G27" s="636">
        <f t="shared" si="0"/>
        <v>2513</v>
      </c>
      <c r="H27" s="526"/>
      <c r="I27" s="526"/>
      <c r="J27" s="526"/>
      <c r="K27" s="526"/>
      <c r="L27" s="526"/>
      <c r="M27" s="526"/>
      <c r="N27" s="526"/>
      <c r="O27" s="526"/>
      <c r="P27" s="526"/>
      <c r="Q27" s="526"/>
      <c r="R27" s="526"/>
      <c r="S27" s="591">
        <f t="shared" si="4"/>
        <v>2513</v>
      </c>
    </row>
    <row r="28" spans="2:19" ht="28" customHeight="1" x14ac:dyDescent="0.2">
      <c r="B28" s="610" t="s">
        <v>574</v>
      </c>
      <c r="C28" s="421" t="s">
        <v>567</v>
      </c>
      <c r="D28" s="523">
        <v>14</v>
      </c>
      <c r="E28" s="518">
        <f t="shared" si="2"/>
        <v>17.5</v>
      </c>
      <c r="F28" s="525">
        <f>S28/F$2</f>
        <v>2741.0250000000001</v>
      </c>
      <c r="G28" s="636">
        <f t="shared" si="0"/>
        <v>2741.0250000000001</v>
      </c>
      <c r="H28" s="526"/>
      <c r="I28" s="526"/>
      <c r="J28" s="526"/>
      <c r="K28" s="526"/>
      <c r="L28" s="526"/>
      <c r="M28" s="526"/>
      <c r="N28" s="526"/>
      <c r="O28" s="526"/>
      <c r="P28" s="526"/>
      <c r="Q28" s="526"/>
      <c r="R28" s="526"/>
      <c r="S28" s="591">
        <f t="shared" si="4"/>
        <v>2741.0250000000001</v>
      </c>
    </row>
    <row r="29" spans="2:19" ht="28" customHeight="1" x14ac:dyDescent="0.2">
      <c r="B29" s="610" t="s">
        <v>601</v>
      </c>
      <c r="C29" s="421" t="s">
        <v>602</v>
      </c>
      <c r="D29" s="523">
        <v>14</v>
      </c>
      <c r="E29" s="518">
        <f t="shared" si="2"/>
        <v>17.5</v>
      </c>
      <c r="F29" s="525">
        <f>S29/F$2</f>
        <v>2653.35</v>
      </c>
      <c r="G29" s="636">
        <f t="shared" si="0"/>
        <v>2653.35</v>
      </c>
      <c r="H29" s="526"/>
      <c r="I29" s="526"/>
      <c r="J29" s="526"/>
      <c r="K29" s="526"/>
      <c r="L29" s="526"/>
      <c r="M29" s="526"/>
      <c r="N29" s="526"/>
      <c r="O29" s="526"/>
      <c r="P29" s="526"/>
      <c r="Q29" s="526"/>
      <c r="R29" s="526"/>
      <c r="S29" s="591">
        <f t="shared" si="4"/>
        <v>2653.35</v>
      </c>
    </row>
    <row r="30" spans="2:19" ht="28" customHeight="1" x14ac:dyDescent="0.2">
      <c r="B30" s="612" t="s">
        <v>603</v>
      </c>
      <c r="C30" s="421" t="s">
        <v>599</v>
      </c>
      <c r="D30" s="601">
        <v>14</v>
      </c>
      <c r="E30" s="602">
        <f>D30*1.25</f>
        <v>17.5</v>
      </c>
      <c r="F30" s="525">
        <f>S30/F$2</f>
        <v>560</v>
      </c>
      <c r="G30" s="520">
        <f t="shared" si="0"/>
        <v>560</v>
      </c>
      <c r="H30" s="603"/>
      <c r="I30" s="603"/>
      <c r="J30" s="603"/>
      <c r="K30" s="603"/>
      <c r="L30" s="603"/>
      <c r="M30" s="603"/>
      <c r="N30" s="603"/>
      <c r="O30" s="603"/>
      <c r="P30" s="603"/>
      <c r="Q30" s="603"/>
      <c r="R30" s="603"/>
      <c r="S30" s="591">
        <f>SUM(G30:R30)</f>
        <v>560</v>
      </c>
    </row>
    <row r="31" spans="2:19" ht="24" thickBot="1" x14ac:dyDescent="0.25">
      <c r="B31" s="1223" t="s">
        <v>575</v>
      </c>
      <c r="C31" s="1224"/>
      <c r="D31" s="1224"/>
      <c r="E31" s="1225"/>
      <c r="F31" s="613">
        <f>SUM(F4:F29)</f>
        <v>76968.75</v>
      </c>
      <c r="G31" s="613">
        <f t="shared" ref="G31:S31" si="5">SUM(G4:G30)</f>
        <v>74488.75</v>
      </c>
      <c r="H31" s="613">
        <f t="shared" si="5"/>
        <v>0</v>
      </c>
      <c r="I31" s="613">
        <f t="shared" si="5"/>
        <v>0</v>
      </c>
      <c r="J31" s="613">
        <f t="shared" si="5"/>
        <v>0</v>
      </c>
      <c r="K31" s="613">
        <f t="shared" si="5"/>
        <v>0</v>
      </c>
      <c r="L31" s="613">
        <f t="shared" si="5"/>
        <v>0</v>
      </c>
      <c r="M31" s="613">
        <f t="shared" si="5"/>
        <v>0</v>
      </c>
      <c r="N31" s="613">
        <f t="shared" si="5"/>
        <v>0</v>
      </c>
      <c r="O31" s="613">
        <f t="shared" si="5"/>
        <v>0</v>
      </c>
      <c r="P31" s="613">
        <f t="shared" si="5"/>
        <v>0</v>
      </c>
      <c r="Q31" s="613">
        <f t="shared" si="5"/>
        <v>0</v>
      </c>
      <c r="R31" s="613">
        <f t="shared" si="5"/>
        <v>0</v>
      </c>
      <c r="S31" s="614">
        <f t="shared" si="5"/>
        <v>77528.75</v>
      </c>
    </row>
    <row r="32" spans="2:19" ht="25" customHeight="1" x14ac:dyDescent="0.2">
      <c r="B32" s="1226" t="s">
        <v>576</v>
      </c>
      <c r="C32" s="1227"/>
      <c r="D32" s="1227"/>
      <c r="E32" s="1227"/>
      <c r="F32" s="1227"/>
      <c r="G32" s="1227"/>
      <c r="H32" s="1227"/>
      <c r="I32" s="1227"/>
      <c r="J32" s="1227"/>
      <c r="K32" s="1227"/>
      <c r="L32" s="1227"/>
      <c r="M32" s="1227"/>
      <c r="N32" s="1227"/>
      <c r="O32" s="1227"/>
      <c r="P32" s="1227"/>
      <c r="Q32" s="1227"/>
      <c r="R32" s="1227"/>
      <c r="S32" s="1228"/>
    </row>
    <row r="33" spans="2:19" ht="24" customHeight="1" x14ac:dyDescent="0.2">
      <c r="B33" s="590" t="str">
        <f t="shared" ref="B33:E59" si="6">B4</f>
        <v xml:space="preserve">Alejandro Rodriguez, Rodriguez </v>
      </c>
      <c r="C33" s="230" t="str">
        <f t="shared" si="6"/>
        <v xml:space="preserve">Insert the last </v>
      </c>
      <c r="D33" s="263">
        <f t="shared" si="6"/>
        <v>14</v>
      </c>
      <c r="E33" s="263">
        <f t="shared" si="6"/>
        <v>17.5</v>
      </c>
      <c r="F33" s="600">
        <f>S33/$F$2</f>
        <v>135.97999999999999</v>
      </c>
      <c r="G33" s="597">
        <v>135.97999999999999</v>
      </c>
      <c r="H33" s="521"/>
      <c r="I33" s="231"/>
      <c r="J33" s="231"/>
      <c r="K33" s="231"/>
      <c r="L33" s="231"/>
      <c r="M33" s="231"/>
      <c r="N33" s="231"/>
      <c r="O33" s="231"/>
      <c r="P33" s="231"/>
      <c r="Q33" s="231"/>
      <c r="R33" s="231"/>
      <c r="S33" s="596">
        <f t="shared" ref="S33:S59" si="7">SUM(G33:R33)</f>
        <v>135.97999999999999</v>
      </c>
    </row>
    <row r="34" spans="2:19" ht="24" customHeight="1" x14ac:dyDescent="0.2">
      <c r="B34" s="590" t="str">
        <f t="shared" si="6"/>
        <v xml:space="preserve">Jesus, Robledo </v>
      </c>
      <c r="C34" s="230" t="str">
        <f t="shared" si="6"/>
        <v xml:space="preserve">Insert the Last </v>
      </c>
      <c r="D34" s="263">
        <f t="shared" si="6"/>
        <v>14</v>
      </c>
      <c r="E34" s="263">
        <f t="shared" si="6"/>
        <v>17.5</v>
      </c>
      <c r="F34" s="600">
        <f>S34/$F$2</f>
        <v>27.52</v>
      </c>
      <c r="G34" s="597">
        <v>27.52</v>
      </c>
      <c r="H34" s="521"/>
      <c r="I34" s="231"/>
      <c r="J34" s="231"/>
      <c r="K34" s="231"/>
      <c r="L34" s="231"/>
      <c r="M34" s="231"/>
      <c r="N34" s="231"/>
      <c r="O34" s="231"/>
      <c r="P34" s="231"/>
      <c r="Q34" s="231"/>
      <c r="R34" s="231"/>
      <c r="S34" s="596">
        <f t="shared" si="7"/>
        <v>27.52</v>
      </c>
    </row>
    <row r="35" spans="2:19" ht="24" customHeight="1" x14ac:dyDescent="0.2">
      <c r="B35" s="590" t="str">
        <f t="shared" si="6"/>
        <v xml:space="preserve">Natalia, Garcia Hernadez </v>
      </c>
      <c r="C35" s="230" t="str">
        <f t="shared" si="6"/>
        <v>Hole Filling</v>
      </c>
      <c r="D35" s="263">
        <f t="shared" si="6"/>
        <v>14</v>
      </c>
      <c r="E35" s="263">
        <f t="shared" si="6"/>
        <v>17.5</v>
      </c>
      <c r="F35" s="600">
        <f t="shared" ref="F35:F61" si="8">S35/$F$2</f>
        <v>155.66</v>
      </c>
      <c r="G35" s="597">
        <v>155.66</v>
      </c>
      <c r="H35" s="521"/>
      <c r="I35" s="231"/>
      <c r="J35" s="231"/>
      <c r="K35" s="231"/>
      <c r="L35" s="231"/>
      <c r="M35" s="231"/>
      <c r="N35" s="231"/>
      <c r="O35" s="231"/>
      <c r="P35" s="231"/>
      <c r="Q35" s="231"/>
      <c r="R35" s="231"/>
      <c r="S35" s="596">
        <f t="shared" si="7"/>
        <v>155.66</v>
      </c>
    </row>
    <row r="36" spans="2:19" ht="24" customHeight="1" x14ac:dyDescent="0.2">
      <c r="B36" s="590" t="str">
        <f t="shared" si="6"/>
        <v xml:space="preserve">Martiza, Durado De Lapaz </v>
      </c>
      <c r="C36" s="230" t="str">
        <f t="shared" si="6"/>
        <v>Line Lead/ Cement</v>
      </c>
      <c r="D36" s="263">
        <f t="shared" si="6"/>
        <v>18</v>
      </c>
      <c r="E36" s="263">
        <f t="shared" si="6"/>
        <v>22.5</v>
      </c>
      <c r="F36" s="600">
        <f t="shared" si="8"/>
        <v>160.41</v>
      </c>
      <c r="G36" s="597">
        <v>160.41</v>
      </c>
      <c r="H36" s="231"/>
      <c r="I36" s="231"/>
      <c r="J36" s="231"/>
      <c r="K36" s="231"/>
      <c r="L36" s="231"/>
      <c r="M36" s="231"/>
      <c r="N36" s="231"/>
      <c r="O36" s="231"/>
      <c r="P36" s="231"/>
      <c r="Q36" s="231"/>
      <c r="R36" s="231"/>
      <c r="S36" s="596">
        <f t="shared" si="7"/>
        <v>160.41</v>
      </c>
    </row>
    <row r="37" spans="2:19" ht="24" customHeight="1" x14ac:dyDescent="0.2">
      <c r="B37" s="590" t="str">
        <f t="shared" si="6"/>
        <v>Lenor, Romero Monteagudo</v>
      </c>
      <c r="C37" s="230" t="str">
        <f t="shared" si="6"/>
        <v>Cement &amp; Primer</v>
      </c>
      <c r="D37" s="263">
        <f t="shared" si="6"/>
        <v>14</v>
      </c>
      <c r="E37" s="263">
        <f t="shared" si="6"/>
        <v>17.5</v>
      </c>
      <c r="F37" s="600">
        <f t="shared" si="8"/>
        <v>110.47</v>
      </c>
      <c r="G37" s="597">
        <v>110.47</v>
      </c>
      <c r="H37" s="231"/>
      <c r="I37" s="231"/>
      <c r="J37" s="231"/>
      <c r="K37" s="231"/>
      <c r="L37" s="231"/>
      <c r="M37" s="231"/>
      <c r="N37" s="231"/>
      <c r="O37" s="231"/>
      <c r="P37" s="231"/>
      <c r="Q37" s="231"/>
      <c r="R37" s="231"/>
      <c r="S37" s="596">
        <f t="shared" si="7"/>
        <v>110.47</v>
      </c>
    </row>
    <row r="38" spans="2:19" ht="24" customHeight="1" x14ac:dyDescent="0.2">
      <c r="B38" s="590" t="str">
        <f t="shared" si="6"/>
        <v xml:space="preserve">Yanifer, Garcia Hernadez </v>
      </c>
      <c r="C38" s="230" t="str">
        <f t="shared" si="6"/>
        <v>Cement &amp; Primer</v>
      </c>
      <c r="D38" s="263">
        <f t="shared" si="6"/>
        <v>14</v>
      </c>
      <c r="E38" s="263">
        <f t="shared" si="6"/>
        <v>17.5</v>
      </c>
      <c r="F38" s="600">
        <f t="shared" si="8"/>
        <v>160</v>
      </c>
      <c r="G38" s="597">
        <v>160</v>
      </c>
      <c r="H38" s="231"/>
      <c r="I38" s="231"/>
      <c r="J38" s="231"/>
      <c r="K38" s="231"/>
      <c r="L38" s="231"/>
      <c r="M38" s="231"/>
      <c r="N38" s="231"/>
      <c r="O38" s="231"/>
      <c r="P38" s="231"/>
      <c r="Q38" s="231"/>
      <c r="R38" s="231"/>
      <c r="S38" s="596">
        <f t="shared" si="7"/>
        <v>160</v>
      </c>
    </row>
    <row r="39" spans="2:19" ht="24" customHeight="1" x14ac:dyDescent="0.2">
      <c r="B39" s="590" t="str">
        <f t="shared" si="6"/>
        <v xml:space="preserve">Roger, Marquez Montilla </v>
      </c>
      <c r="C39" s="230" t="str">
        <f t="shared" si="6"/>
        <v xml:space="preserve">Sole Attach </v>
      </c>
      <c r="D39" s="263">
        <f t="shared" si="6"/>
        <v>16</v>
      </c>
      <c r="E39" s="263">
        <f t="shared" si="6"/>
        <v>20</v>
      </c>
      <c r="F39" s="600">
        <f t="shared" si="8"/>
        <v>159.22</v>
      </c>
      <c r="G39" s="597">
        <v>159.22</v>
      </c>
      <c r="H39" s="521"/>
      <c r="I39" s="231"/>
      <c r="J39" s="231"/>
      <c r="K39" s="231"/>
      <c r="L39" s="231"/>
      <c r="M39" s="231"/>
      <c r="N39" s="231"/>
      <c r="O39" s="231"/>
      <c r="P39" s="231"/>
      <c r="Q39" s="231"/>
      <c r="R39" s="231"/>
      <c r="S39" s="596">
        <f t="shared" si="7"/>
        <v>159.22</v>
      </c>
    </row>
    <row r="40" spans="2:19" ht="24" customHeight="1" x14ac:dyDescent="0.2">
      <c r="B40" s="590" t="str">
        <f t="shared" si="6"/>
        <v>Ivan, Gonzalez</v>
      </c>
      <c r="C40" s="230" t="str">
        <f t="shared" si="6"/>
        <v xml:space="preserve">Sole Attach &amp; Jupiter </v>
      </c>
      <c r="D40" s="263">
        <f t="shared" si="6"/>
        <v>21</v>
      </c>
      <c r="E40" s="263">
        <f t="shared" si="6"/>
        <v>26.25</v>
      </c>
      <c r="F40" s="600">
        <f t="shared" si="8"/>
        <v>160</v>
      </c>
      <c r="G40" s="597">
        <v>160</v>
      </c>
      <c r="H40" s="521"/>
      <c r="I40" s="231"/>
      <c r="J40" s="231"/>
      <c r="K40" s="231"/>
      <c r="L40" s="231"/>
      <c r="M40" s="231"/>
      <c r="N40" s="231"/>
      <c r="O40" s="231"/>
      <c r="P40" s="231"/>
      <c r="Q40" s="231"/>
      <c r="R40" s="231"/>
      <c r="S40" s="596">
        <f t="shared" si="7"/>
        <v>160</v>
      </c>
    </row>
    <row r="41" spans="2:19" ht="24" customHeight="1" x14ac:dyDescent="0.2">
      <c r="B41" s="590" t="str">
        <f t="shared" si="6"/>
        <v xml:space="preserve">Jose, Molina Dominguez </v>
      </c>
      <c r="C41" s="230" t="str">
        <f t="shared" si="6"/>
        <v xml:space="preserve">Sole Attach &amp; Welt Beating </v>
      </c>
      <c r="D41" s="263">
        <f t="shared" si="6"/>
        <v>18</v>
      </c>
      <c r="E41" s="263">
        <f t="shared" si="6"/>
        <v>22.5</v>
      </c>
      <c r="F41" s="600">
        <f t="shared" si="8"/>
        <v>160.03</v>
      </c>
      <c r="G41" s="597">
        <v>160.03</v>
      </c>
      <c r="H41" s="231"/>
      <c r="I41" s="231"/>
      <c r="J41" s="231"/>
      <c r="K41" s="231"/>
      <c r="L41" s="231"/>
      <c r="M41" s="231"/>
      <c r="N41" s="231"/>
      <c r="O41" s="231"/>
      <c r="P41" s="231"/>
      <c r="Q41" s="231"/>
      <c r="R41" s="231"/>
      <c r="S41" s="596">
        <f t="shared" si="7"/>
        <v>160.03</v>
      </c>
    </row>
    <row r="42" spans="2:19" ht="24" customHeight="1" x14ac:dyDescent="0.2">
      <c r="B42" s="590" t="str">
        <f t="shared" si="6"/>
        <v xml:space="preserve">Jean, Aguilar Sandino </v>
      </c>
      <c r="C42" s="230" t="str">
        <f t="shared" si="6"/>
        <v xml:space="preserve">Take off Last </v>
      </c>
      <c r="D42" s="263">
        <f t="shared" si="6"/>
        <v>14</v>
      </c>
      <c r="E42" s="263">
        <f t="shared" si="6"/>
        <v>17.5</v>
      </c>
      <c r="F42" s="600">
        <f t="shared" si="8"/>
        <v>159.63</v>
      </c>
      <c r="G42" s="597">
        <v>159.63</v>
      </c>
      <c r="H42" s="521"/>
      <c r="I42" s="231"/>
      <c r="J42" s="231"/>
      <c r="K42" s="231"/>
      <c r="L42" s="231"/>
      <c r="M42" s="231"/>
      <c r="N42" s="231"/>
      <c r="O42" s="231"/>
      <c r="P42" s="231"/>
      <c r="Q42" s="231"/>
      <c r="R42" s="231"/>
      <c r="S42" s="596">
        <f t="shared" si="7"/>
        <v>159.63</v>
      </c>
    </row>
    <row r="43" spans="2:19" ht="24" customHeight="1" x14ac:dyDescent="0.2">
      <c r="B43" s="590" t="str">
        <f t="shared" si="6"/>
        <v xml:space="preserve">Josue, Monlina </v>
      </c>
      <c r="C43" s="230" t="str">
        <f t="shared" si="6"/>
        <v xml:space="preserve">Sole Buffing &amp; Sole Stitching  </v>
      </c>
      <c r="D43" s="263">
        <f t="shared" si="6"/>
        <v>20</v>
      </c>
      <c r="E43" s="263">
        <f t="shared" si="6"/>
        <v>25</v>
      </c>
      <c r="F43" s="600">
        <f t="shared" si="8"/>
        <v>160</v>
      </c>
      <c r="G43" s="597">
        <v>160</v>
      </c>
      <c r="H43" s="521"/>
      <c r="I43" s="232"/>
      <c r="J43" s="232"/>
      <c r="K43" s="232"/>
      <c r="L43" s="232"/>
      <c r="M43" s="232"/>
      <c r="N43" s="232"/>
      <c r="O43" s="232"/>
      <c r="P43" s="232"/>
      <c r="Q43" s="231"/>
      <c r="R43" s="231"/>
      <c r="S43" s="596">
        <f t="shared" si="7"/>
        <v>160</v>
      </c>
    </row>
    <row r="44" spans="2:19" ht="24" customHeight="1" x14ac:dyDescent="0.2">
      <c r="B44" s="590" t="str">
        <f t="shared" si="6"/>
        <v xml:space="preserve">Ani, Morera, Rabelo </v>
      </c>
      <c r="C44" s="230" t="str">
        <f t="shared" si="6"/>
        <v xml:space="preserve">Sole Trimming </v>
      </c>
      <c r="D44" s="263">
        <f t="shared" si="6"/>
        <v>18</v>
      </c>
      <c r="E44" s="263">
        <f t="shared" si="6"/>
        <v>22.5</v>
      </c>
      <c r="F44" s="600">
        <f t="shared" si="8"/>
        <v>158.07</v>
      </c>
      <c r="G44" s="597">
        <v>158.07</v>
      </c>
      <c r="H44" s="521"/>
      <c r="I44" s="232"/>
      <c r="J44" s="232"/>
      <c r="K44" s="232"/>
      <c r="L44" s="232"/>
      <c r="M44" s="232"/>
      <c r="N44" s="232"/>
      <c r="O44" s="232"/>
      <c r="P44" s="232"/>
      <c r="Q44" s="231"/>
      <c r="R44" s="231"/>
      <c r="S44" s="596">
        <f t="shared" si="7"/>
        <v>158.07</v>
      </c>
    </row>
    <row r="45" spans="2:19" ht="24" customHeight="1" x14ac:dyDescent="0.2">
      <c r="B45" s="590" t="str">
        <f t="shared" si="6"/>
        <v xml:space="preserve">Pena Bladimir </v>
      </c>
      <c r="C45" s="230" t="str">
        <f t="shared" si="6"/>
        <v xml:space="preserve">Sole Attach </v>
      </c>
      <c r="D45" s="263">
        <f t="shared" si="6"/>
        <v>14</v>
      </c>
      <c r="E45" s="263">
        <f t="shared" si="6"/>
        <v>17.5</v>
      </c>
      <c r="F45" s="600">
        <f t="shared" si="8"/>
        <v>151.72999999999999</v>
      </c>
      <c r="G45" s="597">
        <v>151.72999999999999</v>
      </c>
      <c r="H45" s="521"/>
      <c r="I45" s="521"/>
      <c r="J45" s="521"/>
      <c r="K45" s="232"/>
      <c r="L45" s="232"/>
      <c r="M45" s="232"/>
      <c r="N45" s="232"/>
      <c r="O45" s="232"/>
      <c r="P45" s="232"/>
      <c r="Q45" s="231"/>
      <c r="R45" s="231"/>
      <c r="S45" s="596">
        <f t="shared" si="7"/>
        <v>151.72999999999999</v>
      </c>
    </row>
    <row r="46" spans="2:19" ht="24" customHeight="1" x14ac:dyDescent="0.2">
      <c r="B46" s="590" t="str">
        <f t="shared" si="6"/>
        <v>Maria Jimenez</v>
      </c>
      <c r="C46" s="230" t="str">
        <f t="shared" si="6"/>
        <v xml:space="preserve">New Sole Trimming </v>
      </c>
      <c r="D46" s="263">
        <f t="shared" si="6"/>
        <v>14</v>
      </c>
      <c r="E46" s="263">
        <f t="shared" si="6"/>
        <v>17.5</v>
      </c>
      <c r="F46" s="600">
        <f t="shared" si="8"/>
        <v>159.53</v>
      </c>
      <c r="G46" s="598">
        <v>159.53</v>
      </c>
      <c r="H46" s="232"/>
      <c r="I46" s="232"/>
      <c r="J46" s="232"/>
      <c r="K46" s="232"/>
      <c r="L46" s="232"/>
      <c r="M46" s="232"/>
      <c r="N46" s="232"/>
      <c r="O46" s="232"/>
      <c r="P46" s="232"/>
      <c r="Q46" s="231"/>
      <c r="R46" s="231"/>
      <c r="S46" s="596">
        <f t="shared" si="7"/>
        <v>159.53</v>
      </c>
    </row>
    <row r="47" spans="2:19" ht="24" customHeight="1" x14ac:dyDescent="0.2">
      <c r="B47" s="590" t="str">
        <f t="shared" si="6"/>
        <v>Isai Garcia Molina</v>
      </c>
      <c r="C47" s="230" t="str">
        <f t="shared" si="6"/>
        <v>Trimming &amp; Sole Buffing</v>
      </c>
      <c r="D47" s="263">
        <f>D18</f>
        <v>16</v>
      </c>
      <c r="E47" s="263">
        <f t="shared" si="6"/>
        <v>20</v>
      </c>
      <c r="F47" s="600">
        <f t="shared" si="8"/>
        <v>152</v>
      </c>
      <c r="G47" s="597">
        <v>152</v>
      </c>
      <c r="H47" s="52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596">
        <f t="shared" si="7"/>
        <v>152</v>
      </c>
    </row>
    <row r="48" spans="2:19" ht="24" customHeight="1" x14ac:dyDescent="0.2">
      <c r="B48" s="590" t="str">
        <f t="shared" si="6"/>
        <v xml:space="preserve">Yanet, Estevez </v>
      </c>
      <c r="C48" s="230" t="str">
        <f t="shared" si="6"/>
        <v xml:space="preserve">Packing </v>
      </c>
      <c r="D48" s="263">
        <f t="shared" si="6"/>
        <v>15</v>
      </c>
      <c r="E48" s="263">
        <f t="shared" si="6"/>
        <v>18.75</v>
      </c>
      <c r="F48" s="600">
        <f t="shared" si="8"/>
        <v>160</v>
      </c>
      <c r="G48" s="597">
        <v>160</v>
      </c>
      <c r="H48" s="521"/>
      <c r="I48" s="231"/>
      <c r="J48" s="231"/>
      <c r="K48" s="231"/>
      <c r="L48" s="231"/>
      <c r="M48" s="231"/>
      <c r="N48" s="231"/>
      <c r="O48" s="231"/>
      <c r="P48" s="231"/>
      <c r="Q48" s="231"/>
      <c r="R48" s="231"/>
      <c r="S48" s="596">
        <f t="shared" si="7"/>
        <v>160</v>
      </c>
    </row>
    <row r="49" spans="2:20" ht="24" customHeight="1" x14ac:dyDescent="0.2">
      <c r="B49" s="590" t="str">
        <f t="shared" si="6"/>
        <v>Mirna, Oineda Juarez</v>
      </c>
      <c r="C49" s="230" t="str">
        <f t="shared" si="6"/>
        <v xml:space="preserve">Packing </v>
      </c>
      <c r="D49" s="263">
        <f t="shared" si="6"/>
        <v>16</v>
      </c>
      <c r="E49" s="263">
        <f t="shared" si="6"/>
        <v>20</v>
      </c>
      <c r="F49" s="600">
        <f t="shared" si="8"/>
        <v>152</v>
      </c>
      <c r="G49" s="597">
        <v>152</v>
      </c>
      <c r="H49" s="521"/>
      <c r="I49" s="231"/>
      <c r="J49" s="231"/>
      <c r="K49" s="231"/>
      <c r="L49" s="231"/>
      <c r="M49" s="231"/>
      <c r="N49" s="231"/>
      <c r="O49" s="231"/>
      <c r="P49" s="231"/>
      <c r="Q49" s="231"/>
      <c r="R49" s="231"/>
      <c r="S49" s="596">
        <f t="shared" si="7"/>
        <v>152</v>
      </c>
      <c r="T49" s="588"/>
    </row>
    <row r="50" spans="2:20" ht="24" customHeight="1" x14ac:dyDescent="0.2">
      <c r="B50" s="590" t="str">
        <f t="shared" si="6"/>
        <v xml:space="preserve">Carlo, Fernadez Simon </v>
      </c>
      <c r="C50" s="230" t="str">
        <f t="shared" si="6"/>
        <v xml:space="preserve">Trimming </v>
      </c>
      <c r="D50" s="263">
        <f t="shared" si="6"/>
        <v>16</v>
      </c>
      <c r="E50" s="263">
        <f t="shared" si="6"/>
        <v>20</v>
      </c>
      <c r="F50" s="600">
        <f t="shared" si="8"/>
        <v>155.6</v>
      </c>
      <c r="G50" s="597">
        <v>155.6</v>
      </c>
      <c r="H50" s="521"/>
      <c r="I50" s="231"/>
      <c r="J50" s="231"/>
      <c r="K50" s="231"/>
      <c r="L50" s="231"/>
      <c r="M50" s="231"/>
      <c r="N50" s="231"/>
      <c r="O50" s="231"/>
      <c r="P50" s="231"/>
      <c r="Q50" s="231"/>
      <c r="R50" s="231"/>
      <c r="S50" s="596">
        <f t="shared" si="7"/>
        <v>155.6</v>
      </c>
    </row>
    <row r="51" spans="2:20" ht="24" customHeight="1" x14ac:dyDescent="0.2">
      <c r="B51" s="590" t="str">
        <f t="shared" si="6"/>
        <v xml:space="preserve">Jean, Aguilar Sandino </v>
      </c>
      <c r="C51" s="230" t="str">
        <f t="shared" si="6"/>
        <v>De- Last</v>
      </c>
      <c r="D51" s="263">
        <f t="shared" si="6"/>
        <v>14</v>
      </c>
      <c r="E51" s="263">
        <f t="shared" si="6"/>
        <v>17.5</v>
      </c>
      <c r="F51" s="600">
        <f t="shared" si="8"/>
        <v>159.63</v>
      </c>
      <c r="G51" s="597">
        <v>159.63</v>
      </c>
      <c r="H51" s="521"/>
      <c r="I51" s="231"/>
      <c r="J51" s="231"/>
      <c r="K51" s="231"/>
      <c r="L51" s="231"/>
      <c r="M51" s="231"/>
      <c r="N51" s="231"/>
      <c r="O51" s="231"/>
      <c r="P51" s="231"/>
      <c r="Q51" s="231"/>
      <c r="R51" s="231"/>
      <c r="S51" s="596">
        <f t="shared" si="7"/>
        <v>159.63</v>
      </c>
    </row>
    <row r="52" spans="2:20" ht="24" customHeight="1" x14ac:dyDescent="0.2">
      <c r="B52" s="590" t="str">
        <f t="shared" si="6"/>
        <v>Karla, Periche Sanchez</v>
      </c>
      <c r="C52" s="230" t="str">
        <f t="shared" si="6"/>
        <v>Packing</v>
      </c>
      <c r="D52" s="263">
        <f t="shared" si="6"/>
        <v>14</v>
      </c>
      <c r="E52" s="263">
        <f t="shared" si="6"/>
        <v>17.5</v>
      </c>
      <c r="F52" s="600">
        <f t="shared" si="8"/>
        <v>144</v>
      </c>
      <c r="G52" s="597">
        <v>144</v>
      </c>
      <c r="H52" s="521"/>
      <c r="I52" s="231"/>
      <c r="J52" s="231"/>
      <c r="K52" s="231"/>
      <c r="L52" s="231"/>
      <c r="M52" s="231"/>
      <c r="N52" s="231"/>
      <c r="O52" s="231"/>
      <c r="P52" s="231"/>
      <c r="Q52" s="231"/>
      <c r="R52" s="231"/>
      <c r="S52" s="596">
        <f t="shared" si="7"/>
        <v>144</v>
      </c>
      <c r="T52" s="589"/>
    </row>
    <row r="53" spans="2:20" ht="24" customHeight="1" x14ac:dyDescent="0.2">
      <c r="B53" s="590" t="str">
        <f t="shared" si="6"/>
        <v>Merlyn Vasquez</v>
      </c>
      <c r="C53" s="230" t="str">
        <f t="shared" si="6"/>
        <v xml:space="preserve">Packing </v>
      </c>
      <c r="D53" s="263">
        <f t="shared" si="6"/>
        <v>14</v>
      </c>
      <c r="E53" s="263">
        <f t="shared" si="6"/>
        <v>17.5</v>
      </c>
      <c r="F53" s="600">
        <f t="shared" si="8"/>
        <v>160</v>
      </c>
      <c r="G53" s="597">
        <v>160</v>
      </c>
      <c r="H53" s="521"/>
      <c r="I53" s="521"/>
      <c r="J53" s="521"/>
      <c r="K53" s="521"/>
      <c r="L53" s="521"/>
      <c r="M53" s="231"/>
      <c r="N53" s="231"/>
      <c r="O53" s="231"/>
      <c r="P53" s="231"/>
      <c r="Q53" s="231"/>
      <c r="R53" s="231"/>
      <c r="S53" s="596">
        <f t="shared" si="7"/>
        <v>160</v>
      </c>
    </row>
    <row r="54" spans="2:20" ht="24" customHeight="1" x14ac:dyDescent="0.2">
      <c r="B54" s="590" t="str">
        <f t="shared" si="6"/>
        <v>Jennifer Zeroa soto</v>
      </c>
      <c r="C54" s="230" t="str">
        <f t="shared" si="6"/>
        <v xml:space="preserve">Packing/ Cement </v>
      </c>
      <c r="D54" s="263">
        <f t="shared" si="6"/>
        <v>14</v>
      </c>
      <c r="E54" s="263">
        <f t="shared" si="6"/>
        <v>17.5</v>
      </c>
      <c r="F54" s="600">
        <f t="shared" si="8"/>
        <v>160</v>
      </c>
      <c r="G54" s="599">
        <v>160</v>
      </c>
      <c r="H54" s="231"/>
      <c r="I54" s="231"/>
      <c r="J54" s="231"/>
      <c r="K54" s="231"/>
      <c r="L54" s="231"/>
      <c r="M54" s="231"/>
      <c r="N54" s="231"/>
      <c r="O54" s="231"/>
      <c r="P54" s="231"/>
      <c r="Q54" s="231"/>
      <c r="R54" s="231"/>
      <c r="S54" s="596">
        <f t="shared" si="7"/>
        <v>160</v>
      </c>
    </row>
    <row r="55" spans="2:20" ht="24" customHeight="1" x14ac:dyDescent="0.2">
      <c r="B55" s="590" t="str">
        <f t="shared" si="6"/>
        <v xml:space="preserve">Agueda Serrano Ortega </v>
      </c>
      <c r="C55" s="230" t="str">
        <f t="shared" si="6"/>
        <v xml:space="preserve">Packing </v>
      </c>
      <c r="D55" s="263">
        <f t="shared" si="6"/>
        <v>14</v>
      </c>
      <c r="E55" s="263">
        <f t="shared" si="6"/>
        <v>17.5</v>
      </c>
      <c r="F55" s="600">
        <f t="shared" si="8"/>
        <v>126.05</v>
      </c>
      <c r="G55" s="597">
        <v>126.05</v>
      </c>
      <c r="H55" s="521"/>
      <c r="I55" s="231"/>
      <c r="J55" s="231"/>
      <c r="K55" s="231"/>
      <c r="L55" s="231"/>
      <c r="M55" s="521"/>
      <c r="N55" s="231"/>
      <c r="O55" s="231"/>
      <c r="P55" s="231"/>
      <c r="Q55" s="231"/>
      <c r="R55" s="231"/>
      <c r="S55" s="596">
        <f t="shared" si="7"/>
        <v>126.05</v>
      </c>
    </row>
    <row r="56" spans="2:20" ht="24" customHeight="1" x14ac:dyDescent="0.2">
      <c r="B56" s="590" t="str">
        <f t="shared" si="6"/>
        <v>Ana Esther Merino</v>
      </c>
      <c r="C56" s="230" t="str">
        <f t="shared" si="6"/>
        <v>Packing</v>
      </c>
      <c r="D56" s="263">
        <f t="shared" si="6"/>
        <v>14</v>
      </c>
      <c r="E56" s="263">
        <f t="shared" si="6"/>
        <v>17.5</v>
      </c>
      <c r="F56" s="600">
        <f t="shared" si="8"/>
        <v>143.6</v>
      </c>
      <c r="G56" s="597">
        <v>143.6</v>
      </c>
      <c r="H56" s="521"/>
      <c r="I56" s="231"/>
      <c r="J56" s="231"/>
      <c r="K56" s="231"/>
      <c r="L56" s="231"/>
      <c r="M56" s="521"/>
      <c r="N56" s="231"/>
      <c r="O56" s="231"/>
      <c r="P56" s="231"/>
      <c r="Q56" s="231"/>
      <c r="R56" s="231"/>
      <c r="S56" s="596">
        <f t="shared" si="7"/>
        <v>143.6</v>
      </c>
    </row>
    <row r="57" spans="2:20" ht="24" customHeight="1" x14ac:dyDescent="0.2">
      <c r="B57" s="590" t="str">
        <f t="shared" si="6"/>
        <v>Stephanie Berudez Gutierrez</v>
      </c>
      <c r="C57" s="230" t="str">
        <f t="shared" si="6"/>
        <v>Packing</v>
      </c>
      <c r="D57" s="263">
        <f t="shared" si="6"/>
        <v>14</v>
      </c>
      <c r="E57" s="263">
        <f t="shared" si="6"/>
        <v>17.5</v>
      </c>
      <c r="F57" s="600">
        <f t="shared" si="8"/>
        <v>156.63</v>
      </c>
      <c r="G57" s="597">
        <v>156.63</v>
      </c>
      <c r="H57" s="521"/>
      <c r="I57" s="231"/>
      <c r="J57" s="231"/>
      <c r="K57" s="231"/>
      <c r="L57" s="231"/>
      <c r="M57" s="521"/>
      <c r="N57" s="231"/>
      <c r="O57" s="231"/>
      <c r="P57" s="231"/>
      <c r="Q57" s="231"/>
      <c r="R57" s="231"/>
      <c r="S57" s="596">
        <f t="shared" si="7"/>
        <v>156.63</v>
      </c>
    </row>
    <row r="58" spans="2:20" ht="24" customHeight="1" x14ac:dyDescent="0.2">
      <c r="B58" s="590" t="str">
        <f t="shared" si="6"/>
        <v xml:space="preserve">Keylin, Palma  </v>
      </c>
      <c r="C58" s="230" t="str">
        <f t="shared" si="6"/>
        <v xml:space="preserve">Packing/ Janitor </v>
      </c>
      <c r="D58" s="263">
        <f t="shared" si="6"/>
        <v>14</v>
      </c>
      <c r="E58" s="263">
        <f t="shared" si="6"/>
        <v>17.5</v>
      </c>
      <c r="F58" s="600">
        <f t="shared" si="8"/>
        <v>151.62</v>
      </c>
      <c r="G58" s="597">
        <v>151.62</v>
      </c>
      <c r="H58" s="521"/>
      <c r="I58" s="231"/>
      <c r="J58" s="231"/>
      <c r="K58" s="231"/>
      <c r="L58" s="231"/>
      <c r="M58" s="521"/>
      <c r="N58" s="231"/>
      <c r="O58" s="231"/>
      <c r="P58" s="231"/>
      <c r="Q58" s="231"/>
      <c r="R58" s="231"/>
      <c r="S58" s="596">
        <f t="shared" si="7"/>
        <v>151.62</v>
      </c>
    </row>
    <row r="59" spans="2:20" ht="24" customHeight="1" x14ac:dyDescent="0.2">
      <c r="B59" s="590" t="str">
        <f t="shared" si="6"/>
        <v xml:space="preserve">Yur, Frometa Lambert </v>
      </c>
      <c r="C59" s="230" t="str">
        <f t="shared" si="6"/>
        <v xml:space="preserve">Packing/ Cement </v>
      </c>
      <c r="D59" s="263">
        <f t="shared" si="6"/>
        <v>14</v>
      </c>
      <c r="E59" s="263">
        <f t="shared" si="6"/>
        <v>17.5</v>
      </c>
      <c r="F59" s="595">
        <f>S59/$F$2</f>
        <v>32</v>
      </c>
      <c r="G59" s="521">
        <v>32</v>
      </c>
      <c r="H59" s="521"/>
      <c r="I59" s="231"/>
      <c r="J59" s="231"/>
      <c r="K59" s="231"/>
      <c r="L59" s="231"/>
      <c r="M59" s="521"/>
      <c r="N59" s="231"/>
      <c r="O59" s="231"/>
      <c r="P59" s="231"/>
      <c r="Q59" s="231"/>
      <c r="R59" s="231"/>
      <c r="S59" s="596">
        <f t="shared" si="7"/>
        <v>32</v>
      </c>
    </row>
    <row r="60" spans="2:20" ht="24" customHeight="1" x14ac:dyDescent="0.2">
      <c r="B60" s="1235" t="s">
        <v>576</v>
      </c>
      <c r="C60" s="1236"/>
      <c r="D60" s="1236"/>
      <c r="E60" s="1237"/>
      <c r="F60" s="600">
        <f t="shared" si="8"/>
        <v>3871.38</v>
      </c>
      <c r="G60" s="233">
        <f t="shared" ref="G60:S60" si="9">SUM(G33:G59)</f>
        <v>3871.38</v>
      </c>
      <c r="H60" s="233">
        <f t="shared" si="9"/>
        <v>0</v>
      </c>
      <c r="I60" s="233">
        <f t="shared" si="9"/>
        <v>0</v>
      </c>
      <c r="J60" s="233">
        <f t="shared" si="9"/>
        <v>0</v>
      </c>
      <c r="K60" s="233">
        <f t="shared" si="9"/>
        <v>0</v>
      </c>
      <c r="L60" s="233">
        <f t="shared" si="9"/>
        <v>0</v>
      </c>
      <c r="M60" s="233">
        <f t="shared" si="9"/>
        <v>0</v>
      </c>
      <c r="N60" s="233">
        <f t="shared" si="9"/>
        <v>0</v>
      </c>
      <c r="O60" s="233">
        <f t="shared" si="9"/>
        <v>0</v>
      </c>
      <c r="P60" s="233">
        <f t="shared" si="9"/>
        <v>0</v>
      </c>
      <c r="Q60" s="233">
        <f t="shared" si="9"/>
        <v>0</v>
      </c>
      <c r="R60" s="233">
        <f t="shared" si="9"/>
        <v>0</v>
      </c>
      <c r="S60" s="592">
        <f t="shared" si="9"/>
        <v>3871.38</v>
      </c>
    </row>
    <row r="61" spans="2:20" ht="24" thickBot="1" x14ac:dyDescent="0.25">
      <c r="B61" s="1238" t="s">
        <v>577</v>
      </c>
      <c r="C61" s="1239"/>
      <c r="D61" s="1239"/>
      <c r="E61" s="1239"/>
      <c r="F61" s="642">
        <f t="shared" si="8"/>
        <v>20.026127634073639</v>
      </c>
      <c r="G61" s="593">
        <f t="shared" ref="G61:S61" si="10">G31/G60</f>
        <v>19.240877929833804</v>
      </c>
      <c r="H61" s="593" t="e">
        <f t="shared" si="10"/>
        <v>#DIV/0!</v>
      </c>
      <c r="I61" s="593" t="e">
        <f t="shared" si="10"/>
        <v>#DIV/0!</v>
      </c>
      <c r="J61" s="593" t="e">
        <f t="shared" si="10"/>
        <v>#DIV/0!</v>
      </c>
      <c r="K61" s="593" t="e">
        <f t="shared" si="10"/>
        <v>#DIV/0!</v>
      </c>
      <c r="L61" s="593" t="e">
        <f t="shared" si="10"/>
        <v>#DIV/0!</v>
      </c>
      <c r="M61" s="593" t="e">
        <f t="shared" si="10"/>
        <v>#DIV/0!</v>
      </c>
      <c r="N61" s="593" t="e">
        <f t="shared" si="10"/>
        <v>#DIV/0!</v>
      </c>
      <c r="O61" s="593" t="e">
        <f t="shared" si="10"/>
        <v>#DIV/0!</v>
      </c>
      <c r="P61" s="593" t="e">
        <f t="shared" si="10"/>
        <v>#DIV/0!</v>
      </c>
      <c r="Q61" s="593" t="e">
        <f t="shared" si="10"/>
        <v>#DIV/0!</v>
      </c>
      <c r="R61" s="593" t="e">
        <f t="shared" si="10"/>
        <v>#DIV/0!</v>
      </c>
      <c r="S61" s="594">
        <f t="shared" si="10"/>
        <v>20.026127634073639</v>
      </c>
    </row>
    <row r="67" spans="2:19" ht="16" thickBot="1" x14ac:dyDescent="0.25"/>
    <row r="68" spans="2:19" ht="25" customHeight="1" x14ac:dyDescent="0.2">
      <c r="B68" s="1226" t="s">
        <v>604</v>
      </c>
      <c r="C68" s="1227"/>
      <c r="D68" s="1227"/>
      <c r="E68" s="1227"/>
      <c r="F68" s="1227"/>
      <c r="G68" s="1227"/>
      <c r="H68" s="1227"/>
      <c r="I68" s="1227"/>
      <c r="J68" s="1227"/>
      <c r="K68" s="1227"/>
      <c r="L68" s="1227"/>
      <c r="M68" s="1227"/>
      <c r="N68" s="1227"/>
      <c r="O68" s="1227"/>
      <c r="P68" s="1227"/>
      <c r="Q68" s="1227"/>
      <c r="R68" s="1227"/>
      <c r="S68" s="1228"/>
    </row>
    <row r="69" spans="2:19" ht="36" customHeight="1" x14ac:dyDescent="0.2">
      <c r="B69" s="1240"/>
      <c r="C69" s="1241"/>
      <c r="D69" s="634" t="s">
        <v>605</v>
      </c>
      <c r="E69" s="634" t="s">
        <v>606</v>
      </c>
      <c r="F69" s="229" t="s">
        <v>555</v>
      </c>
      <c r="G69" s="228" t="s">
        <v>270</v>
      </c>
      <c r="H69" s="637" t="s">
        <v>263</v>
      </c>
      <c r="I69" s="637" t="s">
        <v>264</v>
      </c>
      <c r="J69" s="637" t="s">
        <v>265</v>
      </c>
      <c r="K69" s="637" t="s">
        <v>266</v>
      </c>
      <c r="L69" s="637" t="s">
        <v>267</v>
      </c>
      <c r="M69" s="637" t="s">
        <v>268</v>
      </c>
      <c r="N69" s="637" t="s">
        <v>258</v>
      </c>
      <c r="O69" s="637" t="s">
        <v>259</v>
      </c>
      <c r="P69" s="637" t="s">
        <v>260</v>
      </c>
      <c r="Q69" s="637" t="s">
        <v>130</v>
      </c>
      <c r="R69" s="637" t="s">
        <v>261</v>
      </c>
      <c r="S69" s="638" t="s">
        <v>397</v>
      </c>
    </row>
    <row r="70" spans="2:19" ht="23" x14ac:dyDescent="0.2">
      <c r="B70" s="590" t="str">
        <f>B40</f>
        <v>Ivan, Gonzalez</v>
      </c>
      <c r="C70" s="230" t="str">
        <f>C40</f>
        <v xml:space="preserve">Sole Attach &amp; Jupiter </v>
      </c>
      <c r="D70" s="263">
        <f>21*1.5</f>
        <v>31.5</v>
      </c>
      <c r="E70" s="639">
        <f>D70*1.25</f>
        <v>39.375</v>
      </c>
      <c r="F70" s="600">
        <f>S70/$F$2</f>
        <v>14.9</v>
      </c>
      <c r="G70" s="597">
        <v>14.9</v>
      </c>
      <c r="H70" s="521"/>
      <c r="I70" s="231"/>
      <c r="J70" s="231"/>
      <c r="K70" s="231"/>
      <c r="L70" s="231"/>
      <c r="M70" s="231"/>
      <c r="N70" s="231"/>
      <c r="O70" s="231"/>
      <c r="P70" s="231"/>
      <c r="Q70" s="231"/>
      <c r="R70" s="231"/>
      <c r="S70" s="596">
        <f t="shared" ref="S70:S72" si="11">SUM(G70:R70)</f>
        <v>14.9</v>
      </c>
    </row>
    <row r="71" spans="2:19" ht="23" x14ac:dyDescent="0.2">
      <c r="B71" s="590" t="str">
        <f>B48</f>
        <v xml:space="preserve">Yanet, Estevez </v>
      </c>
      <c r="C71" s="230" t="str">
        <f>C48</f>
        <v xml:space="preserve">Packing </v>
      </c>
      <c r="D71" s="263">
        <f>15*1.5</f>
        <v>22.5</v>
      </c>
      <c r="E71" s="639">
        <f t="shared" ref="E71:E72" si="12">D71*1.25</f>
        <v>28.125</v>
      </c>
      <c r="F71" s="600">
        <f t="shared" ref="F71" si="13">S71/$F$2</f>
        <v>12.37</v>
      </c>
      <c r="G71" s="597">
        <v>12.37</v>
      </c>
      <c r="H71" s="231"/>
      <c r="I71" s="231"/>
      <c r="J71" s="231"/>
      <c r="K71" s="231"/>
      <c r="L71" s="231"/>
      <c r="M71" s="231"/>
      <c r="N71" s="231"/>
      <c r="O71" s="231"/>
      <c r="P71" s="231"/>
      <c r="Q71" s="231"/>
      <c r="R71" s="231"/>
      <c r="S71" s="596">
        <f t="shared" si="11"/>
        <v>12.37</v>
      </c>
    </row>
    <row r="72" spans="2:19" ht="23" x14ac:dyDescent="0.2">
      <c r="B72" s="590" t="s">
        <v>607</v>
      </c>
      <c r="C72" s="230" t="s">
        <v>569</v>
      </c>
      <c r="D72" s="263">
        <f>18*1.5</f>
        <v>27</v>
      </c>
      <c r="E72" s="639">
        <f t="shared" si="12"/>
        <v>33.75</v>
      </c>
      <c r="F72" s="600">
        <f>S72/$F$2</f>
        <v>1</v>
      </c>
      <c r="G72" s="597">
        <v>1</v>
      </c>
      <c r="H72" s="521"/>
      <c r="I72" s="231"/>
      <c r="J72" s="231"/>
      <c r="K72" s="231"/>
      <c r="L72" s="231"/>
      <c r="M72" s="231"/>
      <c r="N72" s="231"/>
      <c r="O72" s="231"/>
      <c r="P72" s="231"/>
      <c r="Q72" s="231"/>
      <c r="R72" s="231"/>
      <c r="S72" s="596">
        <f t="shared" si="11"/>
        <v>1</v>
      </c>
    </row>
    <row r="73" spans="2:19" ht="23" x14ac:dyDescent="0.2">
      <c r="B73" s="590"/>
      <c r="C73" s="230"/>
      <c r="D73" s="263"/>
      <c r="E73" s="263"/>
      <c r="F73" s="600"/>
      <c r="G73" s="597"/>
      <c r="H73" s="521"/>
      <c r="I73" s="232"/>
      <c r="J73" s="232"/>
      <c r="K73" s="232"/>
      <c r="L73" s="232"/>
      <c r="M73" s="232"/>
      <c r="N73" s="232"/>
      <c r="O73" s="232"/>
      <c r="P73" s="232"/>
      <c r="Q73" s="231"/>
      <c r="R73" s="231"/>
      <c r="S73" s="596"/>
    </row>
    <row r="74" spans="2:19" ht="23" x14ac:dyDescent="0.2">
      <c r="B74" s="590"/>
      <c r="C74" s="230"/>
      <c r="D74" s="263"/>
      <c r="E74" s="263"/>
      <c r="F74" s="600"/>
      <c r="G74" s="597"/>
      <c r="H74" s="521"/>
      <c r="I74" s="232"/>
      <c r="J74" s="232"/>
      <c r="K74" s="232"/>
      <c r="L74" s="232"/>
      <c r="M74" s="232"/>
      <c r="N74" s="232"/>
      <c r="O74" s="232"/>
      <c r="P74" s="232"/>
      <c r="Q74" s="231"/>
      <c r="R74" s="231"/>
      <c r="S74" s="596"/>
    </row>
    <row r="75" spans="2:19" ht="23" x14ac:dyDescent="0.2">
      <c r="B75" s="590"/>
      <c r="C75" s="230"/>
      <c r="D75" s="263"/>
      <c r="E75" s="263"/>
      <c r="F75" s="600"/>
      <c r="G75" s="597"/>
      <c r="H75" s="521"/>
      <c r="I75" s="521"/>
      <c r="J75" s="521"/>
      <c r="K75" s="232"/>
      <c r="L75" s="232"/>
      <c r="M75" s="232"/>
      <c r="N75" s="232"/>
      <c r="O75" s="232"/>
      <c r="P75" s="232"/>
      <c r="Q75" s="231"/>
      <c r="R75" s="231"/>
      <c r="S75" s="596"/>
    </row>
    <row r="76" spans="2:19" ht="23" x14ac:dyDescent="0.2">
      <c r="B76" s="590"/>
      <c r="C76" s="230"/>
      <c r="D76" s="263"/>
      <c r="E76" s="263"/>
      <c r="F76" s="600"/>
      <c r="G76" s="598"/>
      <c r="H76" s="232"/>
      <c r="I76" s="232"/>
      <c r="J76" s="232"/>
      <c r="K76" s="232"/>
      <c r="L76" s="232"/>
      <c r="M76" s="232"/>
      <c r="N76" s="232"/>
      <c r="O76" s="232"/>
      <c r="P76" s="232"/>
      <c r="Q76" s="231"/>
      <c r="R76" s="231"/>
      <c r="S76" s="596"/>
    </row>
    <row r="77" spans="2:19" ht="23" x14ac:dyDescent="0.2">
      <c r="B77" s="590"/>
      <c r="C77" s="230"/>
      <c r="D77" s="263"/>
      <c r="E77" s="263"/>
      <c r="F77" s="600"/>
      <c r="G77" s="597"/>
      <c r="H77" s="521"/>
      <c r="I77" s="231"/>
      <c r="J77" s="231"/>
      <c r="K77" s="231"/>
      <c r="L77" s="231"/>
      <c r="M77" s="231"/>
      <c r="N77" s="231"/>
      <c r="O77" s="231"/>
      <c r="P77" s="231"/>
      <c r="Q77" s="231"/>
      <c r="R77" s="231"/>
      <c r="S77" s="596"/>
    </row>
    <row r="78" spans="2:19" ht="23" x14ac:dyDescent="0.2">
      <c r="B78" s="590"/>
      <c r="C78" s="230"/>
      <c r="D78" s="263"/>
      <c r="E78" s="263"/>
      <c r="F78" s="600"/>
      <c r="G78" s="597"/>
      <c r="H78" s="521"/>
      <c r="I78" s="231"/>
      <c r="J78" s="231"/>
      <c r="K78" s="231"/>
      <c r="L78" s="231"/>
      <c r="M78" s="231"/>
      <c r="N78" s="231"/>
      <c r="O78" s="231"/>
      <c r="P78" s="231"/>
      <c r="Q78" s="231"/>
      <c r="R78" s="231"/>
      <c r="S78" s="596"/>
    </row>
    <row r="79" spans="2:19" ht="23" x14ac:dyDescent="0.2">
      <c r="B79" s="590"/>
      <c r="C79" s="230"/>
      <c r="D79" s="263"/>
      <c r="E79" s="263"/>
      <c r="F79" s="600"/>
      <c r="G79" s="597"/>
      <c r="H79" s="521"/>
      <c r="I79" s="231"/>
      <c r="J79" s="231"/>
      <c r="K79" s="231"/>
      <c r="L79" s="231"/>
      <c r="M79" s="231"/>
      <c r="N79" s="231"/>
      <c r="O79" s="231"/>
      <c r="P79" s="231"/>
      <c r="Q79" s="231"/>
      <c r="R79" s="231"/>
      <c r="S79" s="596"/>
    </row>
    <row r="80" spans="2:19" ht="23" x14ac:dyDescent="0.2">
      <c r="B80" s="590"/>
      <c r="C80" s="230"/>
      <c r="D80" s="263"/>
      <c r="E80" s="263"/>
      <c r="F80" s="600"/>
      <c r="G80" s="597"/>
      <c r="H80" s="521"/>
      <c r="I80" s="231"/>
      <c r="J80" s="231"/>
      <c r="K80" s="231"/>
      <c r="L80" s="231"/>
      <c r="M80" s="231"/>
      <c r="N80" s="231"/>
      <c r="O80" s="231"/>
      <c r="P80" s="231"/>
      <c r="Q80" s="231"/>
      <c r="R80" s="231"/>
      <c r="S80" s="596"/>
    </row>
    <row r="81" spans="2:19" ht="23" x14ac:dyDescent="0.2">
      <c r="B81" s="590"/>
      <c r="C81" s="230"/>
      <c r="D81" s="263"/>
      <c r="E81" s="263"/>
      <c r="F81" s="600"/>
      <c r="G81" s="597"/>
      <c r="H81" s="521"/>
      <c r="I81" s="231"/>
      <c r="J81" s="231"/>
      <c r="K81" s="231"/>
      <c r="L81" s="231"/>
      <c r="M81" s="231"/>
      <c r="N81" s="231"/>
      <c r="O81" s="231"/>
      <c r="P81" s="231"/>
      <c r="Q81" s="231"/>
      <c r="R81" s="231"/>
      <c r="S81" s="596"/>
    </row>
    <row r="82" spans="2:19" ht="23" x14ac:dyDescent="0.2">
      <c r="B82" s="590"/>
      <c r="C82" s="230"/>
      <c r="D82" s="263"/>
      <c r="E82" s="263"/>
      <c r="F82" s="600"/>
      <c r="G82" s="597"/>
      <c r="H82" s="521"/>
      <c r="I82" s="231"/>
      <c r="J82" s="231"/>
      <c r="K82" s="231"/>
      <c r="L82" s="231"/>
      <c r="M82" s="231"/>
      <c r="N82" s="231"/>
      <c r="O82" s="231"/>
      <c r="P82" s="231"/>
      <c r="Q82" s="231"/>
      <c r="R82" s="231"/>
      <c r="S82" s="596"/>
    </row>
    <row r="83" spans="2:19" ht="23" x14ac:dyDescent="0.2">
      <c r="B83" s="590"/>
      <c r="C83" s="230"/>
      <c r="D83" s="263"/>
      <c r="E83" s="263"/>
      <c r="F83" s="600"/>
      <c r="G83" s="597"/>
      <c r="H83" s="521"/>
      <c r="I83" s="521"/>
      <c r="J83" s="521"/>
      <c r="K83" s="521"/>
      <c r="L83" s="521"/>
      <c r="M83" s="231"/>
      <c r="N83" s="231"/>
      <c r="O83" s="231"/>
      <c r="P83" s="231"/>
      <c r="Q83" s="231"/>
      <c r="R83" s="231"/>
      <c r="S83" s="596"/>
    </row>
    <row r="84" spans="2:19" ht="23" x14ac:dyDescent="0.2">
      <c r="B84" s="590"/>
      <c r="C84" s="230"/>
      <c r="D84" s="263"/>
      <c r="E84" s="263"/>
      <c r="F84" s="600"/>
      <c r="G84" s="599"/>
      <c r="H84" s="231"/>
      <c r="I84" s="231"/>
      <c r="J84" s="231"/>
      <c r="K84" s="231"/>
      <c r="L84" s="231"/>
      <c r="M84" s="231"/>
      <c r="N84" s="231"/>
      <c r="O84" s="231"/>
      <c r="P84" s="231"/>
      <c r="Q84" s="231"/>
      <c r="R84" s="231"/>
      <c r="S84" s="596"/>
    </row>
    <row r="85" spans="2:19" ht="23" x14ac:dyDescent="0.2">
      <c r="B85" s="590"/>
      <c r="C85" s="230"/>
      <c r="D85" s="263"/>
      <c r="E85" s="263"/>
      <c r="F85" s="600"/>
      <c r="G85" s="597"/>
      <c r="H85" s="521"/>
      <c r="I85" s="231"/>
      <c r="J85" s="231"/>
      <c r="K85" s="231"/>
      <c r="L85" s="231"/>
      <c r="M85" s="521"/>
      <c r="N85" s="231"/>
      <c r="O85" s="231"/>
      <c r="P85" s="231"/>
      <c r="Q85" s="231"/>
      <c r="R85" s="231"/>
      <c r="S85" s="596"/>
    </row>
    <row r="86" spans="2:19" ht="23" x14ac:dyDescent="0.2">
      <c r="B86" s="590"/>
      <c r="C86" s="230"/>
      <c r="D86" s="263"/>
      <c r="E86" s="263"/>
      <c r="F86" s="600"/>
      <c r="G86" s="597"/>
      <c r="H86" s="521"/>
      <c r="I86" s="231"/>
      <c r="J86" s="231"/>
      <c r="K86" s="231"/>
      <c r="L86" s="231"/>
      <c r="M86" s="521"/>
      <c r="N86" s="231"/>
      <c r="O86" s="231"/>
      <c r="P86" s="231"/>
      <c r="Q86" s="231"/>
      <c r="R86" s="231"/>
      <c r="S86" s="596"/>
    </row>
    <row r="87" spans="2:19" ht="23" x14ac:dyDescent="0.2">
      <c r="B87" s="590"/>
      <c r="C87" s="230"/>
      <c r="D87" s="263"/>
      <c r="E87" s="263"/>
      <c r="F87" s="600"/>
      <c r="G87" s="597"/>
      <c r="H87" s="521"/>
      <c r="I87" s="231"/>
      <c r="J87" s="231"/>
      <c r="K87" s="231"/>
      <c r="L87" s="231"/>
      <c r="M87" s="521"/>
      <c r="N87" s="231"/>
      <c r="O87" s="231"/>
      <c r="P87" s="231"/>
      <c r="Q87" s="231"/>
      <c r="R87" s="231"/>
      <c r="S87" s="596"/>
    </row>
    <row r="88" spans="2:19" ht="23" x14ac:dyDescent="0.2">
      <c r="B88" s="590"/>
      <c r="C88" s="230"/>
      <c r="D88" s="263"/>
      <c r="E88" s="263"/>
      <c r="F88" s="600"/>
      <c r="G88" s="597"/>
      <c r="H88" s="521"/>
      <c r="I88" s="231"/>
      <c r="J88" s="231"/>
      <c r="K88" s="231"/>
      <c r="L88" s="231"/>
      <c r="M88" s="521"/>
      <c r="N88" s="231"/>
      <c r="O88" s="231"/>
      <c r="P88" s="231"/>
      <c r="Q88" s="231"/>
      <c r="R88" s="231"/>
      <c r="S88" s="596"/>
    </row>
    <row r="89" spans="2:19" ht="23" x14ac:dyDescent="0.2">
      <c r="B89" s="590"/>
      <c r="C89" s="230"/>
      <c r="D89" s="263"/>
      <c r="E89" s="263"/>
      <c r="F89" s="595"/>
      <c r="G89" s="521"/>
      <c r="H89" s="521"/>
      <c r="I89" s="231"/>
      <c r="J89" s="231"/>
      <c r="K89" s="231"/>
      <c r="L89" s="231"/>
      <c r="M89" s="521"/>
      <c r="N89" s="231"/>
      <c r="O89" s="231"/>
      <c r="P89" s="231"/>
      <c r="Q89" s="231"/>
      <c r="R89" s="231"/>
      <c r="S89" s="596"/>
    </row>
    <row r="90" spans="2:19" ht="23" x14ac:dyDescent="0.2">
      <c r="B90" s="1235" t="s">
        <v>576</v>
      </c>
      <c r="C90" s="1236"/>
      <c r="D90" s="1236"/>
      <c r="E90" s="1237"/>
      <c r="F90" s="600">
        <f t="shared" ref="F90:F91" si="14">S90/$F$2</f>
        <v>28.27</v>
      </c>
      <c r="G90" s="233">
        <f t="shared" ref="G90:S90" si="15">SUM(G70:G89)</f>
        <v>28.27</v>
      </c>
      <c r="H90" s="233">
        <f t="shared" si="15"/>
        <v>0</v>
      </c>
      <c r="I90" s="233">
        <f t="shared" si="15"/>
        <v>0</v>
      </c>
      <c r="J90" s="233">
        <f t="shared" si="15"/>
        <v>0</v>
      </c>
      <c r="K90" s="233">
        <f t="shared" si="15"/>
        <v>0</v>
      </c>
      <c r="L90" s="233">
        <f t="shared" si="15"/>
        <v>0</v>
      </c>
      <c r="M90" s="233">
        <f t="shared" si="15"/>
        <v>0</v>
      </c>
      <c r="N90" s="233">
        <f t="shared" si="15"/>
        <v>0</v>
      </c>
      <c r="O90" s="233">
        <f t="shared" si="15"/>
        <v>0</v>
      </c>
      <c r="P90" s="233">
        <f t="shared" si="15"/>
        <v>0</v>
      </c>
      <c r="Q90" s="233">
        <f t="shared" si="15"/>
        <v>0</v>
      </c>
      <c r="R90" s="233">
        <f t="shared" si="15"/>
        <v>0</v>
      </c>
      <c r="S90" s="592">
        <f t="shared" si="15"/>
        <v>28.27</v>
      </c>
    </row>
    <row r="91" spans="2:19" ht="24" thickBot="1" x14ac:dyDescent="0.25">
      <c r="B91" s="1238" t="s">
        <v>577</v>
      </c>
      <c r="C91" s="1239"/>
      <c r="D91" s="1239"/>
      <c r="E91" s="1239"/>
      <c r="F91" s="600">
        <f t="shared" si="14"/>
        <v>0</v>
      </c>
      <c r="G91" s="593">
        <f t="shared" ref="G91:S91" si="16">G67/G90</f>
        <v>0</v>
      </c>
      <c r="H91" s="593" t="e">
        <f t="shared" si="16"/>
        <v>#DIV/0!</v>
      </c>
      <c r="I91" s="593" t="e">
        <f t="shared" si="16"/>
        <v>#DIV/0!</v>
      </c>
      <c r="J91" s="593" t="e">
        <f t="shared" si="16"/>
        <v>#DIV/0!</v>
      </c>
      <c r="K91" s="593" t="e">
        <f t="shared" si="16"/>
        <v>#DIV/0!</v>
      </c>
      <c r="L91" s="593" t="e">
        <f t="shared" si="16"/>
        <v>#DIV/0!</v>
      </c>
      <c r="M91" s="593" t="e">
        <f t="shared" si="16"/>
        <v>#DIV/0!</v>
      </c>
      <c r="N91" s="593" t="e">
        <f t="shared" si="16"/>
        <v>#DIV/0!</v>
      </c>
      <c r="O91" s="593" t="e">
        <f t="shared" si="16"/>
        <v>#DIV/0!</v>
      </c>
      <c r="P91" s="593" t="e">
        <f t="shared" si="16"/>
        <v>#DIV/0!</v>
      </c>
      <c r="Q91" s="593" t="e">
        <f t="shared" si="16"/>
        <v>#DIV/0!</v>
      </c>
      <c r="R91" s="593" t="e">
        <f t="shared" si="16"/>
        <v>#DIV/0!</v>
      </c>
      <c r="S91" s="594">
        <f t="shared" si="16"/>
        <v>0</v>
      </c>
    </row>
  </sheetData>
  <mergeCells count="12">
    <mergeCell ref="B68:S68"/>
    <mergeCell ref="B90:E90"/>
    <mergeCell ref="B91:E91"/>
    <mergeCell ref="B69:C69"/>
    <mergeCell ref="B60:E60"/>
    <mergeCell ref="B61:E61"/>
    <mergeCell ref="B31:E31"/>
    <mergeCell ref="B32:S32"/>
    <mergeCell ref="B2:B3"/>
    <mergeCell ref="C2:C3"/>
    <mergeCell ref="D2:D3"/>
    <mergeCell ref="E2:E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78F98-D0E4-8748-865E-56D8EEE83435}">
  <sheetPr codeName="Sheet13"/>
  <dimension ref="B1:T59"/>
  <sheetViews>
    <sheetView zoomScale="80" zoomScaleNormal="80" workbookViewId="0"/>
  </sheetViews>
  <sheetFormatPr baseColWidth="10" defaultColWidth="10.6640625" defaultRowHeight="15" x14ac:dyDescent="0.2"/>
  <cols>
    <col min="2" max="2" width="38.33203125" customWidth="1"/>
    <col min="3" max="3" width="32.6640625" customWidth="1"/>
    <col min="4" max="5" width="16.33203125" customWidth="1"/>
    <col min="6" max="6" width="20.33203125" customWidth="1"/>
    <col min="7" max="18" width="16.33203125" customWidth="1"/>
    <col min="19" max="19" width="19.6640625" bestFit="1" customWidth="1"/>
  </cols>
  <sheetData>
    <row r="1" spans="2:19" ht="16" thickBot="1" x14ac:dyDescent="0.25"/>
    <row r="2" spans="2:19" ht="27" customHeight="1" x14ac:dyDescent="0.25">
      <c r="B2" s="1229" t="s">
        <v>551</v>
      </c>
      <c r="C2" s="1231" t="s">
        <v>552</v>
      </c>
      <c r="D2" s="1231" t="s">
        <v>553</v>
      </c>
      <c r="E2" s="1233" t="s">
        <v>554</v>
      </c>
      <c r="F2" s="604">
        <v>1</v>
      </c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6"/>
    </row>
    <row r="3" spans="2:19" ht="40" customHeight="1" x14ac:dyDescent="0.2">
      <c r="B3" s="1230"/>
      <c r="C3" s="1232"/>
      <c r="D3" s="1232"/>
      <c r="E3" s="1234"/>
      <c r="F3" s="229" t="s">
        <v>555</v>
      </c>
      <c r="G3" s="228" t="s">
        <v>270</v>
      </c>
      <c r="H3" s="228" t="s">
        <v>263</v>
      </c>
      <c r="I3" s="228" t="s">
        <v>264</v>
      </c>
      <c r="J3" s="228" t="s">
        <v>265</v>
      </c>
      <c r="K3" s="228" t="s">
        <v>266</v>
      </c>
      <c r="L3" s="228" t="s">
        <v>267</v>
      </c>
      <c r="M3" s="228" t="s">
        <v>268</v>
      </c>
      <c r="N3" s="228" t="s">
        <v>258</v>
      </c>
      <c r="O3" s="228" t="s">
        <v>259</v>
      </c>
      <c r="P3" s="228" t="s">
        <v>260</v>
      </c>
      <c r="Q3" s="228" t="s">
        <v>130</v>
      </c>
      <c r="R3" s="228" t="s">
        <v>261</v>
      </c>
      <c r="S3" s="607" t="s">
        <v>397</v>
      </c>
    </row>
    <row r="4" spans="2:19" ht="28" customHeight="1" x14ac:dyDescent="0.2">
      <c r="B4" s="608" t="s">
        <v>608</v>
      </c>
      <c r="C4" s="522" t="s">
        <v>609</v>
      </c>
      <c r="D4" s="517">
        <v>14</v>
      </c>
      <c r="E4" s="518">
        <f t="shared" ref="E4:E13" si="0">D4*1.25</f>
        <v>17.5</v>
      </c>
      <c r="F4" s="519">
        <f>S4/F$2</f>
        <v>2660</v>
      </c>
      <c r="G4" s="520">
        <f t="shared" ref="G4:G29" si="1">G32*E4</f>
        <v>2660</v>
      </c>
      <c r="H4" s="520"/>
      <c r="I4" s="520"/>
      <c r="J4" s="520"/>
      <c r="K4" s="520"/>
      <c r="L4" s="520"/>
      <c r="M4" s="520"/>
      <c r="N4" s="520"/>
      <c r="O4" s="520"/>
      <c r="P4" s="520"/>
      <c r="Q4" s="520"/>
      <c r="R4" s="520"/>
      <c r="S4" s="609">
        <f t="shared" ref="S4:S15" si="2">SUM(G4:R4)</f>
        <v>2660</v>
      </c>
    </row>
    <row r="5" spans="2:19" ht="28" customHeight="1" x14ac:dyDescent="0.2">
      <c r="B5" s="610" t="s">
        <v>610</v>
      </c>
      <c r="C5" s="524" t="s">
        <v>609</v>
      </c>
      <c r="D5" s="523">
        <v>14</v>
      </c>
      <c r="E5" s="518">
        <f t="shared" si="0"/>
        <v>17.5</v>
      </c>
      <c r="F5" s="525">
        <f>S5/F$2</f>
        <v>2652.65</v>
      </c>
      <c r="G5" s="520">
        <f t="shared" si="1"/>
        <v>2652.65</v>
      </c>
      <c r="H5" s="526"/>
      <c r="I5" s="526"/>
      <c r="J5" s="526"/>
      <c r="K5" s="526"/>
      <c r="L5" s="526"/>
      <c r="M5" s="526"/>
      <c r="N5" s="526"/>
      <c r="O5" s="526"/>
      <c r="P5" s="526"/>
      <c r="Q5" s="526"/>
      <c r="R5" s="526"/>
      <c r="S5" s="591">
        <f>SUM(G5:R5)</f>
        <v>2652.65</v>
      </c>
    </row>
    <row r="6" spans="2:19" ht="28" customHeight="1" x14ac:dyDescent="0.2">
      <c r="B6" s="610" t="s">
        <v>611</v>
      </c>
      <c r="C6" s="524" t="s">
        <v>609</v>
      </c>
      <c r="D6" s="523">
        <v>14</v>
      </c>
      <c r="E6" s="518">
        <f t="shared" si="0"/>
        <v>17.5</v>
      </c>
      <c r="F6" s="519">
        <f t="shared" ref="F6:F27" si="3">S6/F$2</f>
        <v>2748.7249999999999</v>
      </c>
      <c r="G6" s="520">
        <f t="shared" si="1"/>
        <v>2748.7249999999999</v>
      </c>
      <c r="H6" s="520"/>
      <c r="I6" s="520"/>
      <c r="J6" s="520"/>
      <c r="K6" s="520"/>
      <c r="L6" s="520"/>
      <c r="M6" s="520"/>
      <c r="N6" s="520"/>
      <c r="O6" s="520"/>
      <c r="P6" s="520"/>
      <c r="Q6" s="520"/>
      <c r="R6" s="520"/>
      <c r="S6" s="609">
        <f t="shared" si="2"/>
        <v>2748.7249999999999</v>
      </c>
    </row>
    <row r="7" spans="2:19" ht="29" customHeight="1" x14ac:dyDescent="0.2">
      <c r="B7" s="610" t="s">
        <v>612</v>
      </c>
      <c r="C7" s="524" t="s">
        <v>613</v>
      </c>
      <c r="D7" s="523">
        <v>14</v>
      </c>
      <c r="E7" s="518">
        <f t="shared" si="0"/>
        <v>17.5</v>
      </c>
      <c r="F7" s="525">
        <f t="shared" si="3"/>
        <v>2390.15</v>
      </c>
      <c r="G7" s="520">
        <f t="shared" si="1"/>
        <v>2390.15</v>
      </c>
      <c r="H7" s="526"/>
      <c r="I7" s="526"/>
      <c r="J7" s="526"/>
      <c r="K7" s="526"/>
      <c r="L7" s="526"/>
      <c r="M7" s="526"/>
      <c r="N7" s="526"/>
      <c r="O7" s="526"/>
      <c r="P7" s="526"/>
      <c r="Q7" s="526"/>
      <c r="R7" s="526"/>
      <c r="S7" s="609">
        <f t="shared" si="2"/>
        <v>2390.15</v>
      </c>
    </row>
    <row r="8" spans="2:19" ht="28" customHeight="1" x14ac:dyDescent="0.2">
      <c r="B8" s="610" t="s">
        <v>614</v>
      </c>
      <c r="C8" s="524" t="s">
        <v>609</v>
      </c>
      <c r="D8" s="527">
        <v>14</v>
      </c>
      <c r="E8" s="518">
        <f t="shared" si="0"/>
        <v>17.5</v>
      </c>
      <c r="F8" s="525">
        <f t="shared" si="3"/>
        <v>2712.6749999999997</v>
      </c>
      <c r="G8" s="520">
        <f t="shared" si="1"/>
        <v>2712.6749999999997</v>
      </c>
      <c r="H8" s="526"/>
      <c r="I8" s="526"/>
      <c r="J8" s="526"/>
      <c r="K8" s="526"/>
      <c r="L8" s="526"/>
      <c r="M8" s="526"/>
      <c r="N8" s="526"/>
      <c r="O8" s="526"/>
      <c r="P8" s="526"/>
      <c r="Q8" s="526"/>
      <c r="R8" s="526"/>
      <c r="S8" s="609">
        <f t="shared" si="2"/>
        <v>2712.6749999999997</v>
      </c>
    </row>
    <row r="9" spans="2:19" ht="28" customHeight="1" x14ac:dyDescent="0.2">
      <c r="B9" s="611" t="s">
        <v>615</v>
      </c>
      <c r="C9" s="524" t="s">
        <v>616</v>
      </c>
      <c r="D9" s="527">
        <v>14</v>
      </c>
      <c r="E9" s="518">
        <f t="shared" si="0"/>
        <v>17.5</v>
      </c>
      <c r="F9" s="525">
        <f t="shared" si="3"/>
        <v>403.375</v>
      </c>
      <c r="G9" s="520">
        <f t="shared" si="1"/>
        <v>403.375</v>
      </c>
      <c r="H9" s="526"/>
      <c r="I9" s="526"/>
      <c r="J9" s="526"/>
      <c r="K9" s="526"/>
      <c r="L9" s="526"/>
      <c r="M9" s="526"/>
      <c r="N9" s="526"/>
      <c r="O9" s="526"/>
      <c r="P9" s="526"/>
      <c r="Q9" s="526"/>
      <c r="R9" s="526"/>
      <c r="S9" s="609">
        <f t="shared" si="2"/>
        <v>403.375</v>
      </c>
    </row>
    <row r="10" spans="2:19" ht="28" customHeight="1" x14ac:dyDescent="0.2">
      <c r="B10" s="611" t="s">
        <v>617</v>
      </c>
      <c r="C10" s="524" t="s">
        <v>616</v>
      </c>
      <c r="D10" s="527">
        <v>14</v>
      </c>
      <c r="E10" s="518">
        <f t="shared" si="0"/>
        <v>17.5</v>
      </c>
      <c r="F10" s="525">
        <f t="shared" si="3"/>
        <v>420</v>
      </c>
      <c r="G10" s="520">
        <f t="shared" si="1"/>
        <v>420</v>
      </c>
      <c r="H10" s="526"/>
      <c r="I10" s="526"/>
      <c r="J10" s="526"/>
      <c r="K10" s="526"/>
      <c r="L10" s="526"/>
      <c r="M10" s="526"/>
      <c r="N10" s="526"/>
      <c r="O10" s="526"/>
      <c r="P10" s="526"/>
      <c r="Q10" s="526"/>
      <c r="R10" s="526"/>
      <c r="S10" s="609">
        <f t="shared" si="2"/>
        <v>420</v>
      </c>
    </row>
    <row r="11" spans="2:19" ht="28" customHeight="1" x14ac:dyDescent="0.2">
      <c r="B11" s="611" t="s">
        <v>618</v>
      </c>
      <c r="C11" s="524" t="s">
        <v>616</v>
      </c>
      <c r="D11" s="527">
        <v>14</v>
      </c>
      <c r="E11" s="518">
        <f t="shared" si="0"/>
        <v>17.5</v>
      </c>
      <c r="F11" s="525">
        <f t="shared" si="3"/>
        <v>133.875</v>
      </c>
      <c r="G11" s="520">
        <f t="shared" si="1"/>
        <v>133.875</v>
      </c>
      <c r="H11" s="526"/>
      <c r="I11" s="526"/>
      <c r="J11" s="526"/>
      <c r="K11" s="526"/>
      <c r="L11" s="526"/>
      <c r="M11" s="526"/>
      <c r="N11" s="526"/>
      <c r="O11" s="526"/>
      <c r="P11" s="526"/>
      <c r="Q11" s="526"/>
      <c r="R11" s="526"/>
      <c r="S11" s="609">
        <f t="shared" si="2"/>
        <v>133.875</v>
      </c>
    </row>
    <row r="12" spans="2:19" ht="28" customHeight="1" x14ac:dyDescent="0.2">
      <c r="B12" s="610" t="s">
        <v>619</v>
      </c>
      <c r="C12" s="524" t="s">
        <v>616</v>
      </c>
      <c r="D12" s="527">
        <v>14</v>
      </c>
      <c r="E12" s="518">
        <f t="shared" si="0"/>
        <v>17.5</v>
      </c>
      <c r="F12" s="525">
        <f t="shared" si="3"/>
        <v>148.75</v>
      </c>
      <c r="G12" s="520">
        <f t="shared" si="1"/>
        <v>148.75</v>
      </c>
      <c r="H12" s="526"/>
      <c r="I12" s="526"/>
      <c r="J12" s="526"/>
      <c r="K12" s="526"/>
      <c r="L12" s="526"/>
      <c r="M12" s="526"/>
      <c r="N12" s="526"/>
      <c r="O12" s="526"/>
      <c r="P12" s="526"/>
      <c r="Q12" s="526"/>
      <c r="R12" s="526"/>
      <c r="S12" s="609">
        <f t="shared" si="2"/>
        <v>148.75</v>
      </c>
    </row>
    <row r="13" spans="2:19" ht="28" customHeight="1" x14ac:dyDescent="0.2">
      <c r="B13" s="610" t="s">
        <v>620</v>
      </c>
      <c r="C13" s="524" t="s">
        <v>616</v>
      </c>
      <c r="D13" s="527">
        <v>14</v>
      </c>
      <c r="E13" s="518">
        <f t="shared" si="0"/>
        <v>17.5</v>
      </c>
      <c r="F13" s="525">
        <f t="shared" si="3"/>
        <v>140.35</v>
      </c>
      <c r="G13" s="520">
        <f t="shared" si="1"/>
        <v>140.35</v>
      </c>
      <c r="H13" s="526"/>
      <c r="I13" s="526"/>
      <c r="J13" s="526"/>
      <c r="K13" s="526"/>
      <c r="L13" s="526"/>
      <c r="M13" s="526"/>
      <c r="N13" s="526"/>
      <c r="O13" s="526"/>
      <c r="P13" s="526"/>
      <c r="Q13" s="526"/>
      <c r="R13" s="526"/>
      <c r="S13" s="609">
        <f t="shared" si="2"/>
        <v>140.35</v>
      </c>
    </row>
    <row r="14" spans="2:19" ht="28" customHeight="1" x14ac:dyDescent="0.2">
      <c r="B14" s="610"/>
      <c r="C14" s="524"/>
      <c r="D14" s="523"/>
      <c r="E14" s="518"/>
      <c r="F14" s="525">
        <f t="shared" si="3"/>
        <v>0</v>
      </c>
      <c r="G14" s="520">
        <f t="shared" si="1"/>
        <v>0</v>
      </c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609">
        <f t="shared" si="2"/>
        <v>0</v>
      </c>
    </row>
    <row r="15" spans="2:19" ht="28" customHeight="1" x14ac:dyDescent="0.2">
      <c r="B15" s="610"/>
      <c r="C15" s="421"/>
      <c r="D15" s="523"/>
      <c r="E15" s="518"/>
      <c r="F15" s="525">
        <f t="shared" si="3"/>
        <v>0</v>
      </c>
      <c r="G15" s="520">
        <f t="shared" si="1"/>
        <v>0</v>
      </c>
      <c r="H15" s="526"/>
      <c r="I15" s="526"/>
      <c r="J15" s="526"/>
      <c r="K15" s="526"/>
      <c r="L15" s="526"/>
      <c r="M15" s="526"/>
      <c r="N15" s="526"/>
      <c r="O15" s="526"/>
      <c r="P15" s="526"/>
      <c r="Q15" s="526"/>
      <c r="R15" s="526"/>
      <c r="S15" s="591">
        <f t="shared" si="2"/>
        <v>0</v>
      </c>
    </row>
    <row r="16" spans="2:19" ht="28" customHeight="1" x14ac:dyDescent="0.2">
      <c r="B16" s="610"/>
      <c r="C16" s="524"/>
      <c r="D16" s="523"/>
      <c r="E16" s="518"/>
      <c r="F16" s="525">
        <f t="shared" si="3"/>
        <v>0</v>
      </c>
      <c r="G16" s="520">
        <f t="shared" si="1"/>
        <v>0</v>
      </c>
      <c r="H16" s="526"/>
      <c r="I16" s="526"/>
      <c r="J16" s="526"/>
      <c r="K16" s="526"/>
      <c r="L16" s="526"/>
      <c r="M16" s="526"/>
      <c r="N16" s="526"/>
      <c r="O16" s="526"/>
      <c r="P16" s="526"/>
      <c r="Q16" s="526"/>
      <c r="R16" s="526"/>
      <c r="S16" s="591">
        <f>SUM(G16:R17)</f>
        <v>0</v>
      </c>
    </row>
    <row r="17" spans="2:19" ht="28" customHeight="1" x14ac:dyDescent="0.2">
      <c r="B17" s="610"/>
      <c r="C17" s="524"/>
      <c r="D17" s="523"/>
      <c r="E17" s="518"/>
      <c r="F17" s="525">
        <f>S17/F$2</f>
        <v>0</v>
      </c>
      <c r="G17" s="520">
        <f t="shared" si="1"/>
        <v>0</v>
      </c>
      <c r="H17" s="526"/>
      <c r="I17" s="526"/>
      <c r="J17" s="526"/>
      <c r="K17" s="526"/>
      <c r="L17" s="526"/>
      <c r="M17" s="526"/>
      <c r="N17" s="526"/>
      <c r="O17" s="526"/>
      <c r="P17" s="526"/>
      <c r="Q17" s="526"/>
      <c r="R17" s="526"/>
      <c r="S17" s="591">
        <f>SUM(G17:R17)</f>
        <v>0</v>
      </c>
    </row>
    <row r="18" spans="2:19" ht="28" customHeight="1" x14ac:dyDescent="0.2">
      <c r="B18" s="610"/>
      <c r="C18" s="524"/>
      <c r="D18" s="523"/>
      <c r="E18" s="518"/>
      <c r="F18" s="525">
        <f t="shared" si="3"/>
        <v>0</v>
      </c>
      <c r="G18" s="520">
        <f t="shared" si="1"/>
        <v>0</v>
      </c>
      <c r="H18" s="526"/>
      <c r="I18" s="526"/>
      <c r="J18" s="526"/>
      <c r="K18" s="526"/>
      <c r="L18" s="526"/>
      <c r="M18" s="526"/>
      <c r="N18" s="526"/>
      <c r="O18" s="526"/>
      <c r="P18" s="526"/>
      <c r="Q18" s="526"/>
      <c r="R18" s="526"/>
      <c r="S18" s="591">
        <f>SUM(G18:R18)</f>
        <v>0</v>
      </c>
    </row>
    <row r="19" spans="2:19" ht="28" customHeight="1" x14ac:dyDescent="0.2">
      <c r="B19" s="610"/>
      <c r="C19" s="524"/>
      <c r="D19" s="523"/>
      <c r="E19" s="518"/>
      <c r="F19" s="525">
        <f t="shared" si="3"/>
        <v>0</v>
      </c>
      <c r="G19" s="520">
        <f t="shared" si="1"/>
        <v>0</v>
      </c>
      <c r="H19" s="526"/>
      <c r="I19" s="526"/>
      <c r="J19" s="526"/>
      <c r="K19" s="526"/>
      <c r="L19" s="526"/>
      <c r="M19" s="526"/>
      <c r="N19" s="526"/>
      <c r="O19" s="526"/>
      <c r="P19" s="526"/>
      <c r="Q19" s="526"/>
      <c r="R19" s="526"/>
      <c r="S19" s="591">
        <f>SUM(G19:R19)</f>
        <v>0</v>
      </c>
    </row>
    <row r="20" spans="2:19" ht="28" customHeight="1" x14ac:dyDescent="0.2">
      <c r="B20" s="610"/>
      <c r="C20" s="524"/>
      <c r="D20" s="523"/>
      <c r="E20" s="518"/>
      <c r="F20" s="525">
        <f t="shared" si="3"/>
        <v>0</v>
      </c>
      <c r="G20" s="520">
        <f t="shared" si="1"/>
        <v>0</v>
      </c>
      <c r="H20" s="526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591">
        <f t="shared" ref="S20:S28" si="4">SUM(G20:R20)</f>
        <v>0</v>
      </c>
    </row>
    <row r="21" spans="2:19" ht="28" customHeight="1" x14ac:dyDescent="0.2">
      <c r="B21" s="610"/>
      <c r="C21" s="524"/>
      <c r="D21" s="523"/>
      <c r="E21" s="518"/>
      <c r="F21" s="525">
        <f t="shared" si="3"/>
        <v>0</v>
      </c>
      <c r="G21" s="520">
        <f t="shared" si="1"/>
        <v>0</v>
      </c>
      <c r="H21" s="526"/>
      <c r="I21" s="526"/>
      <c r="J21" s="526"/>
      <c r="K21" s="526"/>
      <c r="L21" s="526"/>
      <c r="M21" s="526"/>
      <c r="N21" s="526"/>
      <c r="O21" s="526"/>
      <c r="P21" s="526"/>
      <c r="Q21" s="526"/>
      <c r="R21" s="526"/>
      <c r="S21" s="591">
        <f t="shared" si="4"/>
        <v>0</v>
      </c>
    </row>
    <row r="22" spans="2:19" ht="28" customHeight="1" x14ac:dyDescent="0.2">
      <c r="B22" s="610"/>
      <c r="C22" s="524"/>
      <c r="D22" s="523"/>
      <c r="E22" s="518"/>
      <c r="F22" s="525">
        <f t="shared" si="3"/>
        <v>0</v>
      </c>
      <c r="G22" s="520">
        <f t="shared" si="1"/>
        <v>0</v>
      </c>
      <c r="H22" s="526"/>
      <c r="I22" s="526"/>
      <c r="J22" s="526"/>
      <c r="K22" s="526"/>
      <c r="L22" s="526"/>
      <c r="M22" s="526"/>
      <c r="N22" s="526"/>
      <c r="O22" s="526"/>
      <c r="P22" s="526"/>
      <c r="Q22" s="526"/>
      <c r="R22" s="526"/>
      <c r="S22" s="591">
        <f t="shared" si="4"/>
        <v>0</v>
      </c>
    </row>
    <row r="23" spans="2:19" ht="28" customHeight="1" x14ac:dyDescent="0.2">
      <c r="B23" s="610"/>
      <c r="C23" s="524"/>
      <c r="D23" s="523"/>
      <c r="E23" s="518"/>
      <c r="F23" s="525">
        <f t="shared" si="3"/>
        <v>0</v>
      </c>
      <c r="G23" s="520">
        <f t="shared" si="1"/>
        <v>0</v>
      </c>
      <c r="H23" s="526"/>
      <c r="I23" s="526"/>
      <c r="J23" s="526"/>
      <c r="K23" s="526"/>
      <c r="L23" s="526"/>
      <c r="M23" s="526"/>
      <c r="N23" s="526"/>
      <c r="O23" s="526"/>
      <c r="P23" s="526"/>
      <c r="Q23" s="526"/>
      <c r="R23" s="526"/>
      <c r="S23" s="591">
        <f t="shared" si="4"/>
        <v>0</v>
      </c>
    </row>
    <row r="24" spans="2:19" ht="28" customHeight="1" x14ac:dyDescent="0.2">
      <c r="B24" s="610"/>
      <c r="C24" s="524"/>
      <c r="D24" s="523"/>
      <c r="E24" s="518"/>
      <c r="F24" s="525">
        <f t="shared" si="3"/>
        <v>0</v>
      </c>
      <c r="G24" s="520">
        <f t="shared" si="1"/>
        <v>0</v>
      </c>
      <c r="H24" s="526"/>
      <c r="I24" s="526"/>
      <c r="J24" s="526"/>
      <c r="K24" s="526"/>
      <c r="L24" s="526"/>
      <c r="M24" s="526"/>
      <c r="N24" s="526"/>
      <c r="O24" s="526"/>
      <c r="P24" s="526"/>
      <c r="Q24" s="526"/>
      <c r="R24" s="526"/>
      <c r="S24" s="591">
        <f t="shared" si="4"/>
        <v>0</v>
      </c>
    </row>
    <row r="25" spans="2:19" ht="28" customHeight="1" x14ac:dyDescent="0.2">
      <c r="B25" s="610"/>
      <c r="C25" s="421"/>
      <c r="D25" s="523"/>
      <c r="E25" s="518"/>
      <c r="F25" s="525">
        <f t="shared" si="3"/>
        <v>0</v>
      </c>
      <c r="G25" s="520">
        <f t="shared" si="1"/>
        <v>0</v>
      </c>
      <c r="H25" s="526"/>
      <c r="I25" s="526"/>
      <c r="J25" s="526"/>
      <c r="K25" s="526"/>
      <c r="L25" s="526"/>
      <c r="M25" s="526"/>
      <c r="N25" s="526"/>
      <c r="O25" s="526"/>
      <c r="P25" s="526"/>
      <c r="Q25" s="526"/>
      <c r="R25" s="526"/>
      <c r="S25" s="591">
        <f t="shared" si="4"/>
        <v>0</v>
      </c>
    </row>
    <row r="26" spans="2:19" ht="28" customHeight="1" x14ac:dyDescent="0.2">
      <c r="B26" s="610"/>
      <c r="C26" s="421"/>
      <c r="D26" s="523"/>
      <c r="E26" s="518"/>
      <c r="F26" s="525">
        <f t="shared" si="3"/>
        <v>0</v>
      </c>
      <c r="G26" s="520">
        <f t="shared" si="1"/>
        <v>0</v>
      </c>
      <c r="H26" s="526"/>
      <c r="I26" s="526"/>
      <c r="J26" s="526"/>
      <c r="K26" s="526"/>
      <c r="L26" s="526"/>
      <c r="M26" s="526"/>
      <c r="N26" s="526"/>
      <c r="O26" s="526"/>
      <c r="P26" s="526"/>
      <c r="Q26" s="526"/>
      <c r="R26" s="526"/>
      <c r="S26" s="591">
        <f t="shared" si="4"/>
        <v>0</v>
      </c>
    </row>
    <row r="27" spans="2:19" ht="28" customHeight="1" x14ac:dyDescent="0.2">
      <c r="B27" s="610"/>
      <c r="C27" s="421"/>
      <c r="D27" s="523"/>
      <c r="E27" s="518"/>
      <c r="F27" s="525">
        <f t="shared" si="3"/>
        <v>0</v>
      </c>
      <c r="G27" s="520">
        <f t="shared" si="1"/>
        <v>0</v>
      </c>
      <c r="H27" s="526"/>
      <c r="I27" s="526"/>
      <c r="J27" s="526"/>
      <c r="K27" s="526"/>
      <c r="L27" s="526"/>
      <c r="M27" s="526"/>
      <c r="N27" s="526"/>
      <c r="O27" s="526"/>
      <c r="P27" s="526"/>
      <c r="Q27" s="526"/>
      <c r="R27" s="526"/>
      <c r="S27" s="591">
        <f t="shared" si="4"/>
        <v>0</v>
      </c>
    </row>
    <row r="28" spans="2:19" ht="28" customHeight="1" x14ac:dyDescent="0.2">
      <c r="B28" s="610"/>
      <c r="C28" s="421"/>
      <c r="D28" s="523"/>
      <c r="E28" s="518"/>
      <c r="F28" s="525">
        <f>S28/F$2</f>
        <v>0</v>
      </c>
      <c r="G28" s="520">
        <f t="shared" si="1"/>
        <v>0</v>
      </c>
      <c r="H28" s="526"/>
      <c r="I28" s="526"/>
      <c r="J28" s="526"/>
      <c r="K28" s="526"/>
      <c r="L28" s="526"/>
      <c r="M28" s="526"/>
      <c r="N28" s="526"/>
      <c r="O28" s="526"/>
      <c r="P28" s="526"/>
      <c r="Q28" s="526"/>
      <c r="R28" s="526"/>
      <c r="S28" s="591">
        <f t="shared" si="4"/>
        <v>0</v>
      </c>
    </row>
    <row r="29" spans="2:19" ht="28" customHeight="1" x14ac:dyDescent="0.2">
      <c r="B29" s="612"/>
      <c r="C29" s="421"/>
      <c r="D29" s="601"/>
      <c r="E29" s="602"/>
      <c r="F29" s="525">
        <f>S29/F$2</f>
        <v>0</v>
      </c>
      <c r="G29" s="520">
        <f t="shared" si="1"/>
        <v>0</v>
      </c>
      <c r="H29" s="603"/>
      <c r="I29" s="603"/>
      <c r="J29" s="603"/>
      <c r="K29" s="603"/>
      <c r="L29" s="603"/>
      <c r="M29" s="603"/>
      <c r="N29" s="603"/>
      <c r="O29" s="603"/>
      <c r="P29" s="603"/>
      <c r="Q29" s="603"/>
      <c r="R29" s="603"/>
      <c r="S29" s="591">
        <f>SUM(G29:R29)</f>
        <v>0</v>
      </c>
    </row>
    <row r="30" spans="2:19" ht="24" thickBot="1" x14ac:dyDescent="0.25">
      <c r="B30" s="1223" t="s">
        <v>621</v>
      </c>
      <c r="C30" s="1224"/>
      <c r="D30" s="1224"/>
      <c r="E30" s="1225"/>
      <c r="F30" s="613">
        <f>SUM(F4:F28)</f>
        <v>14410.55</v>
      </c>
      <c r="G30" s="613">
        <f t="shared" ref="G30:S30" si="5">SUM(G4:G29)</f>
        <v>14410.55</v>
      </c>
      <c r="H30" s="613">
        <f t="shared" si="5"/>
        <v>0</v>
      </c>
      <c r="I30" s="613">
        <f t="shared" si="5"/>
        <v>0</v>
      </c>
      <c r="J30" s="613">
        <f t="shared" si="5"/>
        <v>0</v>
      </c>
      <c r="K30" s="613">
        <f t="shared" si="5"/>
        <v>0</v>
      </c>
      <c r="L30" s="613">
        <f t="shared" si="5"/>
        <v>0</v>
      </c>
      <c r="M30" s="613">
        <f t="shared" si="5"/>
        <v>0</v>
      </c>
      <c r="N30" s="613">
        <f t="shared" si="5"/>
        <v>0</v>
      </c>
      <c r="O30" s="613">
        <f t="shared" si="5"/>
        <v>0</v>
      </c>
      <c r="P30" s="613">
        <f t="shared" si="5"/>
        <v>0</v>
      </c>
      <c r="Q30" s="613">
        <f t="shared" si="5"/>
        <v>0</v>
      </c>
      <c r="R30" s="613">
        <f t="shared" si="5"/>
        <v>0</v>
      </c>
      <c r="S30" s="614">
        <f t="shared" si="5"/>
        <v>14410.55</v>
      </c>
    </row>
    <row r="31" spans="2:19" ht="25" customHeight="1" x14ac:dyDescent="0.2">
      <c r="B31" s="1226" t="s">
        <v>576</v>
      </c>
      <c r="C31" s="1227"/>
      <c r="D31" s="1227"/>
      <c r="E31" s="1227"/>
      <c r="F31" s="1227"/>
      <c r="G31" s="1227"/>
      <c r="H31" s="1227"/>
      <c r="I31" s="1227"/>
      <c r="J31" s="1227"/>
      <c r="K31" s="1227"/>
      <c r="L31" s="1227"/>
      <c r="M31" s="1227"/>
      <c r="N31" s="1227"/>
      <c r="O31" s="1227"/>
      <c r="P31" s="1227"/>
      <c r="Q31" s="1227"/>
      <c r="R31" s="1227"/>
      <c r="S31" s="1228"/>
    </row>
    <row r="32" spans="2:19" ht="24" customHeight="1" x14ac:dyDescent="0.2">
      <c r="B32" s="590" t="str">
        <f t="shared" ref="B32:E50" si="6">B4</f>
        <v xml:space="preserve">Yordon, Sablon Guzman </v>
      </c>
      <c r="C32" s="230" t="str">
        <f t="shared" si="6"/>
        <v xml:space="preserve">Warehouse </v>
      </c>
      <c r="D32" s="263">
        <f t="shared" si="6"/>
        <v>14</v>
      </c>
      <c r="E32" s="263">
        <f t="shared" si="6"/>
        <v>17.5</v>
      </c>
      <c r="F32" s="600">
        <f>S32/$F$2</f>
        <v>152</v>
      </c>
      <c r="G32" s="597">
        <v>152</v>
      </c>
      <c r="H32" s="521"/>
      <c r="I32" s="231"/>
      <c r="J32" s="231"/>
      <c r="K32" s="231"/>
      <c r="L32" s="231"/>
      <c r="M32" s="231"/>
      <c r="N32" s="231"/>
      <c r="O32" s="231"/>
      <c r="P32" s="231"/>
      <c r="Q32" s="231"/>
      <c r="R32" s="231"/>
      <c r="S32" s="596">
        <f t="shared" ref="S32:S57" si="7">SUM(G32:R32)</f>
        <v>152</v>
      </c>
    </row>
    <row r="33" spans="2:20" ht="24" customHeight="1" x14ac:dyDescent="0.2">
      <c r="B33" s="590" t="str">
        <f t="shared" si="6"/>
        <v xml:space="preserve">Yunier, Tamayo Rodriges </v>
      </c>
      <c r="C33" s="230" t="str">
        <f t="shared" si="6"/>
        <v xml:space="preserve">Warehouse </v>
      </c>
      <c r="D33" s="263">
        <f t="shared" si="6"/>
        <v>14</v>
      </c>
      <c r="E33" s="263">
        <f t="shared" si="6"/>
        <v>17.5</v>
      </c>
      <c r="F33" s="600">
        <f t="shared" ref="F33:F59" si="8">S33/$F$2</f>
        <v>151.58000000000001</v>
      </c>
      <c r="G33" s="597">
        <v>151.58000000000001</v>
      </c>
      <c r="H33" s="521"/>
      <c r="I33" s="231"/>
      <c r="J33" s="231"/>
      <c r="K33" s="231"/>
      <c r="L33" s="231"/>
      <c r="M33" s="231"/>
      <c r="N33" s="231"/>
      <c r="O33" s="231"/>
      <c r="P33" s="231"/>
      <c r="Q33" s="231"/>
      <c r="R33" s="231"/>
      <c r="S33" s="596">
        <f t="shared" si="7"/>
        <v>151.58000000000001</v>
      </c>
    </row>
    <row r="34" spans="2:20" ht="24" customHeight="1" x14ac:dyDescent="0.2">
      <c r="B34" s="590" t="str">
        <f t="shared" si="6"/>
        <v xml:space="preserve">Alex, Paizon Villalon </v>
      </c>
      <c r="C34" s="230" t="str">
        <f t="shared" si="6"/>
        <v xml:space="preserve">Warehouse </v>
      </c>
      <c r="D34" s="263">
        <f t="shared" si="6"/>
        <v>14</v>
      </c>
      <c r="E34" s="263">
        <f t="shared" si="6"/>
        <v>17.5</v>
      </c>
      <c r="F34" s="600">
        <f t="shared" si="8"/>
        <v>157.07</v>
      </c>
      <c r="G34" s="597">
        <v>157.07</v>
      </c>
      <c r="H34" s="231"/>
      <c r="I34" s="231"/>
      <c r="J34" s="231"/>
      <c r="K34" s="231"/>
      <c r="L34" s="231"/>
      <c r="M34" s="231"/>
      <c r="N34" s="231"/>
      <c r="O34" s="231"/>
      <c r="P34" s="231"/>
      <c r="Q34" s="231"/>
      <c r="R34" s="231"/>
      <c r="S34" s="596">
        <f t="shared" si="7"/>
        <v>157.07</v>
      </c>
    </row>
    <row r="35" spans="2:20" ht="24" customHeight="1" x14ac:dyDescent="0.2">
      <c r="B35" s="590" t="str">
        <f t="shared" si="6"/>
        <v xml:space="preserve">Jaime, Valtierra Hernandez </v>
      </c>
      <c r="C35" s="230" t="str">
        <f t="shared" si="6"/>
        <v xml:space="preserve">Echo Eyelet </v>
      </c>
      <c r="D35" s="263">
        <f t="shared" si="6"/>
        <v>14</v>
      </c>
      <c r="E35" s="263">
        <f t="shared" si="6"/>
        <v>17.5</v>
      </c>
      <c r="F35" s="600">
        <f t="shared" si="8"/>
        <v>136.58000000000001</v>
      </c>
      <c r="G35" s="597">
        <v>136.58000000000001</v>
      </c>
      <c r="H35" s="231"/>
      <c r="I35" s="231"/>
      <c r="J35" s="231"/>
      <c r="K35" s="231"/>
      <c r="L35" s="231"/>
      <c r="M35" s="231"/>
      <c r="N35" s="231"/>
      <c r="O35" s="231"/>
      <c r="P35" s="231"/>
      <c r="Q35" s="231"/>
      <c r="R35" s="231"/>
      <c r="S35" s="596">
        <f t="shared" si="7"/>
        <v>136.58000000000001</v>
      </c>
    </row>
    <row r="36" spans="2:20" ht="24" customHeight="1" x14ac:dyDescent="0.2">
      <c r="B36" s="590" t="str">
        <f t="shared" si="6"/>
        <v xml:space="preserve">Fabian, Gonzalez </v>
      </c>
      <c r="C36" s="230" t="str">
        <f t="shared" si="6"/>
        <v xml:space="preserve">Warehouse </v>
      </c>
      <c r="D36" s="263">
        <f t="shared" si="6"/>
        <v>14</v>
      </c>
      <c r="E36" s="263">
        <f t="shared" si="6"/>
        <v>17.5</v>
      </c>
      <c r="F36" s="600">
        <f t="shared" si="8"/>
        <v>155.01</v>
      </c>
      <c r="G36" s="597">
        <v>155.01</v>
      </c>
      <c r="H36" s="231"/>
      <c r="I36" s="231"/>
      <c r="J36" s="231"/>
      <c r="K36" s="231"/>
      <c r="L36" s="231"/>
      <c r="M36" s="231"/>
      <c r="N36" s="231"/>
      <c r="O36" s="231"/>
      <c r="P36" s="231"/>
      <c r="Q36" s="231"/>
      <c r="R36" s="231"/>
      <c r="S36" s="596">
        <f t="shared" si="7"/>
        <v>155.01</v>
      </c>
    </row>
    <row r="37" spans="2:20" ht="24" customHeight="1" x14ac:dyDescent="0.2">
      <c r="B37" s="590" t="str">
        <f t="shared" si="6"/>
        <v xml:space="preserve">Elian </v>
      </c>
      <c r="C37" s="230" t="str">
        <f t="shared" si="6"/>
        <v xml:space="preserve">Warehouse- Temp </v>
      </c>
      <c r="D37" s="263">
        <f t="shared" si="6"/>
        <v>14</v>
      </c>
      <c r="E37" s="263">
        <f t="shared" si="6"/>
        <v>17.5</v>
      </c>
      <c r="F37" s="600">
        <f t="shared" si="8"/>
        <v>23.05</v>
      </c>
      <c r="G37" s="597">
        <v>23.05</v>
      </c>
      <c r="H37" s="521"/>
      <c r="I37" s="231"/>
      <c r="J37" s="231"/>
      <c r="K37" s="231"/>
      <c r="L37" s="231"/>
      <c r="M37" s="231"/>
      <c r="N37" s="231"/>
      <c r="O37" s="231"/>
      <c r="P37" s="231"/>
      <c r="Q37" s="231"/>
      <c r="R37" s="231"/>
      <c r="S37" s="596">
        <f t="shared" si="7"/>
        <v>23.05</v>
      </c>
    </row>
    <row r="38" spans="2:20" ht="24" customHeight="1" x14ac:dyDescent="0.2">
      <c r="B38" s="590" t="str">
        <f t="shared" si="6"/>
        <v xml:space="preserve">Mar,Fernadez Arias </v>
      </c>
      <c r="C38" s="230" t="str">
        <f t="shared" si="6"/>
        <v xml:space="preserve">Warehouse- Temp </v>
      </c>
      <c r="D38" s="263">
        <f t="shared" si="6"/>
        <v>14</v>
      </c>
      <c r="E38" s="263">
        <f t="shared" si="6"/>
        <v>17.5</v>
      </c>
      <c r="F38" s="600">
        <f t="shared" si="8"/>
        <v>24</v>
      </c>
      <c r="G38" s="597">
        <v>24</v>
      </c>
      <c r="H38" s="521"/>
      <c r="I38" s="231"/>
      <c r="J38" s="231"/>
      <c r="K38" s="231"/>
      <c r="L38" s="231"/>
      <c r="M38" s="231"/>
      <c r="N38" s="231"/>
      <c r="O38" s="231"/>
      <c r="P38" s="231"/>
      <c r="Q38" s="231"/>
      <c r="R38" s="231"/>
      <c r="S38" s="596">
        <f t="shared" si="7"/>
        <v>24</v>
      </c>
    </row>
    <row r="39" spans="2:20" ht="24" customHeight="1" x14ac:dyDescent="0.2">
      <c r="B39" s="590" t="str">
        <f t="shared" si="6"/>
        <v xml:space="preserve">Marili, Oduardo Soto </v>
      </c>
      <c r="C39" s="230" t="str">
        <f t="shared" si="6"/>
        <v xml:space="preserve">Warehouse- Temp </v>
      </c>
      <c r="D39" s="263">
        <f t="shared" si="6"/>
        <v>14</v>
      </c>
      <c r="E39" s="263">
        <f t="shared" si="6"/>
        <v>17.5</v>
      </c>
      <c r="F39" s="600">
        <f t="shared" si="8"/>
        <v>7.65</v>
      </c>
      <c r="G39" s="597">
        <v>7.65</v>
      </c>
      <c r="H39" s="231"/>
      <c r="I39" s="231"/>
      <c r="J39" s="231"/>
      <c r="K39" s="231"/>
      <c r="L39" s="231"/>
      <c r="M39" s="231"/>
      <c r="N39" s="231"/>
      <c r="O39" s="231"/>
      <c r="P39" s="231"/>
      <c r="Q39" s="231"/>
      <c r="R39" s="231"/>
      <c r="S39" s="596">
        <f t="shared" si="7"/>
        <v>7.65</v>
      </c>
    </row>
    <row r="40" spans="2:20" ht="24" customHeight="1" x14ac:dyDescent="0.2">
      <c r="B40" s="590" t="str">
        <f t="shared" si="6"/>
        <v xml:space="preserve">Chr, Lechuga Ledesma </v>
      </c>
      <c r="C40" s="230" t="str">
        <f t="shared" si="6"/>
        <v xml:space="preserve">Warehouse- Temp </v>
      </c>
      <c r="D40" s="263">
        <f t="shared" si="6"/>
        <v>14</v>
      </c>
      <c r="E40" s="263">
        <f t="shared" si="6"/>
        <v>17.5</v>
      </c>
      <c r="F40" s="600">
        <f t="shared" si="8"/>
        <v>8.5</v>
      </c>
      <c r="G40" s="597">
        <v>8.5</v>
      </c>
      <c r="H40" s="521"/>
      <c r="I40" s="231"/>
      <c r="J40" s="231"/>
      <c r="K40" s="231"/>
      <c r="L40" s="231"/>
      <c r="M40" s="231"/>
      <c r="N40" s="231"/>
      <c r="O40" s="231"/>
      <c r="P40" s="231"/>
      <c r="Q40" s="231"/>
      <c r="R40" s="231"/>
      <c r="S40" s="596">
        <f t="shared" si="7"/>
        <v>8.5</v>
      </c>
    </row>
    <row r="41" spans="2:20" ht="24" customHeight="1" x14ac:dyDescent="0.2">
      <c r="B41" s="590" t="str">
        <f t="shared" si="6"/>
        <v xml:space="preserve">Alcantara, Maldonando </v>
      </c>
      <c r="C41" s="230" t="str">
        <f t="shared" si="6"/>
        <v xml:space="preserve">Warehouse- Temp </v>
      </c>
      <c r="D41" s="263">
        <f t="shared" si="6"/>
        <v>14</v>
      </c>
      <c r="E41" s="263">
        <f t="shared" si="6"/>
        <v>17.5</v>
      </c>
      <c r="F41" s="600">
        <f t="shared" si="8"/>
        <v>8.02</v>
      </c>
      <c r="G41" s="597">
        <v>8.02</v>
      </c>
      <c r="H41" s="521"/>
      <c r="I41" s="232"/>
      <c r="J41" s="232"/>
      <c r="K41" s="232"/>
      <c r="L41" s="232"/>
      <c r="M41" s="232"/>
      <c r="N41" s="232"/>
      <c r="O41" s="232"/>
      <c r="P41" s="232"/>
      <c r="Q41" s="231"/>
      <c r="R41" s="231"/>
      <c r="S41" s="596">
        <f t="shared" si="7"/>
        <v>8.02</v>
      </c>
    </row>
    <row r="42" spans="2:20" ht="24" customHeight="1" x14ac:dyDescent="0.2">
      <c r="B42" s="590">
        <f t="shared" si="6"/>
        <v>0</v>
      </c>
      <c r="C42" s="230">
        <f t="shared" si="6"/>
        <v>0</v>
      </c>
      <c r="D42" s="263">
        <f t="shared" si="6"/>
        <v>0</v>
      </c>
      <c r="E42" s="263">
        <f t="shared" si="6"/>
        <v>0</v>
      </c>
      <c r="F42" s="600">
        <f t="shared" si="8"/>
        <v>0</v>
      </c>
      <c r="G42" s="597"/>
      <c r="H42" s="521"/>
      <c r="I42" s="232"/>
      <c r="J42" s="232"/>
      <c r="K42" s="232"/>
      <c r="L42" s="232"/>
      <c r="M42" s="232"/>
      <c r="N42" s="232"/>
      <c r="O42" s="232"/>
      <c r="P42" s="232"/>
      <c r="Q42" s="231"/>
      <c r="R42" s="231"/>
      <c r="S42" s="596">
        <f t="shared" si="7"/>
        <v>0</v>
      </c>
    </row>
    <row r="43" spans="2:20" ht="24" customHeight="1" x14ac:dyDescent="0.2">
      <c r="B43" s="590">
        <f t="shared" si="6"/>
        <v>0</v>
      </c>
      <c r="C43" s="230">
        <f t="shared" si="6"/>
        <v>0</v>
      </c>
      <c r="D43" s="263">
        <f t="shared" si="6"/>
        <v>0</v>
      </c>
      <c r="E43" s="263">
        <f t="shared" si="6"/>
        <v>0</v>
      </c>
      <c r="F43" s="600">
        <f t="shared" si="8"/>
        <v>0</v>
      </c>
      <c r="G43" s="597"/>
      <c r="H43" s="521"/>
      <c r="I43" s="521"/>
      <c r="J43" s="521"/>
      <c r="K43" s="232"/>
      <c r="L43" s="232"/>
      <c r="M43" s="232"/>
      <c r="N43" s="232"/>
      <c r="O43" s="232"/>
      <c r="P43" s="232"/>
      <c r="Q43" s="231"/>
      <c r="R43" s="231"/>
      <c r="S43" s="596">
        <f t="shared" si="7"/>
        <v>0</v>
      </c>
    </row>
    <row r="44" spans="2:20" ht="24" customHeight="1" x14ac:dyDescent="0.2">
      <c r="B44" s="590">
        <f t="shared" si="6"/>
        <v>0</v>
      </c>
      <c r="C44" s="230">
        <f t="shared" si="6"/>
        <v>0</v>
      </c>
      <c r="D44" s="263">
        <f t="shared" si="6"/>
        <v>0</v>
      </c>
      <c r="E44" s="263">
        <f t="shared" si="6"/>
        <v>0</v>
      </c>
      <c r="F44" s="600">
        <f t="shared" si="8"/>
        <v>0</v>
      </c>
      <c r="G44" s="598"/>
      <c r="H44" s="232"/>
      <c r="I44" s="232"/>
      <c r="J44" s="232"/>
      <c r="K44" s="232"/>
      <c r="L44" s="232"/>
      <c r="M44" s="232"/>
      <c r="N44" s="232"/>
      <c r="O44" s="232"/>
      <c r="P44" s="232"/>
      <c r="Q44" s="231"/>
      <c r="R44" s="231"/>
      <c r="S44" s="596">
        <f t="shared" si="7"/>
        <v>0</v>
      </c>
    </row>
    <row r="45" spans="2:20" ht="24" customHeight="1" x14ac:dyDescent="0.2">
      <c r="B45" s="590">
        <f t="shared" si="6"/>
        <v>0</v>
      </c>
      <c r="C45" s="230">
        <f t="shared" si="6"/>
        <v>0</v>
      </c>
      <c r="D45" s="263">
        <f t="shared" si="6"/>
        <v>0</v>
      </c>
      <c r="E45" s="263">
        <f t="shared" si="6"/>
        <v>0</v>
      </c>
      <c r="F45" s="600">
        <f t="shared" si="8"/>
        <v>0</v>
      </c>
      <c r="G45" s="597"/>
      <c r="H45" s="52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596">
        <f t="shared" si="7"/>
        <v>0</v>
      </c>
    </row>
    <row r="46" spans="2:20" ht="24" customHeight="1" x14ac:dyDescent="0.2">
      <c r="B46" s="590">
        <f t="shared" si="6"/>
        <v>0</v>
      </c>
      <c r="C46" s="230">
        <f t="shared" si="6"/>
        <v>0</v>
      </c>
      <c r="D46" s="263">
        <f t="shared" si="6"/>
        <v>0</v>
      </c>
      <c r="E46" s="263">
        <f t="shared" si="6"/>
        <v>0</v>
      </c>
      <c r="F46" s="600">
        <f t="shared" si="8"/>
        <v>0</v>
      </c>
      <c r="G46" s="597"/>
      <c r="H46" s="521"/>
      <c r="I46" s="231"/>
      <c r="J46" s="231"/>
      <c r="K46" s="231"/>
      <c r="L46" s="231"/>
      <c r="M46" s="231"/>
      <c r="N46" s="231"/>
      <c r="O46" s="231"/>
      <c r="P46" s="231"/>
      <c r="Q46" s="231"/>
      <c r="R46" s="231"/>
      <c r="S46" s="596">
        <f t="shared" si="7"/>
        <v>0</v>
      </c>
    </row>
    <row r="47" spans="2:20" ht="24" customHeight="1" x14ac:dyDescent="0.2">
      <c r="B47" s="590">
        <f t="shared" si="6"/>
        <v>0</v>
      </c>
      <c r="C47" s="230">
        <f t="shared" si="6"/>
        <v>0</v>
      </c>
      <c r="D47" s="263">
        <f t="shared" si="6"/>
        <v>0</v>
      </c>
      <c r="E47" s="263">
        <f t="shared" si="6"/>
        <v>0</v>
      </c>
      <c r="F47" s="600">
        <f t="shared" si="8"/>
        <v>0</v>
      </c>
      <c r="G47" s="597"/>
      <c r="H47" s="521"/>
      <c r="I47" s="231"/>
      <c r="J47" s="231"/>
      <c r="K47" s="231"/>
      <c r="L47" s="231"/>
      <c r="M47" s="231"/>
      <c r="N47" s="231"/>
      <c r="O47" s="231"/>
      <c r="P47" s="231"/>
      <c r="Q47" s="231"/>
      <c r="R47" s="231"/>
      <c r="S47" s="596">
        <f t="shared" si="7"/>
        <v>0</v>
      </c>
      <c r="T47" s="588"/>
    </row>
    <row r="48" spans="2:20" ht="24" customHeight="1" x14ac:dyDescent="0.2">
      <c r="B48" s="590">
        <f t="shared" si="6"/>
        <v>0</v>
      </c>
      <c r="C48" s="230">
        <f t="shared" si="6"/>
        <v>0</v>
      </c>
      <c r="D48" s="263">
        <f t="shared" si="6"/>
        <v>0</v>
      </c>
      <c r="E48" s="263">
        <f t="shared" si="6"/>
        <v>0</v>
      </c>
      <c r="F48" s="600">
        <f t="shared" si="8"/>
        <v>0</v>
      </c>
      <c r="G48" s="597"/>
      <c r="H48" s="521"/>
      <c r="I48" s="231"/>
      <c r="J48" s="231"/>
      <c r="K48" s="231"/>
      <c r="L48" s="231"/>
      <c r="M48" s="231"/>
      <c r="N48" s="231"/>
      <c r="O48" s="231"/>
      <c r="P48" s="231"/>
      <c r="Q48" s="231"/>
      <c r="R48" s="231"/>
      <c r="S48" s="596">
        <f t="shared" si="7"/>
        <v>0</v>
      </c>
    </row>
    <row r="49" spans="2:20" ht="24" customHeight="1" x14ac:dyDescent="0.2">
      <c r="B49" s="590">
        <f t="shared" si="6"/>
        <v>0</v>
      </c>
      <c r="C49" s="230">
        <f t="shared" si="6"/>
        <v>0</v>
      </c>
      <c r="D49" s="263">
        <f t="shared" si="6"/>
        <v>0</v>
      </c>
      <c r="E49" s="263">
        <f t="shared" si="6"/>
        <v>0</v>
      </c>
      <c r="F49" s="600">
        <f t="shared" si="8"/>
        <v>0</v>
      </c>
      <c r="G49" s="597"/>
      <c r="H49" s="521"/>
      <c r="I49" s="231"/>
      <c r="J49" s="231"/>
      <c r="K49" s="231"/>
      <c r="L49" s="231"/>
      <c r="M49" s="231"/>
      <c r="N49" s="231"/>
      <c r="O49" s="231"/>
      <c r="P49" s="231"/>
      <c r="Q49" s="231"/>
      <c r="R49" s="231"/>
      <c r="S49" s="596">
        <f t="shared" si="7"/>
        <v>0</v>
      </c>
    </row>
    <row r="50" spans="2:20" ht="24" customHeight="1" x14ac:dyDescent="0.2">
      <c r="B50" s="590">
        <f t="shared" si="6"/>
        <v>0</v>
      </c>
      <c r="C50" s="230">
        <f t="shared" si="6"/>
        <v>0</v>
      </c>
      <c r="D50" s="263">
        <f t="shared" si="6"/>
        <v>0</v>
      </c>
      <c r="E50" s="263">
        <f t="shared" si="6"/>
        <v>0</v>
      </c>
      <c r="F50" s="600">
        <f t="shared" si="8"/>
        <v>0</v>
      </c>
      <c r="G50" s="597"/>
      <c r="H50" s="521"/>
      <c r="I50" s="231"/>
      <c r="J50" s="231"/>
      <c r="K50" s="231"/>
      <c r="L50" s="231"/>
      <c r="M50" s="231"/>
      <c r="N50" s="231"/>
      <c r="O50" s="231"/>
      <c r="P50" s="231"/>
      <c r="Q50" s="231"/>
      <c r="R50" s="231"/>
      <c r="S50" s="596">
        <f t="shared" si="7"/>
        <v>0</v>
      </c>
      <c r="T50" s="589"/>
    </row>
    <row r="51" spans="2:20" ht="24" customHeight="1" x14ac:dyDescent="0.2">
      <c r="B51" s="590">
        <f t="shared" ref="B51:E52" si="9">B23</f>
        <v>0</v>
      </c>
      <c r="C51" s="230">
        <f t="shared" si="9"/>
        <v>0</v>
      </c>
      <c r="D51" s="263">
        <f t="shared" si="9"/>
        <v>0</v>
      </c>
      <c r="E51" s="263">
        <f t="shared" si="9"/>
        <v>0</v>
      </c>
      <c r="F51" s="600">
        <f t="shared" si="8"/>
        <v>0</v>
      </c>
      <c r="G51" s="597"/>
      <c r="H51" s="521"/>
      <c r="I51" s="521"/>
      <c r="J51" s="521"/>
      <c r="K51" s="521"/>
      <c r="L51" s="521"/>
      <c r="M51" s="231"/>
      <c r="N51" s="231"/>
      <c r="O51" s="231"/>
      <c r="P51" s="231"/>
      <c r="Q51" s="231"/>
      <c r="R51" s="231"/>
      <c r="S51" s="596">
        <f t="shared" si="7"/>
        <v>0</v>
      </c>
    </row>
    <row r="52" spans="2:20" ht="24" customHeight="1" x14ac:dyDescent="0.2">
      <c r="B52" s="590">
        <f>B24</f>
        <v>0</v>
      </c>
      <c r="C52" s="230">
        <f>C24</f>
        <v>0</v>
      </c>
      <c r="D52" s="263">
        <f t="shared" si="9"/>
        <v>0</v>
      </c>
      <c r="E52" s="263">
        <f t="shared" si="9"/>
        <v>0</v>
      </c>
      <c r="F52" s="600">
        <f t="shared" si="8"/>
        <v>0</v>
      </c>
      <c r="G52" s="599"/>
      <c r="H52" s="231"/>
      <c r="I52" s="231"/>
      <c r="J52" s="231"/>
      <c r="K52" s="231"/>
      <c r="L52" s="231"/>
      <c r="M52" s="231"/>
      <c r="N52" s="231"/>
      <c r="O52" s="231"/>
      <c r="P52" s="231"/>
      <c r="Q52" s="231"/>
      <c r="R52" s="231"/>
      <c r="S52" s="596">
        <f t="shared" si="7"/>
        <v>0</v>
      </c>
    </row>
    <row r="53" spans="2:20" ht="24" customHeight="1" x14ac:dyDescent="0.2">
      <c r="B53" s="590">
        <f>B25</f>
        <v>0</v>
      </c>
      <c r="C53" s="230">
        <f>C25</f>
        <v>0</v>
      </c>
      <c r="D53" s="263">
        <f>D25</f>
        <v>0</v>
      </c>
      <c r="E53" s="263">
        <f>E25</f>
        <v>0</v>
      </c>
      <c r="F53" s="600">
        <f t="shared" si="8"/>
        <v>0</v>
      </c>
      <c r="G53" s="597"/>
      <c r="H53" s="521"/>
      <c r="I53" s="231"/>
      <c r="J53" s="231"/>
      <c r="K53" s="231"/>
      <c r="L53" s="231"/>
      <c r="M53" s="521"/>
      <c r="N53" s="231"/>
      <c r="O53" s="231"/>
      <c r="P53" s="231"/>
      <c r="Q53" s="231"/>
      <c r="R53" s="231"/>
      <c r="S53" s="596">
        <f t="shared" si="7"/>
        <v>0</v>
      </c>
    </row>
    <row r="54" spans="2:20" ht="24" customHeight="1" x14ac:dyDescent="0.2">
      <c r="B54" s="590">
        <f t="shared" ref="B54:E56" si="10">B26</f>
        <v>0</v>
      </c>
      <c r="C54" s="230">
        <f t="shared" si="10"/>
        <v>0</v>
      </c>
      <c r="D54" s="263">
        <f t="shared" si="10"/>
        <v>0</v>
      </c>
      <c r="E54" s="263">
        <f t="shared" si="10"/>
        <v>0</v>
      </c>
      <c r="F54" s="600">
        <f t="shared" si="8"/>
        <v>0</v>
      </c>
      <c r="G54" s="597"/>
      <c r="H54" s="521"/>
      <c r="I54" s="231"/>
      <c r="J54" s="231"/>
      <c r="K54" s="231"/>
      <c r="L54" s="231"/>
      <c r="M54" s="521"/>
      <c r="N54" s="231"/>
      <c r="O54" s="231"/>
      <c r="P54" s="231"/>
      <c r="Q54" s="231"/>
      <c r="R54" s="231"/>
      <c r="S54" s="596">
        <f t="shared" si="7"/>
        <v>0</v>
      </c>
    </row>
    <row r="55" spans="2:20" ht="24" customHeight="1" x14ac:dyDescent="0.2">
      <c r="B55" s="590">
        <f t="shared" si="10"/>
        <v>0</v>
      </c>
      <c r="C55" s="230">
        <f t="shared" si="10"/>
        <v>0</v>
      </c>
      <c r="D55" s="263">
        <f t="shared" si="10"/>
        <v>0</v>
      </c>
      <c r="E55" s="263">
        <f t="shared" si="10"/>
        <v>0</v>
      </c>
      <c r="F55" s="600">
        <f t="shared" si="8"/>
        <v>0</v>
      </c>
      <c r="G55" s="597"/>
      <c r="H55" s="521"/>
      <c r="I55" s="231"/>
      <c r="J55" s="231"/>
      <c r="K55" s="231"/>
      <c r="L55" s="231"/>
      <c r="M55" s="521"/>
      <c r="N55" s="231"/>
      <c r="O55" s="231"/>
      <c r="P55" s="231"/>
      <c r="Q55" s="231"/>
      <c r="R55" s="231"/>
      <c r="S55" s="596">
        <f t="shared" si="7"/>
        <v>0</v>
      </c>
    </row>
    <row r="56" spans="2:20" ht="24" customHeight="1" x14ac:dyDescent="0.2">
      <c r="B56" s="590">
        <f t="shared" si="10"/>
        <v>0</v>
      </c>
      <c r="C56" s="230">
        <f t="shared" si="10"/>
        <v>0</v>
      </c>
      <c r="D56" s="263">
        <f t="shared" si="10"/>
        <v>0</v>
      </c>
      <c r="E56" s="263">
        <f t="shared" si="10"/>
        <v>0</v>
      </c>
      <c r="F56" s="600">
        <f t="shared" si="8"/>
        <v>0</v>
      </c>
      <c r="G56" s="597"/>
      <c r="H56" s="521"/>
      <c r="I56" s="231"/>
      <c r="J56" s="231"/>
      <c r="K56" s="231"/>
      <c r="L56" s="231"/>
      <c r="M56" s="521"/>
      <c r="N56" s="231"/>
      <c r="O56" s="231"/>
      <c r="P56" s="231"/>
      <c r="Q56" s="231"/>
      <c r="R56" s="231"/>
      <c r="S56" s="596">
        <f t="shared" si="7"/>
        <v>0</v>
      </c>
    </row>
    <row r="57" spans="2:20" ht="24" customHeight="1" x14ac:dyDescent="0.2">
      <c r="B57" s="590"/>
      <c r="C57" s="230"/>
      <c r="D57" s="263"/>
      <c r="E57" s="263"/>
      <c r="F57" s="595">
        <f>S57/$F$2</f>
        <v>0</v>
      </c>
      <c r="G57" s="521"/>
      <c r="H57" s="521"/>
      <c r="I57" s="231"/>
      <c r="J57" s="231"/>
      <c r="K57" s="231"/>
      <c r="L57" s="231"/>
      <c r="M57" s="521"/>
      <c r="N57" s="231"/>
      <c r="O57" s="231"/>
      <c r="P57" s="231"/>
      <c r="Q57" s="231"/>
      <c r="R57" s="231"/>
      <c r="S57" s="596">
        <f t="shared" si="7"/>
        <v>0</v>
      </c>
    </row>
    <row r="58" spans="2:20" ht="24" customHeight="1" x14ac:dyDescent="0.2">
      <c r="B58" s="1235" t="s">
        <v>576</v>
      </c>
      <c r="C58" s="1236"/>
      <c r="D58" s="1236"/>
      <c r="E58" s="1237"/>
      <c r="F58" s="600">
        <f t="shared" si="8"/>
        <v>823.45999999999992</v>
      </c>
      <c r="G58" s="233">
        <f t="shared" ref="G58:S58" si="11">SUM(G32:G57)</f>
        <v>823.45999999999992</v>
      </c>
      <c r="H58" s="233">
        <f t="shared" si="11"/>
        <v>0</v>
      </c>
      <c r="I58" s="233">
        <f t="shared" si="11"/>
        <v>0</v>
      </c>
      <c r="J58" s="233">
        <f t="shared" si="11"/>
        <v>0</v>
      </c>
      <c r="K58" s="233">
        <f t="shared" si="11"/>
        <v>0</v>
      </c>
      <c r="L58" s="233">
        <f t="shared" si="11"/>
        <v>0</v>
      </c>
      <c r="M58" s="233">
        <f t="shared" si="11"/>
        <v>0</v>
      </c>
      <c r="N58" s="233">
        <f t="shared" si="11"/>
        <v>0</v>
      </c>
      <c r="O58" s="233">
        <f t="shared" si="11"/>
        <v>0</v>
      </c>
      <c r="P58" s="233">
        <f t="shared" si="11"/>
        <v>0</v>
      </c>
      <c r="Q58" s="233">
        <f t="shared" si="11"/>
        <v>0</v>
      </c>
      <c r="R58" s="233">
        <f t="shared" si="11"/>
        <v>0</v>
      </c>
      <c r="S58" s="592">
        <f t="shared" si="11"/>
        <v>823.45999999999992</v>
      </c>
    </row>
    <row r="59" spans="2:20" ht="24" thickBot="1" x14ac:dyDescent="0.25">
      <c r="B59" s="1238" t="s">
        <v>577</v>
      </c>
      <c r="C59" s="1239"/>
      <c r="D59" s="1239"/>
      <c r="E59" s="1239"/>
      <c r="F59" s="600">
        <f t="shared" si="8"/>
        <v>17.5</v>
      </c>
      <c r="G59" s="593">
        <f t="shared" ref="G59:S59" si="12">G30/G58</f>
        <v>17.5</v>
      </c>
      <c r="H59" s="593" t="e">
        <f t="shared" si="12"/>
        <v>#DIV/0!</v>
      </c>
      <c r="I59" s="593" t="e">
        <f t="shared" si="12"/>
        <v>#DIV/0!</v>
      </c>
      <c r="J59" s="593" t="e">
        <f t="shared" si="12"/>
        <v>#DIV/0!</v>
      </c>
      <c r="K59" s="593" t="e">
        <f t="shared" si="12"/>
        <v>#DIV/0!</v>
      </c>
      <c r="L59" s="593" t="e">
        <f t="shared" si="12"/>
        <v>#DIV/0!</v>
      </c>
      <c r="M59" s="593" t="e">
        <f t="shared" si="12"/>
        <v>#DIV/0!</v>
      </c>
      <c r="N59" s="593" t="e">
        <f t="shared" si="12"/>
        <v>#DIV/0!</v>
      </c>
      <c r="O59" s="593" t="e">
        <f t="shared" si="12"/>
        <v>#DIV/0!</v>
      </c>
      <c r="P59" s="593" t="e">
        <f t="shared" si="12"/>
        <v>#DIV/0!</v>
      </c>
      <c r="Q59" s="593" t="e">
        <f t="shared" si="12"/>
        <v>#DIV/0!</v>
      </c>
      <c r="R59" s="593" t="e">
        <f t="shared" si="12"/>
        <v>#DIV/0!</v>
      </c>
      <c r="S59" s="594">
        <f t="shared" si="12"/>
        <v>17.5</v>
      </c>
    </row>
  </sheetData>
  <mergeCells count="8">
    <mergeCell ref="B58:E58"/>
    <mergeCell ref="B59:E59"/>
    <mergeCell ref="B2:B3"/>
    <mergeCell ref="C2:C3"/>
    <mergeCell ref="D2:D3"/>
    <mergeCell ref="E2:E3"/>
    <mergeCell ref="B30:E30"/>
    <mergeCell ref="B31:S3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1A856-B1B9-B949-BE24-3708C131246D}">
  <sheetPr codeName="Sheet14"/>
  <dimension ref="B1:R53"/>
  <sheetViews>
    <sheetView zoomScale="80" zoomScaleNormal="80" workbookViewId="0">
      <selection activeCell="E3" sqref="E3"/>
    </sheetView>
  </sheetViews>
  <sheetFormatPr baseColWidth="10" defaultColWidth="10.6640625" defaultRowHeight="15" x14ac:dyDescent="0.2"/>
  <cols>
    <col min="2" max="2" width="25.83203125" customWidth="1"/>
    <col min="3" max="3" width="31.1640625" customWidth="1"/>
    <col min="4" max="4" width="43.33203125" style="137" customWidth="1"/>
    <col min="5" max="5" width="20.83203125" customWidth="1"/>
    <col min="6" max="11" width="20.6640625" customWidth="1"/>
    <col min="12" max="12" width="19" customWidth="1"/>
    <col min="13" max="14" width="20.6640625" customWidth="1"/>
    <col min="15" max="17" width="18.5" customWidth="1"/>
    <col min="18" max="18" width="23.6640625" customWidth="1"/>
  </cols>
  <sheetData>
    <row r="1" spans="2:18" ht="16" thickBot="1" x14ac:dyDescent="0.25"/>
    <row r="2" spans="2:18" ht="48" x14ac:dyDescent="0.2">
      <c r="B2" s="211" t="s">
        <v>622</v>
      </c>
      <c r="C2" s="212" t="s">
        <v>623</v>
      </c>
      <c r="D2" s="212" t="s">
        <v>624</v>
      </c>
      <c r="E2" s="213" t="s">
        <v>625</v>
      </c>
      <c r="F2" s="212" t="s">
        <v>270</v>
      </c>
      <c r="G2" s="212" t="s">
        <v>263</v>
      </c>
      <c r="H2" s="212" t="s">
        <v>264</v>
      </c>
      <c r="I2" s="212" t="s">
        <v>265</v>
      </c>
      <c r="J2" s="212" t="s">
        <v>266</v>
      </c>
      <c r="K2" s="212" t="s">
        <v>267</v>
      </c>
      <c r="L2" s="212" t="s">
        <v>268</v>
      </c>
      <c r="M2" s="212" t="s">
        <v>258</v>
      </c>
      <c r="N2" s="212" t="s">
        <v>259</v>
      </c>
      <c r="O2" s="212" t="s">
        <v>260</v>
      </c>
      <c r="P2" s="212" t="s">
        <v>130</v>
      </c>
      <c r="Q2" s="212" t="s">
        <v>261</v>
      </c>
      <c r="R2" s="214" t="s">
        <v>397</v>
      </c>
    </row>
    <row r="3" spans="2:18" ht="36" customHeight="1" x14ac:dyDescent="0.2">
      <c r="B3" s="215"/>
      <c r="C3" s="216">
        <v>611155</v>
      </c>
      <c r="D3" s="261" t="s">
        <v>626</v>
      </c>
      <c r="E3" s="217" t="e">
        <f>AVERAGE(F3:Q3)</f>
        <v>#DIV/0!</v>
      </c>
      <c r="F3" s="257"/>
      <c r="G3" s="257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9">
        <f>SUM(F3:Q3)</f>
        <v>0</v>
      </c>
    </row>
    <row r="4" spans="2:18" ht="36" customHeight="1" x14ac:dyDescent="0.2">
      <c r="B4" s="215"/>
      <c r="C4" s="216">
        <v>611567</v>
      </c>
      <c r="D4" s="261" t="s">
        <v>627</v>
      </c>
      <c r="E4" s="217" t="e">
        <f>AVERAGE(F4:Q4)</f>
        <v>#DIV/0!</v>
      </c>
      <c r="F4" s="257"/>
      <c r="G4" s="257"/>
      <c r="H4" s="218"/>
      <c r="I4" s="218"/>
      <c r="J4" s="218"/>
      <c r="K4" s="218"/>
      <c r="L4" s="218"/>
      <c r="M4" s="218"/>
      <c r="N4" s="218"/>
      <c r="O4" s="218"/>
      <c r="P4" s="218"/>
      <c r="Q4" s="218"/>
      <c r="R4" s="219">
        <f t="shared" ref="R4:R37" si="0">SUM(F4:Q4)</f>
        <v>0</v>
      </c>
    </row>
    <row r="5" spans="2:18" ht="36" customHeight="1" x14ac:dyDescent="0.2">
      <c r="B5" s="215"/>
      <c r="C5" s="216">
        <v>61110</v>
      </c>
      <c r="D5" s="261" t="s">
        <v>628</v>
      </c>
      <c r="E5" s="217" t="e">
        <f t="shared" ref="E5:E37" si="1">AVERAGE(F5:Q5)</f>
        <v>#DIV/0!</v>
      </c>
      <c r="F5" s="257"/>
      <c r="G5" s="257"/>
      <c r="H5" s="218"/>
      <c r="I5" s="218"/>
      <c r="J5" s="218"/>
      <c r="K5" s="218"/>
      <c r="L5" s="218"/>
      <c r="M5" s="218"/>
      <c r="N5" s="218"/>
      <c r="O5" s="218"/>
      <c r="P5" s="218"/>
      <c r="Q5" s="218"/>
      <c r="R5" s="219">
        <f t="shared" si="0"/>
        <v>0</v>
      </c>
    </row>
    <row r="6" spans="2:18" ht="36" customHeight="1" x14ac:dyDescent="0.2">
      <c r="B6" s="215"/>
      <c r="C6" s="216">
        <v>611130</v>
      </c>
      <c r="D6" s="261" t="s">
        <v>629</v>
      </c>
      <c r="E6" s="217" t="e">
        <f t="shared" si="1"/>
        <v>#DIV/0!</v>
      </c>
      <c r="F6" s="257"/>
      <c r="G6" s="257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9">
        <f t="shared" si="0"/>
        <v>0</v>
      </c>
    </row>
    <row r="7" spans="2:18" ht="36" customHeight="1" x14ac:dyDescent="0.2">
      <c r="B7" s="215"/>
      <c r="C7" s="216">
        <v>611050</v>
      </c>
      <c r="D7" s="261" t="s">
        <v>630</v>
      </c>
      <c r="E7" s="217" t="e">
        <f t="shared" si="1"/>
        <v>#DIV/0!</v>
      </c>
      <c r="F7" s="257"/>
      <c r="G7" s="257"/>
      <c r="H7" s="218"/>
      <c r="I7" s="218"/>
      <c r="J7" s="218"/>
      <c r="K7" s="218"/>
      <c r="L7" s="218"/>
      <c r="M7" s="218"/>
      <c r="N7" s="218"/>
      <c r="O7" s="218"/>
      <c r="P7" s="218"/>
      <c r="Q7" s="218"/>
      <c r="R7" s="219">
        <f t="shared" si="0"/>
        <v>0</v>
      </c>
    </row>
    <row r="8" spans="2:18" ht="36" customHeight="1" x14ac:dyDescent="0.2">
      <c r="B8" s="215"/>
      <c r="C8" s="827"/>
      <c r="D8" s="261" t="s">
        <v>631</v>
      </c>
      <c r="E8" s="217" t="e">
        <f t="shared" si="1"/>
        <v>#DIV/0!</v>
      </c>
      <c r="F8" s="257"/>
      <c r="G8" s="257"/>
      <c r="H8" s="218"/>
      <c r="I8" s="257"/>
      <c r="J8" s="218"/>
      <c r="K8" s="218"/>
      <c r="L8" s="218"/>
      <c r="M8" s="218"/>
      <c r="N8" s="218"/>
      <c r="O8" s="218"/>
      <c r="P8" s="218"/>
      <c r="Q8" s="218"/>
      <c r="R8" s="219">
        <f t="shared" si="0"/>
        <v>0</v>
      </c>
    </row>
    <row r="9" spans="2:18" ht="45" customHeight="1" x14ac:dyDescent="0.2">
      <c r="B9" s="215"/>
      <c r="C9" s="827">
        <v>611270</v>
      </c>
      <c r="D9" s="445" t="s">
        <v>632</v>
      </c>
      <c r="E9" s="217" t="e">
        <f t="shared" si="1"/>
        <v>#DIV/0!</v>
      </c>
      <c r="F9" s="257"/>
      <c r="G9" s="257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9">
        <f t="shared" si="0"/>
        <v>0</v>
      </c>
    </row>
    <row r="10" spans="2:18" ht="36" customHeight="1" x14ac:dyDescent="0.2">
      <c r="B10" s="215"/>
      <c r="C10" s="216">
        <v>611550</v>
      </c>
      <c r="D10" s="261" t="s">
        <v>633</v>
      </c>
      <c r="E10" s="217" t="e">
        <f t="shared" si="1"/>
        <v>#DIV/0!</v>
      </c>
      <c r="F10" s="257"/>
      <c r="G10" s="257"/>
      <c r="H10" s="220"/>
      <c r="I10" s="220"/>
      <c r="J10" s="220"/>
      <c r="K10" s="220"/>
      <c r="L10" s="220"/>
      <c r="M10" s="220"/>
      <c r="N10" s="220"/>
      <c r="O10" s="220"/>
      <c r="P10" s="220"/>
      <c r="Q10" s="218"/>
      <c r="R10" s="219">
        <f t="shared" si="0"/>
        <v>0</v>
      </c>
    </row>
    <row r="11" spans="2:18" ht="36" customHeight="1" x14ac:dyDescent="0.2">
      <c r="B11" s="215"/>
      <c r="C11" s="216" t="s">
        <v>634</v>
      </c>
      <c r="D11" s="261" t="s">
        <v>635</v>
      </c>
      <c r="E11" s="217" t="e">
        <f t="shared" si="1"/>
        <v>#DIV/0!</v>
      </c>
      <c r="F11" s="257"/>
      <c r="G11" s="257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9">
        <f t="shared" si="0"/>
        <v>0</v>
      </c>
    </row>
    <row r="12" spans="2:18" ht="36" customHeight="1" x14ac:dyDescent="0.2">
      <c r="B12" s="215"/>
      <c r="C12" s="216">
        <v>611150</v>
      </c>
      <c r="D12" s="261" t="s">
        <v>636</v>
      </c>
      <c r="E12" s="217" t="e">
        <f t="shared" si="1"/>
        <v>#DIV/0!</v>
      </c>
      <c r="F12" s="257"/>
      <c r="G12" s="257"/>
      <c r="H12" s="218"/>
      <c r="I12" s="218"/>
      <c r="J12" s="218"/>
      <c r="K12" s="218"/>
      <c r="L12" s="218"/>
      <c r="M12" s="218"/>
      <c r="N12" s="258"/>
      <c r="O12" s="218"/>
      <c r="P12" s="218"/>
      <c r="Q12" s="218"/>
      <c r="R12" s="219">
        <f t="shared" si="0"/>
        <v>0</v>
      </c>
    </row>
    <row r="13" spans="2:18" ht="55" customHeight="1" x14ac:dyDescent="0.2">
      <c r="B13" s="215"/>
      <c r="C13" s="216">
        <v>61160</v>
      </c>
      <c r="D13" s="261" t="s">
        <v>637</v>
      </c>
      <c r="E13" s="217" t="e">
        <f t="shared" si="1"/>
        <v>#DIV/0!</v>
      </c>
      <c r="F13" s="257"/>
      <c r="G13" s="257"/>
      <c r="H13" s="221"/>
      <c r="I13" s="221"/>
      <c r="J13" s="221"/>
      <c r="K13" s="221"/>
      <c r="L13" s="218"/>
      <c r="M13" s="218"/>
      <c r="N13" s="218"/>
      <c r="O13" s="218"/>
      <c r="P13" s="218"/>
      <c r="Q13" s="218"/>
      <c r="R13" s="219">
        <f t="shared" si="0"/>
        <v>0</v>
      </c>
    </row>
    <row r="14" spans="2:18" ht="59" customHeight="1" x14ac:dyDescent="0.2">
      <c r="B14" s="215"/>
      <c r="C14" s="216" t="s">
        <v>638</v>
      </c>
      <c r="D14" s="261" t="s">
        <v>639</v>
      </c>
      <c r="E14" s="217" t="e">
        <f t="shared" si="1"/>
        <v>#DIV/0!</v>
      </c>
      <c r="F14" s="257"/>
      <c r="G14" s="257"/>
      <c r="H14" s="221"/>
      <c r="I14" s="221"/>
      <c r="J14" s="221"/>
      <c r="K14" s="221"/>
      <c r="L14" s="218"/>
      <c r="M14" s="218"/>
      <c r="N14" s="218"/>
      <c r="O14" s="218"/>
      <c r="P14" s="218"/>
      <c r="Q14" s="218"/>
      <c r="R14" s="219">
        <f t="shared" si="0"/>
        <v>0</v>
      </c>
    </row>
    <row r="15" spans="2:18" ht="36" customHeight="1" x14ac:dyDescent="0.2">
      <c r="B15" s="215"/>
      <c r="C15" s="216">
        <v>611210</v>
      </c>
      <c r="D15" s="261" t="s">
        <v>640</v>
      </c>
      <c r="E15" s="217" t="e">
        <f t="shared" si="1"/>
        <v>#DIV/0!</v>
      </c>
      <c r="F15" s="257"/>
      <c r="G15" s="257"/>
      <c r="H15" s="218"/>
      <c r="I15" s="218"/>
      <c r="J15" s="218"/>
      <c r="K15" s="218"/>
      <c r="L15" s="221"/>
      <c r="M15" s="218"/>
      <c r="N15" s="218"/>
      <c r="O15" s="277"/>
      <c r="P15" s="218"/>
      <c r="Q15" s="218"/>
      <c r="R15" s="219">
        <f t="shared" si="0"/>
        <v>0</v>
      </c>
    </row>
    <row r="16" spans="2:18" ht="36" customHeight="1" x14ac:dyDescent="0.2">
      <c r="B16" s="215"/>
      <c r="C16" s="216" t="s">
        <v>641</v>
      </c>
      <c r="D16" s="261" t="s">
        <v>642</v>
      </c>
      <c r="E16" s="217" t="e">
        <f t="shared" si="1"/>
        <v>#DIV/0!</v>
      </c>
      <c r="F16" s="257"/>
      <c r="G16" s="257"/>
      <c r="H16" s="218"/>
      <c r="I16" s="218"/>
      <c r="J16" s="218"/>
      <c r="K16" s="218"/>
      <c r="L16" s="221"/>
      <c r="M16" s="218"/>
      <c r="N16" s="218"/>
      <c r="O16" s="218"/>
      <c r="P16" s="218"/>
      <c r="Q16" s="218"/>
      <c r="R16" s="219">
        <f t="shared" si="0"/>
        <v>0</v>
      </c>
    </row>
    <row r="17" spans="2:18" ht="36" customHeight="1" x14ac:dyDescent="0.2">
      <c r="B17" s="215"/>
      <c r="C17" s="216" t="s">
        <v>643</v>
      </c>
      <c r="D17" s="261" t="s">
        <v>644</v>
      </c>
      <c r="E17" s="217" t="e">
        <f t="shared" si="1"/>
        <v>#DIV/0!</v>
      </c>
      <c r="F17" s="257"/>
      <c r="G17" s="257"/>
      <c r="H17" s="218"/>
      <c r="I17" s="218"/>
      <c r="J17" s="218"/>
      <c r="K17" s="218"/>
      <c r="L17" s="221"/>
      <c r="M17" s="218"/>
      <c r="N17" s="218"/>
      <c r="O17" s="218"/>
      <c r="P17" s="218"/>
      <c r="Q17" s="218"/>
      <c r="R17" s="219">
        <f t="shared" si="0"/>
        <v>0</v>
      </c>
    </row>
    <row r="18" spans="2:18" ht="36" customHeight="1" x14ac:dyDescent="0.2">
      <c r="B18" s="222"/>
      <c r="C18" s="216" t="s">
        <v>645</v>
      </c>
      <c r="D18" s="261" t="s">
        <v>646</v>
      </c>
      <c r="E18" s="217" t="e">
        <f t="shared" si="1"/>
        <v>#DIV/0!</v>
      </c>
      <c r="F18" s="257"/>
      <c r="G18" s="257"/>
      <c r="H18" s="221"/>
      <c r="I18" s="221"/>
      <c r="J18" s="221"/>
      <c r="K18" s="221"/>
      <c r="L18" s="218"/>
      <c r="M18" s="218"/>
      <c r="N18" s="218"/>
      <c r="O18" s="218"/>
      <c r="P18" s="218"/>
      <c r="Q18" s="218"/>
      <c r="R18" s="219">
        <f t="shared" si="0"/>
        <v>0</v>
      </c>
    </row>
    <row r="19" spans="2:18" ht="36" customHeight="1" x14ac:dyDescent="0.2">
      <c r="B19" s="215"/>
      <c r="C19" s="216">
        <v>611570</v>
      </c>
      <c r="D19" s="261" t="s">
        <v>647</v>
      </c>
      <c r="E19" s="217" t="e">
        <f t="shared" si="1"/>
        <v>#DIV/0!</v>
      </c>
      <c r="F19" s="257"/>
      <c r="G19" s="257"/>
      <c r="H19" s="221"/>
      <c r="I19" s="221"/>
      <c r="J19" s="221"/>
      <c r="K19" s="221"/>
      <c r="L19" s="218"/>
      <c r="M19" s="218"/>
      <c r="N19" s="218"/>
      <c r="O19" s="218"/>
      <c r="P19" s="218"/>
      <c r="Q19" s="218"/>
      <c r="R19" s="219">
        <f t="shared" si="0"/>
        <v>0</v>
      </c>
    </row>
    <row r="20" spans="2:18" ht="36" customHeight="1" x14ac:dyDescent="0.2">
      <c r="B20" s="215"/>
      <c r="C20" s="216" t="s">
        <v>648</v>
      </c>
      <c r="D20" s="261" t="s">
        <v>649</v>
      </c>
      <c r="E20" s="217" t="e">
        <f t="shared" si="1"/>
        <v>#DIV/0!</v>
      </c>
      <c r="F20" s="257"/>
      <c r="G20" s="257"/>
      <c r="H20" s="221"/>
      <c r="I20" s="221"/>
      <c r="J20" s="221"/>
      <c r="K20" s="221"/>
      <c r="L20" s="218"/>
      <c r="M20" s="218"/>
      <c r="N20" s="218"/>
      <c r="O20" s="221"/>
      <c r="P20" s="221"/>
      <c r="Q20" s="221"/>
      <c r="R20" s="219">
        <f t="shared" si="0"/>
        <v>0</v>
      </c>
    </row>
    <row r="21" spans="2:18" ht="36" customHeight="1" x14ac:dyDescent="0.2">
      <c r="B21" s="215"/>
      <c r="C21" s="216" t="s">
        <v>650</v>
      </c>
      <c r="D21" s="261" t="s">
        <v>651</v>
      </c>
      <c r="E21" s="217" t="e">
        <f t="shared" si="1"/>
        <v>#DIV/0!</v>
      </c>
      <c r="F21" s="257"/>
      <c r="G21" s="257"/>
      <c r="H21" s="221"/>
      <c r="I21" s="221"/>
      <c r="J21" s="221"/>
      <c r="K21" s="221"/>
      <c r="L21" s="218"/>
      <c r="M21" s="218"/>
      <c r="N21" s="218"/>
      <c r="O21" s="221"/>
      <c r="P21" s="221"/>
      <c r="Q21" s="221"/>
      <c r="R21" s="219">
        <f t="shared" si="0"/>
        <v>0</v>
      </c>
    </row>
    <row r="22" spans="2:18" ht="36" customHeight="1" x14ac:dyDescent="0.2">
      <c r="B22" s="215"/>
      <c r="C22" s="223" t="s">
        <v>652</v>
      </c>
      <c r="D22" s="261" t="s">
        <v>653</v>
      </c>
      <c r="E22" s="217" t="e">
        <f t="shared" si="1"/>
        <v>#DIV/0!</v>
      </c>
      <c r="F22" s="257"/>
      <c r="G22" s="257"/>
      <c r="H22" s="221"/>
      <c r="I22" s="221"/>
      <c r="J22" s="221"/>
      <c r="K22" s="221"/>
      <c r="L22" s="218"/>
      <c r="M22" s="218"/>
      <c r="N22" s="218"/>
      <c r="O22" s="221"/>
      <c r="P22" s="221"/>
      <c r="Q22" s="221"/>
      <c r="R22" s="219">
        <f t="shared" si="0"/>
        <v>0</v>
      </c>
    </row>
    <row r="23" spans="2:18" ht="36" customHeight="1" x14ac:dyDescent="0.2">
      <c r="B23" s="215"/>
      <c r="C23" s="216" t="s">
        <v>654</v>
      </c>
      <c r="D23" s="261" t="s">
        <v>655</v>
      </c>
      <c r="E23" s="217" t="e">
        <f t="shared" si="1"/>
        <v>#DIV/0!</v>
      </c>
      <c r="F23" s="257"/>
      <c r="G23" s="257"/>
      <c r="H23" s="221"/>
      <c r="I23" s="221"/>
      <c r="J23" s="221"/>
      <c r="K23" s="221"/>
      <c r="L23" s="224"/>
      <c r="M23" s="218"/>
      <c r="N23" s="218"/>
      <c r="O23" s="221"/>
      <c r="P23" s="221"/>
      <c r="Q23" s="221"/>
      <c r="R23" s="219">
        <f t="shared" si="0"/>
        <v>0</v>
      </c>
    </row>
    <row r="24" spans="2:18" ht="36" customHeight="1" x14ac:dyDescent="0.2">
      <c r="B24" s="215"/>
      <c r="C24" s="216" t="s">
        <v>656</v>
      </c>
      <c r="D24" s="261" t="s">
        <v>657</v>
      </c>
      <c r="E24" s="217" t="e">
        <f t="shared" si="1"/>
        <v>#DIV/0!</v>
      </c>
      <c r="F24" s="257"/>
      <c r="G24" s="257"/>
      <c r="H24" s="221"/>
      <c r="I24" s="221"/>
      <c r="J24" s="221"/>
      <c r="K24" s="221"/>
      <c r="L24" s="218"/>
      <c r="M24" s="218"/>
      <c r="N24" s="218"/>
      <c r="O24" s="221"/>
      <c r="P24" s="221"/>
      <c r="Q24" s="221"/>
      <c r="R24" s="219">
        <f t="shared" si="0"/>
        <v>0</v>
      </c>
    </row>
    <row r="25" spans="2:18" ht="44" customHeight="1" x14ac:dyDescent="0.2">
      <c r="B25" s="215"/>
      <c r="C25" s="216" t="s">
        <v>658</v>
      </c>
      <c r="D25" s="261" t="s">
        <v>659</v>
      </c>
      <c r="E25" s="217" t="e">
        <f t="shared" si="1"/>
        <v>#DIV/0!</v>
      </c>
      <c r="F25" s="257"/>
      <c r="G25" s="257"/>
      <c r="H25" s="218"/>
      <c r="I25" s="218"/>
      <c r="J25" s="218"/>
      <c r="K25" s="218"/>
      <c r="L25" s="218"/>
      <c r="M25" s="221"/>
      <c r="N25" s="218"/>
      <c r="O25" s="218"/>
      <c r="P25" s="221"/>
      <c r="Q25" s="1242"/>
      <c r="R25" s="219">
        <f t="shared" si="0"/>
        <v>0</v>
      </c>
    </row>
    <row r="26" spans="2:18" ht="36" customHeight="1" x14ac:dyDescent="0.2">
      <c r="B26" s="215"/>
      <c r="C26" s="216" t="s">
        <v>660</v>
      </c>
      <c r="D26" s="261" t="s">
        <v>661</v>
      </c>
      <c r="E26" s="217" t="e">
        <f t="shared" si="1"/>
        <v>#DIV/0!</v>
      </c>
      <c r="F26" s="257"/>
      <c r="G26" s="257"/>
      <c r="H26" s="218"/>
      <c r="I26" s="218"/>
      <c r="J26" s="218"/>
      <c r="K26" s="218"/>
      <c r="L26" s="221"/>
      <c r="M26" s="218"/>
      <c r="N26" s="218"/>
      <c r="O26" s="218"/>
      <c r="P26" s="218"/>
      <c r="Q26" s="1243"/>
      <c r="R26" s="219">
        <f t="shared" si="0"/>
        <v>0</v>
      </c>
    </row>
    <row r="27" spans="2:18" ht="36" customHeight="1" x14ac:dyDescent="0.2">
      <c r="B27" s="215"/>
      <c r="C27" s="216">
        <v>611587</v>
      </c>
      <c r="D27" s="261" t="s">
        <v>662</v>
      </c>
      <c r="E27" s="217" t="e">
        <f t="shared" si="1"/>
        <v>#DIV/0!</v>
      </c>
      <c r="F27" s="257"/>
      <c r="G27" s="257"/>
      <c r="H27" s="218"/>
      <c r="I27" s="218"/>
      <c r="J27" s="218"/>
      <c r="K27" s="218"/>
      <c r="L27" s="221"/>
      <c r="M27" s="218"/>
      <c r="N27" s="218"/>
      <c r="O27" s="218"/>
      <c r="P27" s="218"/>
      <c r="Q27" s="1244"/>
      <c r="R27" s="219">
        <f t="shared" si="0"/>
        <v>0</v>
      </c>
    </row>
    <row r="28" spans="2:18" ht="36" customHeight="1" x14ac:dyDescent="0.2">
      <c r="B28" s="215"/>
      <c r="C28" s="216" t="s">
        <v>663</v>
      </c>
      <c r="D28" s="261" t="s">
        <v>664</v>
      </c>
      <c r="E28" s="217" t="e">
        <f t="shared" si="1"/>
        <v>#DIV/0!</v>
      </c>
      <c r="F28" s="257"/>
      <c r="G28" s="257"/>
      <c r="H28" s="218"/>
      <c r="I28" s="218"/>
      <c r="J28" s="218"/>
      <c r="K28" s="218"/>
      <c r="L28" s="221"/>
      <c r="M28" s="218"/>
      <c r="N28" s="218"/>
      <c r="O28" s="218"/>
      <c r="P28" s="218"/>
      <c r="Q28" s="218"/>
      <c r="R28" s="219">
        <f t="shared" si="0"/>
        <v>0</v>
      </c>
    </row>
    <row r="29" spans="2:18" ht="36" customHeight="1" x14ac:dyDescent="0.2">
      <c r="B29" s="215"/>
      <c r="C29" s="216" t="s">
        <v>665</v>
      </c>
      <c r="D29" s="261" t="s">
        <v>666</v>
      </c>
      <c r="E29" s="217" t="e">
        <f t="shared" si="1"/>
        <v>#DIV/0!</v>
      </c>
      <c r="F29" s="257"/>
      <c r="G29" s="257"/>
      <c r="H29" s="218"/>
      <c r="I29" s="218"/>
      <c r="J29" s="218"/>
      <c r="K29" s="218"/>
      <c r="L29" s="221"/>
      <c r="M29" s="218"/>
      <c r="N29" s="218"/>
      <c r="O29" s="218"/>
      <c r="P29" s="218"/>
      <c r="Q29" s="218"/>
      <c r="R29" s="219">
        <f t="shared" si="0"/>
        <v>0</v>
      </c>
    </row>
    <row r="30" spans="2:18" ht="36" customHeight="1" x14ac:dyDescent="0.2">
      <c r="B30" s="215"/>
      <c r="C30" s="216" t="s">
        <v>667</v>
      </c>
      <c r="D30" s="261" t="s">
        <v>668</v>
      </c>
      <c r="E30" s="217" t="e">
        <f t="shared" si="1"/>
        <v>#DIV/0!</v>
      </c>
      <c r="F30" s="257"/>
      <c r="G30" s="257"/>
      <c r="H30" s="221"/>
      <c r="I30" s="221"/>
      <c r="J30" s="221"/>
      <c r="K30" s="221"/>
      <c r="L30" s="218"/>
      <c r="M30" s="218"/>
      <c r="N30" s="218"/>
      <c r="O30" s="218"/>
      <c r="P30" s="218"/>
      <c r="Q30" s="218"/>
      <c r="R30" s="219">
        <f t="shared" si="0"/>
        <v>0</v>
      </c>
    </row>
    <row r="31" spans="2:18" ht="36" customHeight="1" x14ac:dyDescent="0.2">
      <c r="B31" s="215"/>
      <c r="C31" s="216">
        <v>61180</v>
      </c>
      <c r="D31" s="261" t="s">
        <v>669</v>
      </c>
      <c r="E31" s="217" t="e">
        <f t="shared" si="1"/>
        <v>#DIV/0!</v>
      </c>
      <c r="F31" s="257"/>
      <c r="G31" s="257"/>
      <c r="H31" s="221"/>
      <c r="I31" s="221"/>
      <c r="J31" s="221"/>
      <c r="K31" s="221"/>
      <c r="L31" s="218"/>
      <c r="M31" s="218"/>
      <c r="N31" s="218"/>
      <c r="O31" s="218"/>
      <c r="P31" s="218"/>
      <c r="Q31" s="218"/>
      <c r="R31" s="219">
        <f t="shared" si="0"/>
        <v>0</v>
      </c>
    </row>
    <row r="32" spans="2:18" ht="36" customHeight="1" x14ac:dyDescent="0.2">
      <c r="B32" s="215"/>
      <c r="C32" s="216">
        <v>611565</v>
      </c>
      <c r="D32" s="261" t="s">
        <v>670</v>
      </c>
      <c r="E32" s="217" t="e">
        <f t="shared" si="1"/>
        <v>#DIV/0!</v>
      </c>
      <c r="F32" s="257"/>
      <c r="G32" s="257"/>
      <c r="H32" s="221"/>
      <c r="I32" s="221"/>
      <c r="J32" s="221"/>
      <c r="K32" s="221"/>
      <c r="L32" s="218"/>
      <c r="M32" s="218"/>
      <c r="N32" s="218"/>
      <c r="O32" s="218"/>
      <c r="P32" s="218"/>
      <c r="Q32" s="218"/>
      <c r="R32" s="219">
        <f t="shared" si="0"/>
        <v>0</v>
      </c>
    </row>
    <row r="33" spans="2:18" ht="46" customHeight="1" x14ac:dyDescent="0.2">
      <c r="B33" s="262" t="s">
        <v>671</v>
      </c>
      <c r="C33" s="216" t="s">
        <v>672</v>
      </c>
      <c r="D33" s="261" t="s">
        <v>673</v>
      </c>
      <c r="E33" s="217" t="e">
        <f t="shared" si="1"/>
        <v>#DIV/0!</v>
      </c>
      <c r="F33" s="257"/>
      <c r="G33" s="257"/>
      <c r="H33" s="221"/>
      <c r="I33" s="221"/>
      <c r="J33" s="221"/>
      <c r="K33" s="221"/>
      <c r="L33" s="218"/>
      <c r="M33" s="218"/>
      <c r="N33" s="218"/>
      <c r="O33" s="221"/>
      <c r="P33" s="221"/>
      <c r="Q33" s="221"/>
      <c r="R33" s="219">
        <f t="shared" si="0"/>
        <v>0</v>
      </c>
    </row>
    <row r="34" spans="2:18" ht="46" customHeight="1" x14ac:dyDescent="0.2">
      <c r="B34" s="262" t="s">
        <v>671</v>
      </c>
      <c r="C34" s="216" t="s">
        <v>674</v>
      </c>
      <c r="D34" s="261" t="s">
        <v>675</v>
      </c>
      <c r="E34" s="217" t="e">
        <f>AVERAGE(F34:Q34)</f>
        <v>#DIV/0!</v>
      </c>
      <c r="F34" s="257"/>
      <c r="G34" s="257"/>
      <c r="H34" s="221"/>
      <c r="I34" s="221"/>
      <c r="J34" s="221"/>
      <c r="K34" s="221"/>
      <c r="L34" s="218"/>
      <c r="M34" s="218"/>
      <c r="N34" s="218"/>
      <c r="O34" s="221"/>
      <c r="P34" s="221"/>
      <c r="Q34" s="221"/>
      <c r="R34" s="219">
        <f>SUM(F34:Q34)</f>
        <v>0</v>
      </c>
    </row>
    <row r="35" spans="2:18" ht="46" customHeight="1" x14ac:dyDescent="0.2">
      <c r="B35" s="262" t="s">
        <v>671</v>
      </c>
      <c r="C35" s="216" t="s">
        <v>676</v>
      </c>
      <c r="D35" s="261" t="s">
        <v>677</v>
      </c>
      <c r="E35" s="217" t="e">
        <f t="shared" si="1"/>
        <v>#DIV/0!</v>
      </c>
      <c r="F35" s="257"/>
      <c r="G35" s="257"/>
      <c r="H35" s="221"/>
      <c r="I35" s="221"/>
      <c r="J35" s="221"/>
      <c r="K35" s="221"/>
      <c r="L35" s="218"/>
      <c r="M35" s="218"/>
      <c r="N35" s="218"/>
      <c r="O35" s="221"/>
      <c r="P35" s="221"/>
      <c r="Q35" s="221"/>
      <c r="R35" s="219">
        <f t="shared" si="0"/>
        <v>0</v>
      </c>
    </row>
    <row r="36" spans="2:18" ht="46" customHeight="1" x14ac:dyDescent="0.2">
      <c r="B36" s="262" t="s">
        <v>671</v>
      </c>
      <c r="C36" s="216">
        <v>500050</v>
      </c>
      <c r="D36" s="261" t="s">
        <v>678</v>
      </c>
      <c r="E36" s="217" t="e">
        <f t="shared" si="1"/>
        <v>#DIV/0!</v>
      </c>
      <c r="F36" s="257"/>
      <c r="G36" s="257"/>
      <c r="H36" s="221"/>
      <c r="I36" s="221"/>
      <c r="J36" s="221"/>
      <c r="K36" s="221"/>
      <c r="L36" s="218"/>
      <c r="M36" s="218"/>
      <c r="N36" s="218"/>
      <c r="O36" s="221"/>
      <c r="P36" s="221"/>
      <c r="Q36" s="221"/>
      <c r="R36" s="219">
        <f t="shared" si="0"/>
        <v>0</v>
      </c>
    </row>
    <row r="37" spans="2:18" ht="46" customHeight="1" x14ac:dyDescent="0.2">
      <c r="B37" s="262" t="s">
        <v>671</v>
      </c>
      <c r="C37" s="216" t="s">
        <v>679</v>
      </c>
      <c r="D37" s="261" t="s">
        <v>680</v>
      </c>
      <c r="E37" s="217" t="e">
        <f t="shared" si="1"/>
        <v>#DIV/0!</v>
      </c>
      <c r="F37" s="257"/>
      <c r="G37" s="257"/>
      <c r="H37" s="221"/>
      <c r="I37" s="221"/>
      <c r="J37" s="221"/>
      <c r="K37" s="221"/>
      <c r="L37" s="218"/>
      <c r="M37" s="277"/>
      <c r="N37" s="218"/>
      <c r="O37" s="442"/>
      <c r="P37" s="221"/>
      <c r="Q37" s="221"/>
      <c r="R37" s="219">
        <f t="shared" si="0"/>
        <v>0</v>
      </c>
    </row>
    <row r="38" spans="2:18" ht="36" customHeight="1" thickBot="1" x14ac:dyDescent="0.25">
      <c r="B38" s="1245" t="s">
        <v>681</v>
      </c>
      <c r="C38" s="1246"/>
      <c r="D38" s="1247"/>
      <c r="E38" s="225" t="e">
        <f t="shared" ref="E38:R38" si="2">SUM(E3:E37)</f>
        <v>#DIV/0!</v>
      </c>
      <c r="F38" s="225">
        <f t="shared" si="2"/>
        <v>0</v>
      </c>
      <c r="G38" s="225">
        <f t="shared" si="2"/>
        <v>0</v>
      </c>
      <c r="H38" s="225">
        <f t="shared" si="2"/>
        <v>0</v>
      </c>
      <c r="I38" s="225">
        <f t="shared" si="2"/>
        <v>0</v>
      </c>
      <c r="J38" s="225">
        <f t="shared" si="2"/>
        <v>0</v>
      </c>
      <c r="K38" s="225">
        <f t="shared" si="2"/>
        <v>0</v>
      </c>
      <c r="L38" s="225">
        <f t="shared" si="2"/>
        <v>0</v>
      </c>
      <c r="M38" s="225">
        <f t="shared" si="2"/>
        <v>0</v>
      </c>
      <c r="N38" s="225">
        <f t="shared" si="2"/>
        <v>0</v>
      </c>
      <c r="O38" s="225">
        <f t="shared" si="2"/>
        <v>0</v>
      </c>
      <c r="P38" s="225">
        <f t="shared" si="2"/>
        <v>0</v>
      </c>
      <c r="Q38" s="225">
        <f t="shared" si="2"/>
        <v>0</v>
      </c>
      <c r="R38" s="226">
        <f t="shared" si="2"/>
        <v>0</v>
      </c>
    </row>
    <row r="41" spans="2:18" ht="16" thickBot="1" x14ac:dyDescent="0.25"/>
    <row r="42" spans="2:18" ht="48" x14ac:dyDescent="0.2">
      <c r="C42" s="211" t="s">
        <v>623</v>
      </c>
      <c r="D42" s="212" t="s">
        <v>624</v>
      </c>
      <c r="E42" s="213" t="s">
        <v>625</v>
      </c>
      <c r="F42" s="212" t="s">
        <v>270</v>
      </c>
      <c r="G42" s="212" t="s">
        <v>263</v>
      </c>
      <c r="H42" s="212" t="s">
        <v>264</v>
      </c>
      <c r="I42" s="212" t="s">
        <v>265</v>
      </c>
      <c r="J42" s="212" t="s">
        <v>266</v>
      </c>
      <c r="K42" s="212" t="s">
        <v>267</v>
      </c>
      <c r="L42" s="212" t="s">
        <v>268</v>
      </c>
      <c r="M42" s="212" t="s">
        <v>258</v>
      </c>
      <c r="N42" s="212" t="s">
        <v>259</v>
      </c>
      <c r="O42" s="212" t="s">
        <v>260</v>
      </c>
      <c r="P42" s="212" t="s">
        <v>130</v>
      </c>
      <c r="Q42" s="212" t="s">
        <v>261</v>
      </c>
      <c r="R42" s="214" t="s">
        <v>397</v>
      </c>
    </row>
    <row r="43" spans="2:18" ht="58" customHeight="1" thickBot="1" x14ac:dyDescent="0.25">
      <c r="C43" s="41"/>
      <c r="D43" s="272" t="s">
        <v>682</v>
      </c>
      <c r="E43" s="276"/>
      <c r="F43" s="274"/>
      <c r="G43" s="274"/>
      <c r="H43" s="274"/>
      <c r="I43" s="274"/>
      <c r="J43" s="274"/>
      <c r="K43" s="274"/>
      <c r="L43" s="274"/>
      <c r="M43" s="274"/>
      <c r="N43" s="438"/>
      <c r="O43" s="274"/>
      <c r="P43" s="274"/>
      <c r="Q43" s="274"/>
      <c r="R43" s="273">
        <f>SUM(F43:Q43)</f>
        <v>0</v>
      </c>
    </row>
    <row r="44" spans="2:18" ht="16" thickBot="1" x14ac:dyDescent="0.25"/>
    <row r="45" spans="2:18" ht="38" customHeight="1" thickBot="1" x14ac:dyDescent="0.25">
      <c r="D45" s="1248" t="s">
        <v>683</v>
      </c>
      <c r="E45" s="1249"/>
      <c r="F45" s="528">
        <f>F37+F43</f>
        <v>0</v>
      </c>
      <c r="G45" s="528">
        <f t="shared" ref="G45:Q45" si="3">G37+G43</f>
        <v>0</v>
      </c>
      <c r="H45" s="528">
        <f t="shared" si="3"/>
        <v>0</v>
      </c>
      <c r="I45" s="528">
        <f t="shared" si="3"/>
        <v>0</v>
      </c>
      <c r="J45" s="528">
        <f t="shared" si="3"/>
        <v>0</v>
      </c>
      <c r="K45" s="528">
        <f>K37+K43</f>
        <v>0</v>
      </c>
      <c r="L45" s="528">
        <f>L37+L43</f>
        <v>0</v>
      </c>
      <c r="M45" s="528">
        <f t="shared" si="3"/>
        <v>0</v>
      </c>
      <c r="N45" s="528">
        <f t="shared" si="3"/>
        <v>0</v>
      </c>
      <c r="O45" s="528">
        <f t="shared" si="3"/>
        <v>0</v>
      </c>
      <c r="P45" s="528">
        <f t="shared" si="3"/>
        <v>0</v>
      </c>
      <c r="Q45" s="528">
        <f t="shared" si="3"/>
        <v>0</v>
      </c>
      <c r="R45" s="529">
        <f>SUM(F45:Q45)</f>
        <v>0</v>
      </c>
    </row>
    <row r="46" spans="2:18" ht="38" customHeight="1" x14ac:dyDescent="0.2">
      <c r="K46" s="260"/>
    </row>
    <row r="47" spans="2:18" x14ac:dyDescent="0.2">
      <c r="D47"/>
      <c r="E47" s="137"/>
      <c r="F47" s="203"/>
    </row>
    <row r="51" spans="3:8" ht="18" x14ac:dyDescent="0.2">
      <c r="C51" s="281"/>
      <c r="D51" s="281"/>
      <c r="E51" s="282"/>
      <c r="F51" s="282"/>
      <c r="G51" s="282"/>
      <c r="H51" s="282"/>
    </row>
    <row r="52" spans="3:8" ht="18" x14ac:dyDescent="0.2">
      <c r="C52" s="281"/>
      <c r="D52" s="281"/>
      <c r="E52" s="283"/>
      <c r="F52" s="284"/>
      <c r="G52" s="284"/>
      <c r="H52" s="285"/>
    </row>
    <row r="53" spans="3:8" ht="18" x14ac:dyDescent="0.2">
      <c r="C53" s="281"/>
      <c r="D53" s="281"/>
      <c r="E53" s="283"/>
      <c r="F53" s="284"/>
      <c r="G53" s="284"/>
      <c r="H53" s="285"/>
    </row>
  </sheetData>
  <mergeCells count="3">
    <mergeCell ref="Q25:Q27"/>
    <mergeCell ref="B38:D38"/>
    <mergeCell ref="D45:E4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F19F-646C-B24C-AE99-C6ACE3373CA9}">
  <sheetPr codeName="Sheet11"/>
  <dimension ref="A1:DS14"/>
  <sheetViews>
    <sheetView workbookViewId="0">
      <selection activeCell="DD33" sqref="DD33"/>
    </sheetView>
  </sheetViews>
  <sheetFormatPr baseColWidth="10" defaultColWidth="8.83203125" defaultRowHeight="15" x14ac:dyDescent="0.2"/>
  <cols>
    <col min="1" max="1" width="17" customWidth="1"/>
    <col min="2" max="5" width="6.33203125" hidden="1" customWidth="1"/>
    <col min="6" max="9" width="6.1640625" hidden="1" customWidth="1"/>
    <col min="10" max="18" width="6.5" hidden="1" customWidth="1"/>
    <col min="19" max="22" width="6" hidden="1" customWidth="1"/>
    <col min="23" max="31" width="6.33203125" hidden="1" customWidth="1"/>
    <col min="32" max="35" width="6" hidden="1" customWidth="1"/>
    <col min="36" max="40" width="6.5" hidden="1" customWidth="1"/>
    <col min="41" max="44" width="6" hidden="1" customWidth="1"/>
    <col min="45" max="48" width="5.5" hidden="1" customWidth="1"/>
    <col min="49" max="57" width="6.33203125" hidden="1" customWidth="1"/>
    <col min="58" max="61" width="6.1640625" hidden="1" customWidth="1"/>
    <col min="62" max="70" width="6.5" hidden="1" customWidth="1"/>
    <col min="71" max="75" width="6" hidden="1" customWidth="1"/>
    <col min="76" max="79" width="6.33203125" hidden="1" customWidth="1"/>
    <col min="80" max="83" width="6.33203125" bestFit="1" customWidth="1"/>
    <col min="84" max="87" width="6" bestFit="1" customWidth="1"/>
    <col min="88" max="92" width="6.5" bestFit="1" customWidth="1"/>
    <col min="93" max="96" width="6" bestFit="1" customWidth="1"/>
    <col min="97" max="100" width="5.5" bestFit="1" customWidth="1"/>
    <col min="101" max="109" width="6.33203125" bestFit="1" customWidth="1"/>
    <col min="110" max="114" width="6.1640625" bestFit="1" customWidth="1"/>
    <col min="115" max="122" width="6.5" bestFit="1" customWidth="1"/>
    <col min="123" max="123" width="6" bestFit="1" customWidth="1"/>
  </cols>
  <sheetData>
    <row r="1" spans="1:123" ht="16" thickBot="1" x14ac:dyDescent="0.25">
      <c r="A1" s="1" t="s">
        <v>551</v>
      </c>
      <c r="B1" s="6">
        <v>45905</v>
      </c>
      <c r="C1" s="6">
        <f>+B1+7</f>
        <v>45912</v>
      </c>
      <c r="D1" s="6">
        <f t="shared" ref="D1:BO1" si="0">+C1+7</f>
        <v>45919</v>
      </c>
      <c r="E1" s="6">
        <f t="shared" si="0"/>
        <v>45926</v>
      </c>
      <c r="F1" s="6">
        <f t="shared" si="0"/>
        <v>45933</v>
      </c>
      <c r="G1" s="6">
        <f t="shared" si="0"/>
        <v>45940</v>
      </c>
      <c r="H1" s="6">
        <f t="shared" si="0"/>
        <v>45947</v>
      </c>
      <c r="I1" s="6">
        <f t="shared" si="0"/>
        <v>45954</v>
      </c>
      <c r="J1" s="6">
        <f t="shared" si="0"/>
        <v>45961</v>
      </c>
      <c r="K1" s="6">
        <f t="shared" si="0"/>
        <v>45968</v>
      </c>
      <c r="L1" s="6">
        <f t="shared" si="0"/>
        <v>45975</v>
      </c>
      <c r="M1" s="6">
        <f t="shared" si="0"/>
        <v>45982</v>
      </c>
      <c r="N1" s="6">
        <f t="shared" si="0"/>
        <v>45989</v>
      </c>
      <c r="O1" s="6">
        <f t="shared" si="0"/>
        <v>45996</v>
      </c>
      <c r="P1" s="6">
        <f t="shared" si="0"/>
        <v>46003</v>
      </c>
      <c r="Q1" s="6">
        <f t="shared" si="0"/>
        <v>46010</v>
      </c>
      <c r="R1" s="209">
        <f t="shared" si="0"/>
        <v>46017</v>
      </c>
      <c r="S1" s="209">
        <f t="shared" si="0"/>
        <v>46024</v>
      </c>
      <c r="T1" s="6">
        <f t="shared" si="0"/>
        <v>46031</v>
      </c>
      <c r="U1" s="6">
        <f t="shared" si="0"/>
        <v>46038</v>
      </c>
      <c r="V1" s="6">
        <f t="shared" si="0"/>
        <v>46045</v>
      </c>
      <c r="W1" s="7">
        <f t="shared" si="0"/>
        <v>46052</v>
      </c>
      <c r="X1" s="7">
        <f t="shared" si="0"/>
        <v>46059</v>
      </c>
      <c r="Y1" s="6">
        <f t="shared" si="0"/>
        <v>46066</v>
      </c>
      <c r="Z1" s="6">
        <f t="shared" si="0"/>
        <v>46073</v>
      </c>
      <c r="AA1" s="6">
        <f t="shared" si="0"/>
        <v>46080</v>
      </c>
      <c r="AB1" s="6">
        <f t="shared" si="0"/>
        <v>46087</v>
      </c>
      <c r="AC1" s="6">
        <f t="shared" si="0"/>
        <v>46094</v>
      </c>
      <c r="AD1" s="6">
        <f t="shared" si="0"/>
        <v>46101</v>
      </c>
      <c r="AE1" s="6">
        <f t="shared" si="0"/>
        <v>46108</v>
      </c>
      <c r="AF1" s="6">
        <f t="shared" si="0"/>
        <v>46115</v>
      </c>
      <c r="AG1" s="6">
        <f t="shared" si="0"/>
        <v>46122</v>
      </c>
      <c r="AH1" s="6">
        <f t="shared" si="0"/>
        <v>46129</v>
      </c>
      <c r="AI1" s="6">
        <f t="shared" si="0"/>
        <v>46136</v>
      </c>
      <c r="AJ1" s="6">
        <f t="shared" si="0"/>
        <v>46143</v>
      </c>
      <c r="AK1" s="6">
        <f t="shared" si="0"/>
        <v>46150</v>
      </c>
      <c r="AL1" s="6">
        <f t="shared" si="0"/>
        <v>46157</v>
      </c>
      <c r="AM1" s="8">
        <f t="shared" si="0"/>
        <v>46164</v>
      </c>
      <c r="AN1" s="6">
        <f t="shared" si="0"/>
        <v>46171</v>
      </c>
      <c r="AO1" s="8">
        <f t="shared" si="0"/>
        <v>46178</v>
      </c>
      <c r="AP1" s="6">
        <f t="shared" si="0"/>
        <v>46185</v>
      </c>
      <c r="AQ1" s="6">
        <f t="shared" si="0"/>
        <v>46192</v>
      </c>
      <c r="AR1" s="6">
        <f t="shared" si="0"/>
        <v>46199</v>
      </c>
      <c r="AS1" s="6">
        <f t="shared" si="0"/>
        <v>46206</v>
      </c>
      <c r="AT1" s="6">
        <f t="shared" si="0"/>
        <v>46213</v>
      </c>
      <c r="AU1" s="6">
        <f t="shared" si="0"/>
        <v>46220</v>
      </c>
      <c r="AV1" s="6">
        <f t="shared" si="0"/>
        <v>46227</v>
      </c>
      <c r="AW1" s="6">
        <f t="shared" si="0"/>
        <v>46234</v>
      </c>
      <c r="AX1" s="3">
        <f t="shared" si="0"/>
        <v>46241</v>
      </c>
      <c r="AY1" s="4">
        <f t="shared" si="0"/>
        <v>46248</v>
      </c>
      <c r="AZ1" s="4">
        <f t="shared" si="0"/>
        <v>46255</v>
      </c>
      <c r="BA1" s="4">
        <f t="shared" si="0"/>
        <v>46262</v>
      </c>
      <c r="BB1" s="3">
        <f t="shared" si="0"/>
        <v>46269</v>
      </c>
      <c r="BC1" s="4">
        <f t="shared" si="0"/>
        <v>46276</v>
      </c>
      <c r="BD1" s="4">
        <f t="shared" si="0"/>
        <v>46283</v>
      </c>
      <c r="BE1" s="168">
        <f t="shared" si="0"/>
        <v>46290</v>
      </c>
      <c r="BF1" s="2">
        <f t="shared" si="0"/>
        <v>46297</v>
      </c>
      <c r="BG1" s="2">
        <f t="shared" si="0"/>
        <v>46304</v>
      </c>
      <c r="BH1" s="2">
        <f t="shared" si="0"/>
        <v>46311</v>
      </c>
      <c r="BI1" s="2">
        <f t="shared" si="0"/>
        <v>46318</v>
      </c>
      <c r="BJ1" s="2">
        <f t="shared" si="0"/>
        <v>46325</v>
      </c>
      <c r="BK1" s="106">
        <f t="shared" si="0"/>
        <v>46332</v>
      </c>
      <c r="BL1" s="10">
        <f t="shared" si="0"/>
        <v>46339</v>
      </c>
      <c r="BM1" s="6">
        <f t="shared" si="0"/>
        <v>46346</v>
      </c>
      <c r="BN1" s="172">
        <f t="shared" si="0"/>
        <v>46353</v>
      </c>
      <c r="BO1" s="3">
        <f t="shared" si="0"/>
        <v>46360</v>
      </c>
      <c r="BP1" s="4">
        <f t="shared" ref="BP1:DS1" si="1">+BO1+7</f>
        <v>46367</v>
      </c>
      <c r="BQ1" s="4">
        <f t="shared" si="1"/>
        <v>46374</v>
      </c>
      <c r="BR1" s="139">
        <f t="shared" si="1"/>
        <v>46381</v>
      </c>
      <c r="BS1" s="177">
        <f t="shared" si="1"/>
        <v>46388</v>
      </c>
      <c r="BT1" s="4">
        <f t="shared" si="1"/>
        <v>46395</v>
      </c>
      <c r="BU1" s="4">
        <f t="shared" si="1"/>
        <v>46402</v>
      </c>
      <c r="BV1" s="4">
        <f t="shared" si="1"/>
        <v>46409</v>
      </c>
      <c r="BW1" s="2">
        <f t="shared" si="1"/>
        <v>46416</v>
      </c>
      <c r="BX1" s="9">
        <f t="shared" si="1"/>
        <v>46423</v>
      </c>
      <c r="BY1" s="2">
        <f t="shared" si="1"/>
        <v>46430</v>
      </c>
      <c r="BZ1" s="2">
        <f t="shared" si="1"/>
        <v>46437</v>
      </c>
      <c r="CA1" s="2">
        <f t="shared" si="1"/>
        <v>46444</v>
      </c>
      <c r="CB1" s="9">
        <f t="shared" si="1"/>
        <v>46451</v>
      </c>
      <c r="CC1" s="2">
        <f t="shared" si="1"/>
        <v>46458</v>
      </c>
      <c r="CD1" s="2">
        <f t="shared" si="1"/>
        <v>46465</v>
      </c>
      <c r="CE1" s="2">
        <f t="shared" si="1"/>
        <v>46472</v>
      </c>
      <c r="CF1" s="9">
        <f t="shared" si="1"/>
        <v>46479</v>
      </c>
      <c r="CG1" s="2">
        <f t="shared" si="1"/>
        <v>46486</v>
      </c>
      <c r="CH1" s="2">
        <f t="shared" si="1"/>
        <v>46493</v>
      </c>
      <c r="CI1" s="2">
        <f t="shared" si="1"/>
        <v>46500</v>
      </c>
      <c r="CJ1" s="9">
        <f t="shared" si="1"/>
        <v>46507</v>
      </c>
      <c r="CK1" s="2">
        <f t="shared" si="1"/>
        <v>46514</v>
      </c>
      <c r="CL1" s="2">
        <f t="shared" si="1"/>
        <v>46521</v>
      </c>
      <c r="CM1" s="2">
        <f t="shared" si="1"/>
        <v>46528</v>
      </c>
      <c r="CN1" s="2">
        <f t="shared" si="1"/>
        <v>46535</v>
      </c>
      <c r="CO1" s="2">
        <f t="shared" si="1"/>
        <v>46542</v>
      </c>
      <c r="CP1" s="2">
        <f t="shared" si="1"/>
        <v>46549</v>
      </c>
      <c r="CQ1" s="2">
        <f t="shared" si="1"/>
        <v>46556</v>
      </c>
      <c r="CR1" s="2">
        <f t="shared" si="1"/>
        <v>46563</v>
      </c>
      <c r="CS1" s="2">
        <f t="shared" si="1"/>
        <v>46570</v>
      </c>
      <c r="CT1" s="2">
        <f t="shared" si="1"/>
        <v>46577</v>
      </c>
      <c r="CU1" s="2">
        <f t="shared" si="1"/>
        <v>46584</v>
      </c>
      <c r="CV1" s="2">
        <f t="shared" si="1"/>
        <v>46591</v>
      </c>
      <c r="CW1" s="2">
        <f t="shared" si="1"/>
        <v>46598</v>
      </c>
      <c r="CX1" s="2">
        <f t="shared" si="1"/>
        <v>46605</v>
      </c>
      <c r="CY1" s="2">
        <f t="shared" si="1"/>
        <v>46612</v>
      </c>
      <c r="CZ1" s="2">
        <f t="shared" si="1"/>
        <v>46619</v>
      </c>
      <c r="DA1" s="2">
        <f t="shared" si="1"/>
        <v>46626</v>
      </c>
      <c r="DB1" s="2">
        <f t="shared" si="1"/>
        <v>46633</v>
      </c>
      <c r="DC1" s="2">
        <f t="shared" si="1"/>
        <v>46640</v>
      </c>
      <c r="DD1" s="2">
        <f t="shared" si="1"/>
        <v>46647</v>
      </c>
      <c r="DE1" s="2">
        <f t="shared" si="1"/>
        <v>46654</v>
      </c>
      <c r="DF1" s="2">
        <f t="shared" si="1"/>
        <v>46661</v>
      </c>
      <c r="DG1" s="2">
        <f t="shared" si="1"/>
        <v>46668</v>
      </c>
      <c r="DH1" s="2">
        <f t="shared" si="1"/>
        <v>46675</v>
      </c>
      <c r="DI1" s="2">
        <f t="shared" si="1"/>
        <v>46682</v>
      </c>
      <c r="DJ1" s="2">
        <f t="shared" si="1"/>
        <v>46689</v>
      </c>
      <c r="DK1" s="2">
        <f t="shared" si="1"/>
        <v>46696</v>
      </c>
      <c r="DL1" s="2">
        <f t="shared" si="1"/>
        <v>46703</v>
      </c>
      <c r="DM1" s="2">
        <f t="shared" si="1"/>
        <v>46710</v>
      </c>
      <c r="DN1" s="2">
        <f t="shared" si="1"/>
        <v>46717</v>
      </c>
      <c r="DO1" s="2">
        <f t="shared" si="1"/>
        <v>46724</v>
      </c>
      <c r="DP1" s="2">
        <f t="shared" si="1"/>
        <v>46731</v>
      </c>
      <c r="DQ1" s="2">
        <f t="shared" si="1"/>
        <v>46738</v>
      </c>
      <c r="DR1" s="2">
        <f t="shared" si="1"/>
        <v>46745</v>
      </c>
      <c r="DS1" s="2">
        <f t="shared" si="1"/>
        <v>46752</v>
      </c>
    </row>
    <row r="2" spans="1:123" x14ac:dyDescent="0.2">
      <c r="P2" t="s">
        <v>93</v>
      </c>
      <c r="R2">
        <v>3</v>
      </c>
      <c r="S2">
        <v>0</v>
      </c>
    </row>
    <row r="3" spans="1:123" x14ac:dyDescent="0.2">
      <c r="A3" t="s">
        <v>684</v>
      </c>
      <c r="B3" s="210"/>
      <c r="C3" s="210"/>
      <c r="D3" s="210"/>
      <c r="E3" s="210"/>
      <c r="F3" s="108"/>
      <c r="G3" s="108"/>
      <c r="H3" s="108"/>
      <c r="I3" s="210"/>
      <c r="J3" s="210"/>
      <c r="K3" s="210"/>
      <c r="L3" s="108"/>
      <c r="M3" s="108"/>
      <c r="N3" s="108"/>
      <c r="O3" s="210"/>
      <c r="P3" s="210"/>
      <c r="Q3" s="210"/>
      <c r="R3" s="108"/>
      <c r="S3" s="108"/>
      <c r="T3" s="108"/>
      <c r="U3" s="210"/>
      <c r="V3" s="210"/>
      <c r="W3" s="210"/>
      <c r="X3" s="108"/>
      <c r="Y3" s="108"/>
      <c r="Z3" s="108"/>
      <c r="AA3" s="210"/>
      <c r="AB3" s="210"/>
      <c r="AC3" s="210"/>
      <c r="AD3" s="108"/>
      <c r="AE3" s="108"/>
      <c r="AF3" s="108"/>
      <c r="AG3" s="210"/>
      <c r="AH3" s="210"/>
      <c r="AI3" s="210"/>
      <c r="AJ3" s="108"/>
      <c r="AK3" s="108"/>
      <c r="AL3" s="108"/>
      <c r="AM3" s="210"/>
      <c r="AN3" s="210"/>
      <c r="AO3" s="210"/>
      <c r="AP3" s="108"/>
      <c r="AQ3" s="108"/>
      <c r="AR3" s="108"/>
      <c r="CB3" s="616"/>
      <c r="CC3" s="616"/>
      <c r="CD3" s="616"/>
      <c r="CE3" s="616"/>
    </row>
    <row r="4" spans="1:123" x14ac:dyDescent="0.2">
      <c r="A4" t="s">
        <v>685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CB4" s="616"/>
      <c r="CC4" s="616"/>
      <c r="CD4" s="616"/>
      <c r="CE4" s="616"/>
    </row>
    <row r="5" spans="1:123" x14ac:dyDescent="0.2">
      <c r="A5" t="s">
        <v>686</v>
      </c>
      <c r="B5" s="210"/>
      <c r="C5" s="210"/>
      <c r="D5" s="210"/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 t="s">
        <v>687</v>
      </c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08"/>
    </row>
    <row r="6" spans="1:123" x14ac:dyDescent="0.2">
      <c r="A6" t="s">
        <v>688</v>
      </c>
    </row>
    <row r="8" spans="1:123" x14ac:dyDescent="0.2">
      <c r="A8" t="s">
        <v>319</v>
      </c>
      <c r="E8" t="s">
        <v>689</v>
      </c>
      <c r="F8" t="s">
        <v>689</v>
      </c>
      <c r="G8" t="s">
        <v>121</v>
      </c>
      <c r="H8" t="s">
        <v>121</v>
      </c>
      <c r="I8" t="s">
        <v>689</v>
      </c>
      <c r="J8" t="s">
        <v>689</v>
      </c>
      <c r="N8" t="s">
        <v>689</v>
      </c>
      <c r="O8" t="s">
        <v>689</v>
      </c>
      <c r="V8" t="s">
        <v>689</v>
      </c>
      <c r="W8" t="s">
        <v>689</v>
      </c>
      <c r="X8" t="s">
        <v>689</v>
      </c>
    </row>
    <row r="9" spans="1:123" x14ac:dyDescent="0.2">
      <c r="E9" t="s">
        <v>4</v>
      </c>
      <c r="H9" t="s">
        <v>4</v>
      </c>
      <c r="O9" t="s">
        <v>4</v>
      </c>
      <c r="P9" t="s">
        <v>4</v>
      </c>
      <c r="Q9" t="s">
        <v>4</v>
      </c>
      <c r="R9" t="s">
        <v>4</v>
      </c>
      <c r="T9" t="s">
        <v>4</v>
      </c>
      <c r="U9" t="s">
        <v>4</v>
      </c>
      <c r="V9" t="s">
        <v>4</v>
      </c>
      <c r="AB9" t="s">
        <v>4</v>
      </c>
      <c r="AC9" t="s">
        <v>4</v>
      </c>
      <c r="AD9" t="s">
        <v>4</v>
      </c>
      <c r="AE9" t="s">
        <v>4</v>
      </c>
      <c r="AF9" t="s">
        <v>4</v>
      </c>
      <c r="AG9" t="s">
        <v>4</v>
      </c>
      <c r="AJ9" t="s">
        <v>4</v>
      </c>
      <c r="AK9" t="s">
        <v>4</v>
      </c>
      <c r="AO9" t="s">
        <v>4</v>
      </c>
      <c r="AP9" t="s">
        <v>4</v>
      </c>
      <c r="AS9" t="s">
        <v>4</v>
      </c>
      <c r="AT9" t="s">
        <v>4</v>
      </c>
      <c r="AX9" t="s">
        <v>4</v>
      </c>
      <c r="AY9" t="s">
        <v>4</v>
      </c>
      <c r="BB9" t="s">
        <v>4</v>
      </c>
      <c r="BC9" t="s">
        <v>4</v>
      </c>
      <c r="BF9" t="s">
        <v>4</v>
      </c>
      <c r="BG9" t="s">
        <v>4</v>
      </c>
      <c r="BH9" t="s">
        <v>4</v>
      </c>
      <c r="BK9" t="s">
        <v>4</v>
      </c>
      <c r="BL9" t="s">
        <v>4</v>
      </c>
      <c r="BM9" t="s">
        <v>4</v>
      </c>
      <c r="BN9" t="s">
        <v>4</v>
      </c>
      <c r="BO9" t="s">
        <v>4</v>
      </c>
      <c r="BP9" t="s">
        <v>4</v>
      </c>
      <c r="BQ9" t="s">
        <v>4</v>
      </c>
    </row>
    <row r="10" spans="1:123" x14ac:dyDescent="0.2">
      <c r="E10" t="s">
        <v>121</v>
      </c>
      <c r="F10" t="s">
        <v>15</v>
      </c>
      <c r="G10" t="s">
        <v>15</v>
      </c>
      <c r="J10" t="s">
        <v>15</v>
      </c>
      <c r="K10" t="s">
        <v>15</v>
      </c>
      <c r="L10" t="s">
        <v>15</v>
      </c>
      <c r="M10" t="s">
        <v>15</v>
      </c>
      <c r="Y10" t="s">
        <v>15</v>
      </c>
      <c r="Z10" t="s">
        <v>15</v>
      </c>
      <c r="AA10" t="s">
        <v>15</v>
      </c>
    </row>
    <row r="11" spans="1:123" x14ac:dyDescent="0.2">
      <c r="G11" t="s">
        <v>690</v>
      </c>
      <c r="M11" t="s">
        <v>121</v>
      </c>
    </row>
    <row r="12" spans="1:123" x14ac:dyDescent="0.2">
      <c r="M12" t="s">
        <v>691</v>
      </c>
      <c r="X12" t="s">
        <v>691</v>
      </c>
      <c r="Y12" t="s">
        <v>691</v>
      </c>
      <c r="Z12" t="s">
        <v>691</v>
      </c>
      <c r="AA12" t="s">
        <v>691</v>
      </c>
    </row>
    <row r="13" spans="1:123" x14ac:dyDescent="0.2">
      <c r="U13" t="s">
        <v>692</v>
      </c>
    </row>
    <row r="14" spans="1:123" x14ac:dyDescent="0.2">
      <c r="Q14" t="s">
        <v>202</v>
      </c>
      <c r="R14" t="s">
        <v>202</v>
      </c>
      <c r="X14" t="s">
        <v>202</v>
      </c>
      <c r="AA14" t="s">
        <v>202</v>
      </c>
      <c r="AB14" t="s">
        <v>202</v>
      </c>
      <c r="AF14" t="s">
        <v>202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D21FB-07EC-FF4E-89DF-DAEC15BA0799}">
  <sheetPr codeName="Sheet12"/>
  <dimension ref="B1:S15"/>
  <sheetViews>
    <sheetView workbookViewId="0"/>
  </sheetViews>
  <sheetFormatPr baseColWidth="10" defaultColWidth="10.6640625" defaultRowHeight="15" x14ac:dyDescent="0.2"/>
  <cols>
    <col min="2" max="2" width="38.33203125" customWidth="1"/>
    <col min="3" max="3" width="32.6640625" customWidth="1"/>
    <col min="4" max="5" width="16.33203125" customWidth="1"/>
    <col min="6" max="6" width="20.33203125" customWidth="1"/>
    <col min="7" max="18" width="16.33203125" customWidth="1"/>
    <col min="19" max="19" width="19.6640625" bestFit="1" customWidth="1"/>
  </cols>
  <sheetData>
    <row r="1" spans="2:19" ht="16" thickBot="1" x14ac:dyDescent="0.25"/>
    <row r="2" spans="2:19" ht="27" customHeight="1" x14ac:dyDescent="0.25">
      <c r="B2" s="1229" t="s">
        <v>551</v>
      </c>
      <c r="C2" s="1231" t="s">
        <v>552</v>
      </c>
      <c r="D2" s="1231" t="s">
        <v>553</v>
      </c>
      <c r="E2" s="1233" t="s">
        <v>554</v>
      </c>
      <c r="F2" s="604">
        <v>3</v>
      </c>
      <c r="G2" s="605"/>
      <c r="H2" s="605"/>
      <c r="I2" s="605"/>
      <c r="J2" s="605"/>
      <c r="K2" s="605"/>
      <c r="L2" s="605"/>
      <c r="M2" s="605"/>
      <c r="N2" s="605"/>
      <c r="O2" s="605"/>
      <c r="P2" s="605"/>
      <c r="Q2" s="605"/>
      <c r="R2" s="605"/>
      <c r="S2" s="606"/>
    </row>
    <row r="3" spans="2:19" ht="40" customHeight="1" x14ac:dyDescent="0.2">
      <c r="B3" s="1230"/>
      <c r="C3" s="1232"/>
      <c r="D3" s="1232"/>
      <c r="E3" s="1234"/>
      <c r="F3" s="229" t="s">
        <v>555</v>
      </c>
      <c r="G3" s="228" t="s">
        <v>270</v>
      </c>
      <c r="H3" s="228" t="s">
        <v>263</v>
      </c>
      <c r="I3" s="228" t="s">
        <v>264</v>
      </c>
      <c r="J3" s="228" t="s">
        <v>265</v>
      </c>
      <c r="K3" s="228" t="s">
        <v>266</v>
      </c>
      <c r="L3" s="228" t="s">
        <v>267</v>
      </c>
      <c r="M3" s="228" t="s">
        <v>268</v>
      </c>
      <c r="N3" s="228" t="s">
        <v>258</v>
      </c>
      <c r="O3" s="228" t="s">
        <v>259</v>
      </c>
      <c r="P3" s="228" t="s">
        <v>260</v>
      </c>
      <c r="Q3" s="228" t="s">
        <v>130</v>
      </c>
      <c r="R3" s="228" t="s">
        <v>261</v>
      </c>
      <c r="S3" s="607" t="s">
        <v>397</v>
      </c>
    </row>
    <row r="4" spans="2:19" ht="28" customHeight="1" x14ac:dyDescent="0.2">
      <c r="B4" s="608" t="s">
        <v>693</v>
      </c>
      <c r="C4" s="522" t="s">
        <v>694</v>
      </c>
      <c r="D4" s="517">
        <v>25</v>
      </c>
      <c r="E4" s="518">
        <f>D4*1.25</f>
        <v>31.25</v>
      </c>
      <c r="F4" s="519">
        <f>S4/F$2</f>
        <v>4625</v>
      </c>
      <c r="G4" s="520">
        <f>G9*$E$4</f>
        <v>4750</v>
      </c>
      <c r="H4" s="520">
        <f>H9*$E$4</f>
        <v>3312.5</v>
      </c>
      <c r="I4" s="520">
        <f>I9*$E$4</f>
        <v>5812.5</v>
      </c>
      <c r="J4" s="520"/>
      <c r="K4" s="520"/>
      <c r="L4" s="520"/>
      <c r="M4" s="520"/>
      <c r="N4" s="520"/>
      <c r="O4" s="520"/>
      <c r="P4" s="520"/>
      <c r="Q4" s="520"/>
      <c r="R4" s="520"/>
      <c r="S4" s="609">
        <f>SUM(G4:R4)</f>
        <v>13875</v>
      </c>
    </row>
    <row r="5" spans="2:19" ht="28" customHeight="1" x14ac:dyDescent="0.2">
      <c r="B5" s="610" t="s">
        <v>695</v>
      </c>
      <c r="C5" s="522" t="s">
        <v>694</v>
      </c>
      <c r="D5" s="523">
        <v>23</v>
      </c>
      <c r="E5" s="518">
        <f>D5*1.25</f>
        <v>28.75</v>
      </c>
      <c r="F5" s="525">
        <f>S5/F$2</f>
        <v>2307.1875</v>
      </c>
      <c r="G5" s="520">
        <f>G10*$E$5</f>
        <v>0</v>
      </c>
      <c r="H5" s="526">
        <f>H10*$E$5</f>
        <v>1150</v>
      </c>
      <c r="I5" s="526">
        <f>I10*$E$5</f>
        <v>5771.5625</v>
      </c>
      <c r="J5" s="526"/>
      <c r="K5" s="526"/>
      <c r="L5" s="526"/>
      <c r="M5" s="526"/>
      <c r="N5" s="526"/>
      <c r="O5" s="526"/>
      <c r="P5" s="526"/>
      <c r="Q5" s="526"/>
      <c r="R5" s="526"/>
      <c r="S5" s="591">
        <f>SUM(G5:R5)</f>
        <v>6921.5625</v>
      </c>
    </row>
    <row r="6" spans="2:19" ht="28" customHeight="1" x14ac:dyDescent="0.2">
      <c r="B6" s="610" t="s">
        <v>696</v>
      </c>
      <c r="C6" s="524" t="s">
        <v>694</v>
      </c>
      <c r="D6" s="523" t="s">
        <v>36</v>
      </c>
      <c r="E6" s="518" t="s">
        <v>36</v>
      </c>
      <c r="F6" s="519">
        <f>S6/F$2</f>
        <v>4616</v>
      </c>
      <c r="G6" s="520">
        <v>4616</v>
      </c>
      <c r="H6" s="520">
        <v>4616</v>
      </c>
      <c r="I6" s="520">
        <v>4616</v>
      </c>
      <c r="J6" s="520"/>
      <c r="K6" s="520"/>
      <c r="L6" s="520"/>
      <c r="M6" s="520"/>
      <c r="N6" s="520"/>
      <c r="O6" s="520"/>
      <c r="P6" s="520"/>
      <c r="Q6" s="520"/>
      <c r="R6" s="520"/>
      <c r="S6" s="609">
        <f>SUM(G6:R6)</f>
        <v>13848</v>
      </c>
    </row>
    <row r="7" spans="2:19" ht="29" customHeight="1" thickBot="1" x14ac:dyDescent="0.25">
      <c r="B7" s="1223" t="s">
        <v>697</v>
      </c>
      <c r="C7" s="1224"/>
      <c r="D7" s="1224"/>
      <c r="E7" s="1225"/>
      <c r="F7" s="613">
        <f t="shared" ref="F7:S7" si="0">SUM(F4:F6)</f>
        <v>11548.1875</v>
      </c>
      <c r="G7" s="613">
        <f t="shared" si="0"/>
        <v>9366</v>
      </c>
      <c r="H7" s="613">
        <f t="shared" si="0"/>
        <v>9078.5</v>
      </c>
      <c r="I7" s="613">
        <f t="shared" si="0"/>
        <v>16200.0625</v>
      </c>
      <c r="J7" s="613">
        <f t="shared" si="0"/>
        <v>0</v>
      </c>
      <c r="K7" s="613">
        <f t="shared" si="0"/>
        <v>0</v>
      </c>
      <c r="L7" s="613">
        <f t="shared" si="0"/>
        <v>0</v>
      </c>
      <c r="M7" s="613">
        <f t="shared" si="0"/>
        <v>0</v>
      </c>
      <c r="N7" s="613">
        <f t="shared" si="0"/>
        <v>0</v>
      </c>
      <c r="O7" s="613">
        <f t="shared" si="0"/>
        <v>0</v>
      </c>
      <c r="P7" s="613">
        <f t="shared" si="0"/>
        <v>0</v>
      </c>
      <c r="Q7" s="613">
        <f t="shared" si="0"/>
        <v>0</v>
      </c>
      <c r="R7" s="613">
        <f t="shared" si="0"/>
        <v>0</v>
      </c>
      <c r="S7" s="615">
        <f t="shared" si="0"/>
        <v>34644.5625</v>
      </c>
    </row>
    <row r="8" spans="2:19" ht="29" customHeight="1" x14ac:dyDescent="0.2">
      <c r="B8" s="1226" t="s">
        <v>576</v>
      </c>
      <c r="C8" s="1227"/>
      <c r="D8" s="1227"/>
      <c r="E8" s="1227"/>
      <c r="F8" s="1227"/>
      <c r="G8" s="1227"/>
      <c r="H8" s="1227"/>
      <c r="I8" s="1227"/>
      <c r="J8" s="1227"/>
      <c r="K8" s="1227"/>
      <c r="L8" s="1227"/>
      <c r="M8" s="1227"/>
      <c r="N8" s="1227"/>
      <c r="O8" s="1227"/>
      <c r="P8" s="1227"/>
      <c r="Q8" s="1227"/>
      <c r="R8" s="1227"/>
      <c r="S8" s="1228"/>
    </row>
    <row r="9" spans="2:19" ht="29" customHeight="1" x14ac:dyDescent="0.2">
      <c r="B9" s="590" t="str">
        <f t="shared" ref="B9:E11" si="1">B4</f>
        <v xml:space="preserve">Kyle Warrick </v>
      </c>
      <c r="C9" s="230" t="str">
        <f t="shared" si="1"/>
        <v xml:space="preserve">Office </v>
      </c>
      <c r="D9" s="263">
        <f t="shared" si="1"/>
        <v>25</v>
      </c>
      <c r="E9" s="263">
        <f t="shared" si="1"/>
        <v>31.25</v>
      </c>
      <c r="F9" s="600">
        <f>S9/$F$2</f>
        <v>148</v>
      </c>
      <c r="G9" s="597">
        <v>152</v>
      </c>
      <c r="H9" s="597">
        <v>106</v>
      </c>
      <c r="I9" s="597">
        <v>186</v>
      </c>
      <c r="J9" s="597"/>
      <c r="K9" s="597"/>
      <c r="L9" s="597"/>
      <c r="M9" s="597"/>
      <c r="N9" s="597"/>
      <c r="O9" s="597"/>
      <c r="P9" s="597"/>
      <c r="Q9" s="597"/>
      <c r="R9" s="597"/>
      <c r="S9" s="596">
        <f>SUM(G9:R9)</f>
        <v>444</v>
      </c>
    </row>
    <row r="10" spans="2:19" ht="29" customHeight="1" x14ac:dyDescent="0.2">
      <c r="B10" s="590" t="str">
        <f t="shared" si="1"/>
        <v>Lisa Bernal</v>
      </c>
      <c r="C10" s="230" t="str">
        <f t="shared" si="1"/>
        <v xml:space="preserve">Office </v>
      </c>
      <c r="D10" s="263">
        <f t="shared" si="1"/>
        <v>23</v>
      </c>
      <c r="E10" s="263">
        <f t="shared" si="1"/>
        <v>28.75</v>
      </c>
      <c r="F10" s="600">
        <f>S10/$F$2</f>
        <v>80.25</v>
      </c>
      <c r="G10" s="627"/>
      <c r="H10" s="597">
        <v>40</v>
      </c>
      <c r="I10" s="597">
        <v>200.75</v>
      </c>
      <c r="J10" s="597"/>
      <c r="K10" s="597"/>
      <c r="L10" s="597"/>
      <c r="M10" s="597"/>
      <c r="N10" s="597"/>
      <c r="O10" s="597"/>
      <c r="P10" s="597"/>
      <c r="Q10" s="597"/>
      <c r="R10" s="597"/>
      <c r="S10" s="596">
        <f>SUM(G10:R10)</f>
        <v>240.75</v>
      </c>
    </row>
    <row r="11" spans="2:19" ht="29" customHeight="1" x14ac:dyDescent="0.2">
      <c r="B11" s="590" t="str">
        <f t="shared" si="1"/>
        <v xml:space="preserve">Rick Ortiz </v>
      </c>
      <c r="C11" s="230" t="str">
        <f t="shared" si="1"/>
        <v xml:space="preserve">Office </v>
      </c>
      <c r="D11" s="263" t="str">
        <f t="shared" si="1"/>
        <v xml:space="preserve">N/A </v>
      </c>
      <c r="E11" s="263" t="str">
        <f t="shared" si="1"/>
        <v xml:space="preserve">N/A </v>
      </c>
      <c r="F11" s="600">
        <f>S11/$F$2</f>
        <v>0</v>
      </c>
      <c r="G11" s="597"/>
      <c r="H11" s="597"/>
      <c r="I11" s="597"/>
      <c r="J11" s="597"/>
      <c r="K11" s="597"/>
      <c r="L11" s="597"/>
      <c r="M11" s="597"/>
      <c r="N11" s="597"/>
      <c r="O11" s="597"/>
      <c r="P11" s="597"/>
      <c r="Q11" s="597"/>
      <c r="R11" s="597"/>
      <c r="S11" s="596">
        <f>SUM(G11:R11)</f>
        <v>0</v>
      </c>
    </row>
    <row r="12" spans="2:19" ht="29" customHeight="1" x14ac:dyDescent="0.2">
      <c r="B12" s="1235" t="s">
        <v>576</v>
      </c>
      <c r="C12" s="1236"/>
      <c r="D12" s="1236"/>
      <c r="E12" s="1237"/>
      <c r="F12" s="600">
        <f>S12/$F$2</f>
        <v>228.25</v>
      </c>
      <c r="G12" s="233">
        <f t="shared" ref="G12:S12" si="2">SUM(G9:G11)</f>
        <v>152</v>
      </c>
      <c r="H12" s="233">
        <f t="shared" si="2"/>
        <v>146</v>
      </c>
      <c r="I12" s="233">
        <f t="shared" si="2"/>
        <v>386.75</v>
      </c>
      <c r="J12" s="233">
        <f t="shared" si="2"/>
        <v>0</v>
      </c>
      <c r="K12" s="233">
        <f t="shared" si="2"/>
        <v>0</v>
      </c>
      <c r="L12" s="233">
        <f t="shared" si="2"/>
        <v>0</v>
      </c>
      <c r="M12" s="233">
        <f t="shared" si="2"/>
        <v>0</v>
      </c>
      <c r="N12" s="233">
        <f t="shared" si="2"/>
        <v>0</v>
      </c>
      <c r="O12" s="233">
        <f t="shared" si="2"/>
        <v>0</v>
      </c>
      <c r="P12" s="233">
        <f t="shared" si="2"/>
        <v>0</v>
      </c>
      <c r="Q12" s="233">
        <f t="shared" si="2"/>
        <v>0</v>
      </c>
      <c r="R12" s="233">
        <f t="shared" si="2"/>
        <v>0</v>
      </c>
      <c r="S12" s="592">
        <f t="shared" si="2"/>
        <v>684.75</v>
      </c>
    </row>
    <row r="13" spans="2:19" ht="29" customHeight="1" thickBot="1" x14ac:dyDescent="0.25">
      <c r="B13" s="1238" t="s">
        <v>577</v>
      </c>
      <c r="C13" s="1239"/>
      <c r="D13" s="1239"/>
      <c r="E13" s="1239"/>
      <c r="F13" s="600">
        <f>S13/$F$2</f>
        <v>16.864822928075942</v>
      </c>
      <c r="G13" s="593">
        <f t="shared" ref="G13:S13" si="3">G7/G12</f>
        <v>61.618421052631582</v>
      </c>
      <c r="H13" s="593">
        <f t="shared" si="3"/>
        <v>62.18150684931507</v>
      </c>
      <c r="I13" s="593">
        <f t="shared" si="3"/>
        <v>41.8876858435682</v>
      </c>
      <c r="J13" s="593" t="e">
        <f t="shared" si="3"/>
        <v>#DIV/0!</v>
      </c>
      <c r="K13" s="593" t="e">
        <f t="shared" si="3"/>
        <v>#DIV/0!</v>
      </c>
      <c r="L13" s="593" t="e">
        <f t="shared" si="3"/>
        <v>#DIV/0!</v>
      </c>
      <c r="M13" s="593" t="e">
        <f t="shared" si="3"/>
        <v>#DIV/0!</v>
      </c>
      <c r="N13" s="593" t="e">
        <f t="shared" si="3"/>
        <v>#DIV/0!</v>
      </c>
      <c r="O13" s="593" t="e">
        <f t="shared" si="3"/>
        <v>#DIV/0!</v>
      </c>
      <c r="P13" s="593" t="e">
        <f t="shared" si="3"/>
        <v>#DIV/0!</v>
      </c>
      <c r="Q13" s="593" t="e">
        <f t="shared" si="3"/>
        <v>#DIV/0!</v>
      </c>
      <c r="R13" s="593" t="e">
        <f t="shared" si="3"/>
        <v>#DIV/0!</v>
      </c>
      <c r="S13" s="594">
        <f t="shared" si="3"/>
        <v>50.594468784227821</v>
      </c>
    </row>
    <row r="14" spans="2:19" ht="29" customHeight="1" x14ac:dyDescent="0.2"/>
    <row r="15" spans="2:19" ht="29" customHeight="1" x14ac:dyDescent="0.2"/>
  </sheetData>
  <mergeCells count="8">
    <mergeCell ref="B12:E12"/>
    <mergeCell ref="B13:E13"/>
    <mergeCell ref="B2:B3"/>
    <mergeCell ref="C2:C3"/>
    <mergeCell ref="D2:D3"/>
    <mergeCell ref="E2:E3"/>
    <mergeCell ref="B7:E7"/>
    <mergeCell ref="B8:S8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0F9A6-2E09-284C-A881-415BCE3BB2DA}">
  <sheetPr codeName="Sheet18">
    <tabColor rgb="FFFFFF00"/>
    <pageSetUpPr fitToPage="1"/>
  </sheetPr>
  <dimension ref="A1:P26"/>
  <sheetViews>
    <sheetView workbookViewId="0">
      <selection sqref="A1:A2"/>
    </sheetView>
  </sheetViews>
  <sheetFormatPr baseColWidth="10" defaultColWidth="8.83203125" defaultRowHeight="15" x14ac:dyDescent="0.2"/>
  <cols>
    <col min="1" max="1" width="30.83203125" customWidth="1"/>
    <col min="2" max="2" width="50.5" customWidth="1"/>
    <col min="3" max="3" width="25.83203125" customWidth="1"/>
    <col min="4" max="15" width="20.83203125" customWidth="1"/>
    <col min="16" max="16" width="25.83203125" customWidth="1"/>
  </cols>
  <sheetData>
    <row r="1" spans="1:16" ht="52.25" customHeight="1" x14ac:dyDescent="0.2">
      <c r="A1" s="1250" t="s">
        <v>698</v>
      </c>
      <c r="B1" s="1250" t="s">
        <v>276</v>
      </c>
      <c r="C1" s="1251" t="s">
        <v>699</v>
      </c>
      <c r="D1" s="586" t="s">
        <v>270</v>
      </c>
      <c r="E1" s="586" t="s">
        <v>263</v>
      </c>
      <c r="F1" s="586" t="s">
        <v>264</v>
      </c>
      <c r="G1" s="586" t="s">
        <v>265</v>
      </c>
      <c r="H1" s="586" t="s">
        <v>266</v>
      </c>
      <c r="I1" s="586" t="s">
        <v>267</v>
      </c>
      <c r="J1" s="586" t="s">
        <v>268</v>
      </c>
      <c r="K1" s="586" t="s">
        <v>258</v>
      </c>
      <c r="L1" s="586" t="s">
        <v>259</v>
      </c>
      <c r="M1" s="586" t="s">
        <v>260</v>
      </c>
      <c r="N1" s="586" t="s">
        <v>130</v>
      </c>
      <c r="O1" s="586" t="s">
        <v>261</v>
      </c>
      <c r="P1" s="586" t="s">
        <v>397</v>
      </c>
    </row>
    <row r="2" spans="1:16" ht="27" customHeight="1" x14ac:dyDescent="0.2">
      <c r="A2" s="1250"/>
      <c r="B2" s="1250"/>
      <c r="C2" s="1251"/>
      <c r="D2" s="617"/>
      <c r="E2" s="617"/>
      <c r="F2" s="617"/>
      <c r="G2" s="617"/>
      <c r="H2" s="617"/>
      <c r="I2" s="617"/>
      <c r="J2" s="617"/>
      <c r="K2" s="617"/>
      <c r="L2" s="617"/>
      <c r="M2" s="617"/>
      <c r="N2" s="617"/>
      <c r="O2" s="617"/>
      <c r="P2" s="618">
        <f>SUM(D2:O2)</f>
        <v>0</v>
      </c>
    </row>
    <row r="3" spans="1:16" ht="30" customHeight="1" x14ac:dyDescent="0.2">
      <c r="A3" s="619" t="s">
        <v>4</v>
      </c>
      <c r="B3" s="620" t="s">
        <v>700</v>
      </c>
      <c r="C3" s="621" t="e">
        <f>SUM(D3:O3)/P$2</f>
        <v>#DIV/0!</v>
      </c>
      <c r="D3" s="622"/>
      <c r="E3" s="622"/>
      <c r="F3" s="623"/>
      <c r="G3" s="623"/>
      <c r="H3" s="623"/>
      <c r="I3" s="623"/>
      <c r="J3" s="623"/>
      <c r="K3" s="623"/>
      <c r="L3" s="623"/>
      <c r="M3" s="623"/>
      <c r="N3" s="623"/>
      <c r="O3" s="623"/>
      <c r="P3" s="618">
        <f>SUM(D3:O3)</f>
        <v>0</v>
      </c>
    </row>
    <row r="4" spans="1:16" ht="30" customHeight="1" x14ac:dyDescent="0.2">
      <c r="A4" s="619" t="s">
        <v>4</v>
      </c>
      <c r="B4" s="620" t="s">
        <v>701</v>
      </c>
      <c r="C4" s="621" t="e">
        <f t="shared" ref="C4:C23" si="0">SUM(D4:O4)/P$2</f>
        <v>#DIV/0!</v>
      </c>
      <c r="D4" s="622"/>
      <c r="E4" s="622"/>
      <c r="F4" s="623"/>
      <c r="G4" s="623"/>
      <c r="H4" s="623"/>
      <c r="I4" s="623"/>
      <c r="J4" s="623"/>
      <c r="K4" s="623"/>
      <c r="L4" s="623"/>
      <c r="M4" s="623"/>
      <c r="N4" s="623"/>
      <c r="O4" s="623"/>
      <c r="P4" s="618">
        <f t="shared" ref="P4:P24" si="1">SUM(D4:O4)</f>
        <v>0</v>
      </c>
    </row>
    <row r="5" spans="1:16" ht="30" customHeight="1" x14ac:dyDescent="0.2">
      <c r="A5" s="619" t="s">
        <v>4</v>
      </c>
      <c r="B5" s="620" t="s">
        <v>702</v>
      </c>
      <c r="C5" s="621" t="e">
        <f t="shared" si="0"/>
        <v>#DIV/0!</v>
      </c>
      <c r="D5" s="622"/>
      <c r="E5" s="622"/>
      <c r="F5" s="623"/>
      <c r="G5" s="623"/>
      <c r="H5" s="623"/>
      <c r="I5" s="623"/>
      <c r="J5" s="623"/>
      <c r="K5" s="623"/>
      <c r="L5" s="623"/>
      <c r="M5" s="623"/>
      <c r="N5" s="623"/>
      <c r="O5" s="623"/>
      <c r="P5" s="618">
        <f t="shared" si="1"/>
        <v>0</v>
      </c>
    </row>
    <row r="6" spans="1:16" ht="30" customHeight="1" x14ac:dyDescent="0.2">
      <c r="A6" s="619" t="s">
        <v>4</v>
      </c>
      <c r="B6" s="620" t="s">
        <v>703</v>
      </c>
      <c r="C6" s="621" t="e">
        <f t="shared" si="0"/>
        <v>#DIV/0!</v>
      </c>
      <c r="D6" s="622"/>
      <c r="E6" s="622"/>
      <c r="F6" s="623"/>
      <c r="G6" s="623"/>
      <c r="H6" s="623"/>
      <c r="I6" s="623"/>
      <c r="J6" s="623"/>
      <c r="K6" s="623"/>
      <c r="L6" s="623"/>
      <c r="M6" s="623"/>
      <c r="N6" s="623"/>
      <c r="O6" s="623"/>
      <c r="P6" s="618">
        <f t="shared" si="1"/>
        <v>0</v>
      </c>
    </row>
    <row r="7" spans="1:16" ht="30" customHeight="1" x14ac:dyDescent="0.2">
      <c r="A7" s="619" t="s">
        <v>4</v>
      </c>
      <c r="B7" s="620" t="s">
        <v>704</v>
      </c>
      <c r="C7" s="621" t="e">
        <f t="shared" si="0"/>
        <v>#DIV/0!</v>
      </c>
      <c r="D7" s="622"/>
      <c r="E7" s="622"/>
      <c r="F7" s="623"/>
      <c r="G7" s="623"/>
      <c r="H7" s="623"/>
      <c r="I7" s="623"/>
      <c r="J7" s="623"/>
      <c r="K7" s="623"/>
      <c r="L7" s="623"/>
      <c r="M7" s="623"/>
      <c r="N7" s="623"/>
      <c r="O7" s="623"/>
      <c r="P7" s="618">
        <f t="shared" si="1"/>
        <v>0</v>
      </c>
    </row>
    <row r="8" spans="1:16" ht="30" customHeight="1" x14ac:dyDescent="0.2">
      <c r="A8" s="619" t="s">
        <v>4</v>
      </c>
      <c r="B8" s="620" t="s">
        <v>705</v>
      </c>
      <c r="C8" s="621" t="e">
        <f t="shared" si="0"/>
        <v>#DIV/0!</v>
      </c>
      <c r="D8" s="622"/>
      <c r="E8" s="622"/>
      <c r="F8" s="623"/>
      <c r="G8" s="623"/>
      <c r="H8" s="623"/>
      <c r="I8" s="623"/>
      <c r="J8" s="623"/>
      <c r="K8" s="623"/>
      <c r="L8" s="623"/>
      <c r="M8" s="623"/>
      <c r="N8" s="623"/>
      <c r="O8" s="623"/>
      <c r="P8" s="618">
        <f t="shared" si="1"/>
        <v>0</v>
      </c>
    </row>
    <row r="9" spans="1:16" ht="30" customHeight="1" x14ac:dyDescent="0.2">
      <c r="A9" s="619" t="s">
        <v>8</v>
      </c>
      <c r="B9" s="620" t="s">
        <v>706</v>
      </c>
      <c r="C9" s="621" t="e">
        <f t="shared" si="0"/>
        <v>#DIV/0!</v>
      </c>
      <c r="D9" s="622"/>
      <c r="E9" s="622"/>
      <c r="F9" s="623"/>
      <c r="G9" s="623"/>
      <c r="H9" s="623"/>
      <c r="I9" s="623"/>
      <c r="J9" s="623"/>
      <c r="K9" s="623"/>
      <c r="L9" s="623"/>
      <c r="M9" s="623"/>
      <c r="N9" s="623"/>
      <c r="O9" s="623"/>
      <c r="P9" s="618">
        <f t="shared" si="1"/>
        <v>0</v>
      </c>
    </row>
    <row r="10" spans="1:16" ht="30" customHeight="1" x14ac:dyDescent="0.2">
      <c r="A10" s="619" t="s">
        <v>8</v>
      </c>
      <c r="B10" s="620" t="s">
        <v>707</v>
      </c>
      <c r="C10" s="621" t="e">
        <f t="shared" si="0"/>
        <v>#DIV/0!</v>
      </c>
      <c r="D10" s="622"/>
      <c r="E10" s="622"/>
      <c r="F10" s="623"/>
      <c r="G10" s="623"/>
      <c r="H10" s="623"/>
      <c r="I10" s="623"/>
      <c r="J10" s="623"/>
      <c r="K10" s="623"/>
      <c r="L10" s="623"/>
      <c r="M10" s="623"/>
      <c r="N10" s="623"/>
      <c r="O10" s="623"/>
      <c r="P10" s="618">
        <f t="shared" si="1"/>
        <v>0</v>
      </c>
    </row>
    <row r="11" spans="1:16" ht="30" customHeight="1" x14ac:dyDescent="0.2">
      <c r="A11" s="619" t="s">
        <v>8</v>
      </c>
      <c r="B11" s="620" t="s">
        <v>708</v>
      </c>
      <c r="C11" s="621" t="e">
        <f t="shared" si="0"/>
        <v>#DIV/0!</v>
      </c>
      <c r="D11" s="622"/>
      <c r="E11" s="622"/>
      <c r="F11" s="623"/>
      <c r="G11" s="623"/>
      <c r="H11" s="623"/>
      <c r="I11" s="623"/>
      <c r="J11" s="623"/>
      <c r="K11" s="623"/>
      <c r="L11" s="623"/>
      <c r="M11" s="623"/>
      <c r="N11" s="623"/>
      <c r="O11" s="623"/>
      <c r="P11" s="618">
        <f t="shared" si="1"/>
        <v>0</v>
      </c>
    </row>
    <row r="12" spans="1:16" ht="30" customHeight="1" x14ac:dyDescent="0.2">
      <c r="A12" s="619" t="s">
        <v>8</v>
      </c>
      <c r="B12" s="620" t="s">
        <v>709</v>
      </c>
      <c r="C12" s="621" t="e">
        <f t="shared" si="0"/>
        <v>#DIV/0!</v>
      </c>
      <c r="D12" s="622"/>
      <c r="E12" s="622"/>
      <c r="F12" s="623"/>
      <c r="G12" s="623"/>
      <c r="H12" s="623"/>
      <c r="I12" s="623"/>
      <c r="J12" s="623"/>
      <c r="K12" s="623"/>
      <c r="L12" s="623"/>
      <c r="M12" s="623"/>
      <c r="N12" s="623"/>
      <c r="O12" s="623"/>
      <c r="P12" s="618">
        <f t="shared" si="1"/>
        <v>0</v>
      </c>
    </row>
    <row r="13" spans="1:16" ht="30" customHeight="1" x14ac:dyDescent="0.2">
      <c r="A13" s="619" t="s">
        <v>8</v>
      </c>
      <c r="B13" s="620" t="s">
        <v>710</v>
      </c>
      <c r="C13" s="621" t="e">
        <f t="shared" si="0"/>
        <v>#DIV/0!</v>
      </c>
      <c r="D13" s="622"/>
      <c r="E13" s="622"/>
      <c r="F13" s="623"/>
      <c r="G13" s="623"/>
      <c r="H13" s="623"/>
      <c r="I13" s="623"/>
      <c r="J13" s="623"/>
      <c r="K13" s="623"/>
      <c r="L13" s="623"/>
      <c r="M13" s="623"/>
      <c r="N13" s="623"/>
      <c r="O13" s="623"/>
      <c r="P13" s="618">
        <f t="shared" si="1"/>
        <v>0</v>
      </c>
    </row>
    <row r="14" spans="1:16" ht="30" customHeight="1" x14ac:dyDescent="0.2">
      <c r="A14" s="619" t="s">
        <v>711</v>
      </c>
      <c r="B14" s="620" t="s">
        <v>711</v>
      </c>
      <c r="C14" s="621" t="e">
        <f t="shared" si="0"/>
        <v>#DIV/0!</v>
      </c>
      <c r="D14" s="622"/>
      <c r="E14" s="622"/>
      <c r="F14" s="623"/>
      <c r="G14" s="623"/>
      <c r="H14" s="623"/>
      <c r="I14" s="623"/>
      <c r="J14" s="623"/>
      <c r="K14" s="623"/>
      <c r="L14" s="623"/>
      <c r="M14" s="623"/>
      <c r="N14" s="623"/>
      <c r="O14" s="623"/>
      <c r="P14" s="618">
        <f t="shared" si="1"/>
        <v>0</v>
      </c>
    </row>
    <row r="15" spans="1:16" ht="30" customHeight="1" x14ac:dyDescent="0.2">
      <c r="A15" s="619" t="s">
        <v>712</v>
      </c>
      <c r="B15" s="620" t="s">
        <v>713</v>
      </c>
      <c r="C15" s="621" t="e">
        <f t="shared" si="0"/>
        <v>#DIV/0!</v>
      </c>
      <c r="D15" s="622"/>
      <c r="E15" s="622"/>
      <c r="F15" s="623"/>
      <c r="G15" s="623"/>
      <c r="H15" s="623"/>
      <c r="I15" s="623"/>
      <c r="J15" s="623"/>
      <c r="K15" s="623"/>
      <c r="L15" s="623"/>
      <c r="M15" s="623"/>
      <c r="N15" s="623"/>
      <c r="O15" s="623"/>
      <c r="P15" s="618">
        <f t="shared" si="1"/>
        <v>0</v>
      </c>
    </row>
    <row r="16" spans="1:16" ht="30" customHeight="1" x14ac:dyDescent="0.2">
      <c r="A16" s="619" t="s">
        <v>60</v>
      </c>
      <c r="B16" s="620" t="s">
        <v>714</v>
      </c>
      <c r="C16" s="621" t="e">
        <f t="shared" si="0"/>
        <v>#DIV/0!</v>
      </c>
      <c r="D16" s="622"/>
      <c r="E16" s="622"/>
      <c r="F16" s="623"/>
      <c r="G16" s="623"/>
      <c r="H16" s="623"/>
      <c r="I16" s="623"/>
      <c r="J16" s="623"/>
      <c r="K16" s="623"/>
      <c r="L16" s="623"/>
      <c r="M16" s="623"/>
      <c r="N16" s="623"/>
      <c r="O16" s="623"/>
      <c r="P16" s="618">
        <f t="shared" si="1"/>
        <v>0</v>
      </c>
    </row>
    <row r="17" spans="1:16" ht="30" customHeight="1" x14ac:dyDescent="0.2">
      <c r="A17" s="619" t="s">
        <v>316</v>
      </c>
      <c r="B17" s="620" t="s">
        <v>316</v>
      </c>
      <c r="C17" s="621" t="e">
        <f t="shared" si="0"/>
        <v>#DIV/0!</v>
      </c>
      <c r="D17" s="622"/>
      <c r="E17" s="622"/>
      <c r="F17" s="623"/>
      <c r="G17" s="623"/>
      <c r="H17" s="623"/>
      <c r="I17" s="623"/>
      <c r="J17" s="623"/>
      <c r="K17" s="623"/>
      <c r="L17" s="623"/>
      <c r="M17" s="623"/>
      <c r="N17" s="623"/>
      <c r="O17" s="623"/>
      <c r="P17" s="618">
        <f t="shared" si="1"/>
        <v>0</v>
      </c>
    </row>
    <row r="18" spans="1:16" ht="30" customHeight="1" x14ac:dyDescent="0.2">
      <c r="A18" s="624" t="s">
        <v>34</v>
      </c>
      <c r="B18" s="625" t="s">
        <v>715</v>
      </c>
      <c r="C18" s="621" t="e">
        <f t="shared" si="0"/>
        <v>#DIV/0!</v>
      </c>
      <c r="D18" s="622"/>
      <c r="E18" s="622"/>
      <c r="F18" s="623"/>
      <c r="G18" s="623"/>
      <c r="H18" s="623"/>
      <c r="I18" s="623"/>
      <c r="J18" s="623"/>
      <c r="K18" s="623"/>
      <c r="L18" s="623"/>
      <c r="M18" s="623"/>
      <c r="N18" s="623"/>
      <c r="O18" s="623"/>
      <c r="P18" s="618">
        <f t="shared" si="1"/>
        <v>0</v>
      </c>
    </row>
    <row r="19" spans="1:16" ht="30" customHeight="1" x14ac:dyDescent="0.2">
      <c r="A19" s="624" t="s">
        <v>15</v>
      </c>
      <c r="B19" s="625" t="s">
        <v>107</v>
      </c>
      <c r="C19" s="621" t="e">
        <f t="shared" si="0"/>
        <v>#DIV/0!</v>
      </c>
      <c r="D19" s="622"/>
      <c r="E19" s="622"/>
      <c r="F19" s="623"/>
      <c r="G19" s="623"/>
      <c r="H19" s="623"/>
      <c r="I19" s="623"/>
      <c r="J19" s="623"/>
      <c r="K19" s="623"/>
      <c r="L19" s="623"/>
      <c r="M19" s="623"/>
      <c r="N19" s="623"/>
      <c r="O19" s="623"/>
      <c r="P19" s="618">
        <f t="shared" si="1"/>
        <v>0</v>
      </c>
    </row>
    <row r="20" spans="1:16" ht="30" customHeight="1" x14ac:dyDescent="0.2">
      <c r="A20" s="624" t="s">
        <v>515</v>
      </c>
      <c r="B20" s="625" t="s">
        <v>716</v>
      </c>
      <c r="C20" s="621" t="e">
        <f t="shared" si="0"/>
        <v>#DIV/0!</v>
      </c>
      <c r="D20" s="622"/>
      <c r="E20" s="622"/>
      <c r="F20" s="623"/>
      <c r="G20" s="623"/>
      <c r="H20" s="623"/>
      <c r="I20" s="623"/>
      <c r="J20" s="623"/>
      <c r="K20" s="623"/>
      <c r="L20" s="623"/>
      <c r="M20" s="623"/>
      <c r="N20" s="623"/>
      <c r="O20" s="623"/>
      <c r="P20" s="618">
        <f t="shared" si="1"/>
        <v>0</v>
      </c>
    </row>
    <row r="21" spans="1:16" ht="30" customHeight="1" x14ac:dyDescent="0.2">
      <c r="A21" s="624" t="s">
        <v>34</v>
      </c>
      <c r="B21" s="625" t="s">
        <v>717</v>
      </c>
      <c r="C21" s="621" t="e">
        <f t="shared" si="0"/>
        <v>#DIV/0!</v>
      </c>
      <c r="D21" s="622"/>
      <c r="E21" s="622"/>
      <c r="F21" s="623"/>
      <c r="G21" s="623"/>
      <c r="H21" s="623"/>
      <c r="I21" s="623"/>
      <c r="J21" s="623"/>
      <c r="K21" s="623"/>
      <c r="L21" s="623"/>
      <c r="M21" s="623"/>
      <c r="N21" s="623"/>
      <c r="O21" s="623"/>
      <c r="P21" s="618">
        <f t="shared" si="1"/>
        <v>0</v>
      </c>
    </row>
    <row r="22" spans="1:16" ht="30" customHeight="1" x14ac:dyDescent="0.2">
      <c r="A22" s="624" t="s">
        <v>34</v>
      </c>
      <c r="B22" s="625" t="s">
        <v>718</v>
      </c>
      <c r="C22" s="621" t="e">
        <f t="shared" si="0"/>
        <v>#DIV/0!</v>
      </c>
      <c r="D22" s="622"/>
      <c r="E22" s="622"/>
      <c r="F22" s="623"/>
      <c r="G22" s="623"/>
      <c r="H22" s="623"/>
      <c r="I22" s="623"/>
      <c r="J22" s="623"/>
      <c r="K22" s="623"/>
      <c r="L22" s="623"/>
      <c r="M22" s="623"/>
      <c r="N22" s="623"/>
      <c r="O22" s="623"/>
      <c r="P22" s="618">
        <f t="shared" si="1"/>
        <v>0</v>
      </c>
    </row>
    <row r="23" spans="1:16" ht="30" customHeight="1" x14ac:dyDescent="0.2">
      <c r="A23" s="624" t="s">
        <v>34</v>
      </c>
      <c r="B23" s="625" t="s">
        <v>719</v>
      </c>
      <c r="C23" s="621" t="e">
        <f t="shared" si="0"/>
        <v>#DIV/0!</v>
      </c>
      <c r="D23" s="622"/>
      <c r="E23" s="622"/>
      <c r="F23" s="623"/>
      <c r="G23" s="623"/>
      <c r="H23" s="623"/>
      <c r="I23" s="623"/>
      <c r="J23" s="623"/>
      <c r="K23" s="623"/>
      <c r="L23" s="623"/>
      <c r="M23" s="623"/>
      <c r="N23" s="623"/>
      <c r="O23" s="623"/>
      <c r="P23" s="618">
        <f t="shared" si="1"/>
        <v>0</v>
      </c>
    </row>
    <row r="24" spans="1:16" ht="30" customHeight="1" x14ac:dyDescent="0.2">
      <c r="A24" s="624" t="s">
        <v>34</v>
      </c>
      <c r="B24" s="625" t="s">
        <v>302</v>
      </c>
      <c r="C24" s="621"/>
      <c r="D24" s="622"/>
      <c r="E24" s="622"/>
      <c r="F24" s="623"/>
      <c r="G24" s="623"/>
      <c r="H24" s="623"/>
      <c r="I24" s="623"/>
      <c r="J24" s="623"/>
      <c r="K24" s="623"/>
      <c r="L24" s="623"/>
      <c r="M24" s="623"/>
      <c r="N24" s="623"/>
      <c r="O24" s="623"/>
      <c r="P24" s="618">
        <f t="shared" si="1"/>
        <v>0</v>
      </c>
    </row>
    <row r="25" spans="1:16" ht="50" customHeight="1" x14ac:dyDescent="0.2">
      <c r="A25" s="1250" t="s">
        <v>720</v>
      </c>
      <c r="B25" s="1250"/>
      <c r="C25" s="1252" t="e">
        <f>SUM(C3:C24)</f>
        <v>#DIV/0!</v>
      </c>
      <c r="D25" s="626">
        <f>SUM(D3:D24)</f>
        <v>0</v>
      </c>
      <c r="E25" s="626">
        <f t="shared" ref="E25:N25" si="2">SUM(E3:E24)</f>
        <v>0</v>
      </c>
      <c r="F25" s="626">
        <f t="shared" si="2"/>
        <v>0</v>
      </c>
      <c r="G25" s="626">
        <f t="shared" si="2"/>
        <v>0</v>
      </c>
      <c r="H25" s="626">
        <f t="shared" si="2"/>
        <v>0</v>
      </c>
      <c r="I25" s="626">
        <f t="shared" si="2"/>
        <v>0</v>
      </c>
      <c r="J25" s="626">
        <f t="shared" si="2"/>
        <v>0</v>
      </c>
      <c r="K25" s="626">
        <f t="shared" si="2"/>
        <v>0</v>
      </c>
      <c r="L25" s="626">
        <f t="shared" si="2"/>
        <v>0</v>
      </c>
      <c r="M25" s="626">
        <f t="shared" si="2"/>
        <v>0</v>
      </c>
      <c r="N25" s="626">
        <f t="shared" si="2"/>
        <v>0</v>
      </c>
      <c r="O25" s="626">
        <f>SUM(O3:O24)</f>
        <v>0</v>
      </c>
      <c r="P25" s="626">
        <f>SUM(P3:P20)</f>
        <v>0</v>
      </c>
    </row>
    <row r="26" spans="1:16" ht="50" customHeight="1" x14ac:dyDescent="0.2">
      <c r="A26" s="1250" t="s">
        <v>721</v>
      </c>
      <c r="B26" s="1250"/>
      <c r="C26" s="1252"/>
      <c r="D26" s="626" t="e">
        <f>D25/D2</f>
        <v>#DIV/0!</v>
      </c>
      <c r="E26" s="626" t="e">
        <f t="shared" ref="E26:O26" si="3">E25/E2</f>
        <v>#DIV/0!</v>
      </c>
      <c r="F26" s="626" t="e">
        <f t="shared" si="3"/>
        <v>#DIV/0!</v>
      </c>
      <c r="G26" s="626" t="e">
        <f t="shared" si="3"/>
        <v>#DIV/0!</v>
      </c>
      <c r="H26" s="626" t="e">
        <f t="shared" si="3"/>
        <v>#DIV/0!</v>
      </c>
      <c r="I26" s="626" t="e">
        <f>I25/I2</f>
        <v>#DIV/0!</v>
      </c>
      <c r="J26" s="626" t="e">
        <f t="shared" si="3"/>
        <v>#DIV/0!</v>
      </c>
      <c r="K26" s="626" t="e">
        <f t="shared" si="3"/>
        <v>#DIV/0!</v>
      </c>
      <c r="L26" s="626" t="e">
        <f t="shared" si="3"/>
        <v>#DIV/0!</v>
      </c>
      <c r="M26" s="626" t="e">
        <f t="shared" si="3"/>
        <v>#DIV/0!</v>
      </c>
      <c r="N26" s="626" t="e">
        <f t="shared" si="3"/>
        <v>#DIV/0!</v>
      </c>
      <c r="O26" s="626" t="e">
        <f t="shared" si="3"/>
        <v>#DIV/0!</v>
      </c>
      <c r="P26" s="626" t="e">
        <f>P25/P2</f>
        <v>#DIV/0!</v>
      </c>
    </row>
  </sheetData>
  <mergeCells count="6">
    <mergeCell ref="A1:A2"/>
    <mergeCell ref="B1:B2"/>
    <mergeCell ref="C1:C2"/>
    <mergeCell ref="A25:B25"/>
    <mergeCell ref="C25:C26"/>
    <mergeCell ref="A26:B26"/>
  </mergeCells>
  <pageMargins left="0.51181102362204722" right="0.11811023622047245" top="1.5354330708661419" bottom="0.74803149606299213" header="0" footer="0.31496062992125984"/>
  <pageSetup paperSize="9" scale="24" orientation="landscape" r:id="rId1"/>
  <headerFooter>
    <oddHeader>&amp;L&amp;G&amp;C&amp;"Arial,Bold"&amp;72
&amp;F</oddHeader>
    <oddFooter>&amp;R&amp;"Arial,Bold"&amp;20Melanie Liu
&amp;D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90601-FEE8-8947-B02E-B7F71960BF31}">
  <sheetPr codeName="Sheet31">
    <pageSetUpPr fitToPage="1"/>
  </sheetPr>
  <dimension ref="A1:AG27"/>
  <sheetViews>
    <sheetView workbookViewId="0">
      <selection activeCell="E7" sqref="E7"/>
    </sheetView>
  </sheetViews>
  <sheetFormatPr baseColWidth="10" defaultColWidth="8.83203125" defaultRowHeight="15" x14ac:dyDescent="0.2"/>
  <cols>
    <col min="1" max="1" width="30.83203125" customWidth="1"/>
    <col min="2" max="2" width="50.5" customWidth="1"/>
    <col min="3" max="3" width="15.83203125" customWidth="1"/>
    <col min="4" max="33" width="10.83203125" customWidth="1"/>
  </cols>
  <sheetData>
    <row r="1" spans="1:33" ht="37.5" customHeight="1" x14ac:dyDescent="0.2">
      <c r="A1" s="1257" t="s">
        <v>698</v>
      </c>
      <c r="B1" s="1259" t="s">
        <v>276</v>
      </c>
      <c r="C1" s="1261" t="s">
        <v>397</v>
      </c>
      <c r="D1" s="300" t="s">
        <v>722</v>
      </c>
      <c r="E1" s="301" t="s">
        <v>723</v>
      </c>
      <c r="F1" s="301" t="s">
        <v>724</v>
      </c>
      <c r="G1" s="301" t="s">
        <v>725</v>
      </c>
      <c r="H1" s="301" t="s">
        <v>726</v>
      </c>
      <c r="I1" s="1253" t="s">
        <v>727</v>
      </c>
      <c r="J1" s="300" t="s">
        <v>722</v>
      </c>
      <c r="K1" s="301" t="s">
        <v>723</v>
      </c>
      <c r="L1" s="301" t="s">
        <v>724</v>
      </c>
      <c r="M1" s="301" t="s">
        <v>725</v>
      </c>
      <c r="N1" s="301" t="s">
        <v>726</v>
      </c>
      <c r="O1" s="1253" t="s">
        <v>728</v>
      </c>
      <c r="P1" s="300" t="s">
        <v>722</v>
      </c>
      <c r="Q1" s="301" t="s">
        <v>723</v>
      </c>
      <c r="R1" s="301" t="s">
        <v>724</v>
      </c>
      <c r="S1" s="301" t="s">
        <v>725</v>
      </c>
      <c r="T1" s="301" t="s">
        <v>726</v>
      </c>
      <c r="U1" s="1253" t="s">
        <v>729</v>
      </c>
      <c r="V1" s="300" t="s">
        <v>722</v>
      </c>
      <c r="W1" s="301" t="s">
        <v>723</v>
      </c>
      <c r="X1" s="301" t="s">
        <v>724</v>
      </c>
      <c r="Y1" s="301" t="s">
        <v>725</v>
      </c>
      <c r="Z1" s="301" t="s">
        <v>726</v>
      </c>
      <c r="AA1" s="1253" t="s">
        <v>730</v>
      </c>
      <c r="AB1" s="300" t="s">
        <v>722</v>
      </c>
      <c r="AC1" s="301" t="s">
        <v>723</v>
      </c>
      <c r="AD1" s="301" t="s">
        <v>724</v>
      </c>
      <c r="AE1" s="301" t="s">
        <v>725</v>
      </c>
      <c r="AF1" s="301" t="s">
        <v>726</v>
      </c>
      <c r="AG1" s="1253" t="s">
        <v>732</v>
      </c>
    </row>
    <row r="2" spans="1:33" ht="37.5" customHeight="1" x14ac:dyDescent="0.2">
      <c r="A2" s="1258"/>
      <c r="B2" s="1260"/>
      <c r="C2" s="1262"/>
      <c r="D2" s="302">
        <v>46027</v>
      </c>
      <c r="E2" s="303">
        <f>D2+1</f>
        <v>46028</v>
      </c>
      <c r="F2" s="303">
        <f>E2+1</f>
        <v>46029</v>
      </c>
      <c r="G2" s="303">
        <f>F2+1</f>
        <v>46030</v>
      </c>
      <c r="H2" s="303">
        <f>G2+1</f>
        <v>46031</v>
      </c>
      <c r="I2" s="1254"/>
      <c r="J2" s="302">
        <f>H2+3</f>
        <v>46034</v>
      </c>
      <c r="K2" s="303">
        <f>J2+1</f>
        <v>46035</v>
      </c>
      <c r="L2" s="303">
        <f>K2+1</f>
        <v>46036</v>
      </c>
      <c r="M2" s="303">
        <f>L2+1</f>
        <v>46037</v>
      </c>
      <c r="N2" s="303">
        <f>M2+1</f>
        <v>46038</v>
      </c>
      <c r="O2" s="1254"/>
      <c r="P2" s="302">
        <f>N2+3</f>
        <v>46041</v>
      </c>
      <c r="Q2" s="303">
        <f>P2+1</f>
        <v>46042</v>
      </c>
      <c r="R2" s="303">
        <f>Q2+1</f>
        <v>46043</v>
      </c>
      <c r="S2" s="303">
        <f>R2+1</f>
        <v>46044</v>
      </c>
      <c r="T2" s="303">
        <f>S2+1</f>
        <v>46045</v>
      </c>
      <c r="U2" s="1254"/>
      <c r="V2" s="302">
        <f>T2+3</f>
        <v>46048</v>
      </c>
      <c r="W2" s="303">
        <f>V2+1</f>
        <v>46049</v>
      </c>
      <c r="X2" s="303">
        <f>W2+1</f>
        <v>46050</v>
      </c>
      <c r="Y2" s="303">
        <f>X2+1</f>
        <v>46051</v>
      </c>
      <c r="Z2" s="303">
        <f>Y2+1</f>
        <v>46052</v>
      </c>
      <c r="AA2" s="1254"/>
      <c r="AB2" s="302">
        <f>Z2+3</f>
        <v>46055</v>
      </c>
      <c r="AC2" s="303">
        <f>AB2+1</f>
        <v>46056</v>
      </c>
      <c r="AD2" s="303">
        <f>AC2+1</f>
        <v>46057</v>
      </c>
      <c r="AE2" s="303">
        <f>AD2+1</f>
        <v>46058</v>
      </c>
      <c r="AF2" s="303">
        <f>AE2+1</f>
        <v>46059</v>
      </c>
      <c r="AG2" s="1254"/>
    </row>
    <row r="3" spans="1:33" ht="30" customHeight="1" x14ac:dyDescent="0.2">
      <c r="A3" s="345" t="s">
        <v>4</v>
      </c>
      <c r="B3" s="295" t="s">
        <v>700</v>
      </c>
      <c r="C3" s="472">
        <f>I3+O3+U3+AA3+AG3</f>
        <v>0</v>
      </c>
      <c r="D3" s="471"/>
      <c r="E3" s="304"/>
      <c r="F3" s="305"/>
      <c r="G3" s="305"/>
      <c r="H3" s="305"/>
      <c r="I3" s="306">
        <f>SUM(D3:H3)</f>
        <v>0</v>
      </c>
      <c r="J3" s="309"/>
      <c r="K3" s="304"/>
      <c r="L3" s="305"/>
      <c r="M3" s="305"/>
      <c r="N3" s="305"/>
      <c r="O3" s="308">
        <f>SUM(J3:N3)</f>
        <v>0</v>
      </c>
      <c r="P3" s="309"/>
      <c r="Q3" s="304"/>
      <c r="R3" s="305"/>
      <c r="S3" s="305"/>
      <c r="T3" s="305"/>
      <c r="U3" s="306">
        <f>SUM(P3:T3)</f>
        <v>0</v>
      </c>
      <c r="V3" s="305"/>
      <c r="W3" s="305"/>
      <c r="X3" s="457"/>
      <c r="Y3" s="348"/>
      <c r="Z3" s="348"/>
      <c r="AA3" s="308">
        <f>SUM(V3:Z3)</f>
        <v>0</v>
      </c>
      <c r="AB3" s="460"/>
      <c r="AC3" s="457"/>
      <c r="AD3" s="457"/>
      <c r="AE3" s="348"/>
      <c r="AF3" s="457"/>
      <c r="AG3" s="306">
        <f>SUM(AB3:AF3)</f>
        <v>0</v>
      </c>
    </row>
    <row r="4" spans="1:33" ht="30" customHeight="1" x14ac:dyDescent="0.2">
      <c r="A4" s="346" t="s">
        <v>4</v>
      </c>
      <c r="B4" s="296" t="s">
        <v>701</v>
      </c>
      <c r="C4" s="472">
        <f t="shared" ref="C4:C26" si="0">I4+O4+U4+AA4+AG4</f>
        <v>0</v>
      </c>
      <c r="D4" s="471"/>
      <c r="E4" s="304"/>
      <c r="F4" s="305"/>
      <c r="G4" s="305"/>
      <c r="H4" s="305"/>
      <c r="I4" s="306">
        <f t="shared" ref="I4:I26" si="1">SUM(D4:H4)</f>
        <v>0</v>
      </c>
      <c r="J4" s="309"/>
      <c r="K4" s="304"/>
      <c r="L4" s="305"/>
      <c r="M4" s="305"/>
      <c r="N4" s="305"/>
      <c r="O4" s="308">
        <f t="shared" ref="O4:O26" si="2">SUM(J4:N4)</f>
        <v>0</v>
      </c>
      <c r="P4" s="309"/>
      <c r="Q4" s="304"/>
      <c r="R4" s="305"/>
      <c r="S4" s="305"/>
      <c r="T4" s="305"/>
      <c r="U4" s="306">
        <f t="shared" ref="U4:U23" si="3">SUM(P4:T4)</f>
        <v>0</v>
      </c>
      <c r="V4" s="307"/>
      <c r="W4" s="305"/>
      <c r="X4" s="457"/>
      <c r="Y4" s="348"/>
      <c r="Z4" s="348"/>
      <c r="AA4" s="308">
        <f t="shared" ref="AA4:AA20" si="4">SUM(V4:Z4)</f>
        <v>0</v>
      </c>
      <c r="AB4" s="460"/>
      <c r="AC4" s="457"/>
      <c r="AD4" s="457"/>
      <c r="AE4" s="348"/>
      <c r="AF4" s="457"/>
      <c r="AG4" s="306">
        <f t="shared" ref="AG4:AG20" si="5">SUM(AB4:AF4)</f>
        <v>0</v>
      </c>
    </row>
    <row r="5" spans="1:33" ht="30" customHeight="1" x14ac:dyDescent="0.2">
      <c r="A5" s="346" t="s">
        <v>4</v>
      </c>
      <c r="B5" s="296" t="s">
        <v>702</v>
      </c>
      <c r="C5" s="472">
        <f t="shared" si="0"/>
        <v>0</v>
      </c>
      <c r="D5" s="471"/>
      <c r="E5" s="304"/>
      <c r="F5" s="305"/>
      <c r="G5" s="305"/>
      <c r="H5" s="305"/>
      <c r="I5" s="306">
        <f t="shared" si="1"/>
        <v>0</v>
      </c>
      <c r="J5" s="314"/>
      <c r="K5" s="312"/>
      <c r="L5" s="305"/>
      <c r="M5" s="305"/>
      <c r="N5" s="305"/>
      <c r="O5" s="308">
        <f t="shared" si="2"/>
        <v>0</v>
      </c>
      <c r="P5" s="309"/>
      <c r="Q5" s="304"/>
      <c r="R5" s="305"/>
      <c r="S5" s="305"/>
      <c r="T5" s="305"/>
      <c r="U5" s="306">
        <f t="shared" si="3"/>
        <v>0</v>
      </c>
      <c r="V5" s="307"/>
      <c r="W5" s="305"/>
      <c r="X5" s="457"/>
      <c r="Y5" s="348"/>
      <c r="Z5" s="348"/>
      <c r="AA5" s="308">
        <f t="shared" si="4"/>
        <v>0</v>
      </c>
      <c r="AB5" s="460"/>
      <c r="AC5" s="457"/>
      <c r="AD5" s="457"/>
      <c r="AE5" s="348"/>
      <c r="AF5" s="457"/>
      <c r="AG5" s="306">
        <f t="shared" si="5"/>
        <v>0</v>
      </c>
    </row>
    <row r="6" spans="1:33" ht="30" customHeight="1" x14ac:dyDescent="0.2">
      <c r="A6" s="346" t="s">
        <v>4</v>
      </c>
      <c r="B6" s="296" t="s">
        <v>731</v>
      </c>
      <c r="C6" s="472">
        <f t="shared" si="0"/>
        <v>0</v>
      </c>
      <c r="D6" s="471"/>
      <c r="E6" s="304"/>
      <c r="F6" s="305"/>
      <c r="G6" s="305"/>
      <c r="H6" s="305"/>
      <c r="I6" s="306">
        <f t="shared" si="1"/>
        <v>0</v>
      </c>
      <c r="J6" s="309"/>
      <c r="K6" s="304"/>
      <c r="L6" s="305"/>
      <c r="M6" s="305"/>
      <c r="N6" s="305"/>
      <c r="O6" s="308">
        <f t="shared" si="2"/>
        <v>0</v>
      </c>
      <c r="P6" s="309"/>
      <c r="Q6" s="304"/>
      <c r="R6" s="305"/>
      <c r="S6" s="305"/>
      <c r="T6" s="305"/>
      <c r="U6" s="306">
        <f t="shared" si="3"/>
        <v>0</v>
      </c>
      <c r="V6" s="307"/>
      <c r="W6" s="305"/>
      <c r="X6" s="457"/>
      <c r="Y6" s="348"/>
      <c r="Z6" s="348"/>
      <c r="AA6" s="308">
        <f t="shared" si="4"/>
        <v>0</v>
      </c>
      <c r="AB6" s="460"/>
      <c r="AC6" s="457"/>
      <c r="AD6" s="457"/>
      <c r="AE6" s="348"/>
      <c r="AF6" s="457"/>
      <c r="AG6" s="306">
        <f t="shared" si="5"/>
        <v>0</v>
      </c>
    </row>
    <row r="7" spans="1:33" ht="30" customHeight="1" x14ac:dyDescent="0.2">
      <c r="A7" s="346" t="s">
        <v>4</v>
      </c>
      <c r="B7" s="296" t="s">
        <v>704</v>
      </c>
      <c r="C7" s="472">
        <f t="shared" si="0"/>
        <v>1150</v>
      </c>
      <c r="D7" s="313">
        <v>637</v>
      </c>
      <c r="E7" s="304">
        <v>513</v>
      </c>
      <c r="F7" s="310"/>
      <c r="G7" s="310"/>
      <c r="H7" s="310"/>
      <c r="I7" s="306">
        <f t="shared" si="1"/>
        <v>1150</v>
      </c>
      <c r="J7" s="309"/>
      <c r="K7" s="304"/>
      <c r="L7" s="310"/>
      <c r="M7" s="310"/>
      <c r="N7" s="310"/>
      <c r="O7" s="308">
        <f t="shared" si="2"/>
        <v>0</v>
      </c>
      <c r="P7" s="309"/>
      <c r="Q7" s="304"/>
      <c r="R7" s="310"/>
      <c r="S7" s="310"/>
      <c r="T7" s="310"/>
      <c r="U7" s="306">
        <f t="shared" si="3"/>
        <v>0</v>
      </c>
      <c r="V7" s="311"/>
      <c r="W7" s="310"/>
      <c r="X7" s="458"/>
      <c r="Y7" s="349"/>
      <c r="Z7" s="348"/>
      <c r="AA7" s="308">
        <f t="shared" si="4"/>
        <v>0</v>
      </c>
      <c r="AB7" s="461"/>
      <c r="AC7" s="458"/>
      <c r="AD7" s="458"/>
      <c r="AE7" s="349"/>
      <c r="AF7" s="457"/>
      <c r="AG7" s="306">
        <f t="shared" si="5"/>
        <v>0</v>
      </c>
    </row>
    <row r="8" spans="1:33" ht="30" customHeight="1" x14ac:dyDescent="0.2">
      <c r="A8" s="346" t="s">
        <v>4</v>
      </c>
      <c r="B8" s="296" t="s">
        <v>705</v>
      </c>
      <c r="C8" s="472">
        <f t="shared" si="0"/>
        <v>0</v>
      </c>
      <c r="D8" s="471"/>
      <c r="E8" s="304"/>
      <c r="F8" s="305"/>
      <c r="G8" s="305"/>
      <c r="H8" s="305"/>
      <c r="I8" s="306">
        <f t="shared" si="1"/>
        <v>0</v>
      </c>
      <c r="J8" s="309"/>
      <c r="K8" s="304"/>
      <c r="L8" s="305"/>
      <c r="M8" s="305"/>
      <c r="N8" s="305"/>
      <c r="O8" s="308">
        <f t="shared" si="2"/>
        <v>0</v>
      </c>
      <c r="P8" s="309"/>
      <c r="Q8" s="304"/>
      <c r="R8" s="305"/>
      <c r="S8" s="305"/>
      <c r="T8" s="305"/>
      <c r="U8" s="306">
        <f t="shared" si="3"/>
        <v>0</v>
      </c>
      <c r="V8" s="307"/>
      <c r="W8" s="305"/>
      <c r="X8" s="457"/>
      <c r="Y8" s="348"/>
      <c r="Z8" s="348"/>
      <c r="AA8" s="308">
        <f t="shared" si="4"/>
        <v>0</v>
      </c>
      <c r="AB8" s="460"/>
      <c r="AC8" s="457"/>
      <c r="AD8" s="457"/>
      <c r="AE8" s="348"/>
      <c r="AF8" s="457"/>
      <c r="AG8" s="306">
        <f t="shared" si="5"/>
        <v>0</v>
      </c>
    </row>
    <row r="9" spans="1:33" ht="30" customHeight="1" x14ac:dyDescent="0.2">
      <c r="A9" s="346" t="s">
        <v>8</v>
      </c>
      <c r="B9" s="296" t="s">
        <v>706</v>
      </c>
      <c r="C9" s="472">
        <f t="shared" si="0"/>
        <v>0</v>
      </c>
      <c r="D9" s="313"/>
      <c r="E9" s="312"/>
      <c r="F9" s="305"/>
      <c r="G9" s="305"/>
      <c r="H9" s="305"/>
      <c r="I9" s="306">
        <f t="shared" si="1"/>
        <v>0</v>
      </c>
      <c r="J9" s="309"/>
      <c r="K9" s="304"/>
      <c r="L9" s="305"/>
      <c r="M9" s="305"/>
      <c r="N9" s="305"/>
      <c r="O9" s="308">
        <f t="shared" si="2"/>
        <v>0</v>
      </c>
      <c r="P9" s="309"/>
      <c r="Q9" s="304"/>
      <c r="R9" s="305"/>
      <c r="S9" s="305"/>
      <c r="T9" s="305"/>
      <c r="U9" s="306">
        <f t="shared" si="3"/>
        <v>0</v>
      </c>
      <c r="V9" s="307"/>
      <c r="W9" s="305"/>
      <c r="X9" s="457"/>
      <c r="Y9" s="348"/>
      <c r="Z9" s="348"/>
      <c r="AA9" s="308">
        <f t="shared" si="4"/>
        <v>0</v>
      </c>
      <c r="AB9" s="460"/>
      <c r="AC9" s="457"/>
      <c r="AD9" s="457"/>
      <c r="AE9" s="348"/>
      <c r="AF9" s="457"/>
      <c r="AG9" s="306">
        <f t="shared" si="5"/>
        <v>0</v>
      </c>
    </row>
    <row r="10" spans="1:33" ht="30" customHeight="1" x14ac:dyDescent="0.2">
      <c r="A10" s="346" t="s">
        <v>8</v>
      </c>
      <c r="B10" s="296" t="s">
        <v>707</v>
      </c>
      <c r="C10" s="472">
        <f t="shared" si="0"/>
        <v>0</v>
      </c>
      <c r="D10" s="471"/>
      <c r="E10" s="304"/>
      <c r="F10" s="312"/>
      <c r="G10" s="312"/>
      <c r="H10" s="312"/>
      <c r="I10" s="306">
        <f t="shared" si="1"/>
        <v>0</v>
      </c>
      <c r="J10" s="309"/>
      <c r="K10" s="304"/>
      <c r="L10" s="312"/>
      <c r="M10" s="312"/>
      <c r="N10" s="312"/>
      <c r="O10" s="308">
        <f t="shared" si="2"/>
        <v>0</v>
      </c>
      <c r="P10" s="309"/>
      <c r="Q10" s="304"/>
      <c r="R10" s="312"/>
      <c r="S10" s="312"/>
      <c r="T10" s="312"/>
      <c r="U10" s="306">
        <f t="shared" si="3"/>
        <v>0</v>
      </c>
      <c r="V10" s="307"/>
      <c r="W10" s="305"/>
      <c r="X10" s="457"/>
      <c r="Y10" s="348"/>
      <c r="Z10" s="348"/>
      <c r="AA10" s="308">
        <f t="shared" si="4"/>
        <v>0</v>
      </c>
      <c r="AB10" s="460"/>
      <c r="AC10" s="457"/>
      <c r="AD10" s="457"/>
      <c r="AE10" s="348"/>
      <c r="AF10" s="457"/>
      <c r="AG10" s="306">
        <f t="shared" si="5"/>
        <v>0</v>
      </c>
    </row>
    <row r="11" spans="1:33" ht="30" customHeight="1" x14ac:dyDescent="0.2">
      <c r="A11" s="346" t="s">
        <v>8</v>
      </c>
      <c r="B11" s="296" t="s">
        <v>708</v>
      </c>
      <c r="C11" s="472">
        <f t="shared" si="0"/>
        <v>0</v>
      </c>
      <c r="D11" s="471"/>
      <c r="E11" s="304"/>
      <c r="F11" s="312"/>
      <c r="G11" s="312"/>
      <c r="H11" s="312"/>
      <c r="I11" s="306">
        <f t="shared" si="1"/>
        <v>0</v>
      </c>
      <c r="J11" s="309"/>
      <c r="K11" s="304"/>
      <c r="L11" s="312"/>
      <c r="M11" s="312"/>
      <c r="N11" s="312"/>
      <c r="O11" s="308">
        <f t="shared" si="2"/>
        <v>0</v>
      </c>
      <c r="P11" s="309"/>
      <c r="Q11" s="304"/>
      <c r="R11" s="312"/>
      <c r="S11" s="312"/>
      <c r="T11" s="312"/>
      <c r="U11" s="306">
        <f t="shared" si="3"/>
        <v>0</v>
      </c>
      <c r="V11" s="307"/>
      <c r="W11" s="305"/>
      <c r="X11" s="457"/>
      <c r="Y11" s="348"/>
      <c r="Z11" s="348"/>
      <c r="AA11" s="308">
        <f t="shared" si="4"/>
        <v>0</v>
      </c>
      <c r="AB11" s="460"/>
      <c r="AC11" s="457"/>
      <c r="AD11" s="457"/>
      <c r="AE11" s="348"/>
      <c r="AF11" s="457"/>
      <c r="AG11" s="306">
        <f t="shared" si="5"/>
        <v>0</v>
      </c>
    </row>
    <row r="12" spans="1:33" ht="30" customHeight="1" x14ac:dyDescent="0.2">
      <c r="A12" s="346" t="s">
        <v>8</v>
      </c>
      <c r="B12" s="296" t="s">
        <v>709</v>
      </c>
      <c r="C12" s="472">
        <f t="shared" si="0"/>
        <v>0</v>
      </c>
      <c r="D12" s="471"/>
      <c r="E12" s="304"/>
      <c r="F12" s="305"/>
      <c r="G12" s="305"/>
      <c r="H12" s="305"/>
      <c r="I12" s="306">
        <f t="shared" si="1"/>
        <v>0</v>
      </c>
      <c r="J12" s="309"/>
      <c r="K12" s="304"/>
      <c r="L12" s="305"/>
      <c r="M12" s="305"/>
      <c r="N12" s="305"/>
      <c r="O12" s="308">
        <f t="shared" si="2"/>
        <v>0</v>
      </c>
      <c r="P12" s="309"/>
      <c r="Q12" s="304"/>
      <c r="R12" s="305"/>
      <c r="S12" s="305"/>
      <c r="T12" s="305"/>
      <c r="U12" s="306">
        <f t="shared" si="3"/>
        <v>0</v>
      </c>
      <c r="V12" s="313"/>
      <c r="W12" s="305"/>
      <c r="X12" s="457"/>
      <c r="Y12" s="348"/>
      <c r="Z12" s="348"/>
      <c r="AA12" s="308">
        <f t="shared" si="4"/>
        <v>0</v>
      </c>
      <c r="AB12" s="462"/>
      <c r="AC12" s="457"/>
      <c r="AD12" s="457"/>
      <c r="AE12" s="348"/>
      <c r="AF12" s="457"/>
      <c r="AG12" s="306">
        <f t="shared" si="5"/>
        <v>0</v>
      </c>
    </row>
    <row r="13" spans="1:33" ht="30" customHeight="1" x14ac:dyDescent="0.2">
      <c r="A13" s="346" t="s">
        <v>8</v>
      </c>
      <c r="B13" s="296" t="s">
        <v>710</v>
      </c>
      <c r="C13" s="472">
        <f t="shared" si="0"/>
        <v>0</v>
      </c>
      <c r="D13" s="471"/>
      <c r="E13" s="304"/>
      <c r="F13" s="305"/>
      <c r="G13" s="305"/>
      <c r="H13" s="305"/>
      <c r="I13" s="306"/>
      <c r="J13" s="309"/>
      <c r="K13" s="304"/>
      <c r="L13" s="305"/>
      <c r="M13" s="305"/>
      <c r="N13" s="305"/>
      <c r="O13" s="308">
        <f t="shared" si="2"/>
        <v>0</v>
      </c>
      <c r="P13" s="309"/>
      <c r="Q13" s="304"/>
      <c r="R13" s="305"/>
      <c r="S13" s="305"/>
      <c r="T13" s="305"/>
      <c r="U13" s="306"/>
      <c r="V13" s="313"/>
      <c r="W13" s="305"/>
      <c r="X13" s="457"/>
      <c r="Y13" s="348"/>
      <c r="Z13" s="348"/>
      <c r="AA13" s="308"/>
      <c r="AB13" s="462"/>
      <c r="AC13" s="457"/>
      <c r="AD13" s="457"/>
      <c r="AE13" s="348"/>
      <c r="AF13" s="457"/>
      <c r="AG13" s="306"/>
    </row>
    <row r="14" spans="1:33" ht="30" customHeight="1" x14ac:dyDescent="0.2">
      <c r="A14" s="346" t="s">
        <v>711</v>
      </c>
      <c r="B14" s="296" t="s">
        <v>711</v>
      </c>
      <c r="C14" s="472">
        <f t="shared" si="0"/>
        <v>0</v>
      </c>
      <c r="D14" s="471"/>
      <c r="E14" s="304"/>
      <c r="F14" s="305"/>
      <c r="G14" s="305"/>
      <c r="H14" s="305"/>
      <c r="I14" s="306">
        <f t="shared" si="1"/>
        <v>0</v>
      </c>
      <c r="J14" s="309"/>
      <c r="K14" s="304"/>
      <c r="L14" s="305"/>
      <c r="M14" s="305"/>
      <c r="N14" s="305"/>
      <c r="O14" s="308">
        <f t="shared" si="2"/>
        <v>0</v>
      </c>
      <c r="P14" s="309"/>
      <c r="Q14" s="304"/>
      <c r="R14" s="305"/>
      <c r="S14" s="305"/>
      <c r="T14" s="305"/>
      <c r="U14" s="306">
        <f t="shared" si="3"/>
        <v>0</v>
      </c>
      <c r="V14" s="313"/>
      <c r="W14" s="305"/>
      <c r="X14" s="457"/>
      <c r="Y14" s="348"/>
      <c r="Z14" s="348"/>
      <c r="AA14" s="308">
        <f t="shared" si="4"/>
        <v>0</v>
      </c>
      <c r="AB14" s="462"/>
      <c r="AC14" s="457"/>
      <c r="AD14" s="457"/>
      <c r="AE14" s="348"/>
      <c r="AF14" s="457"/>
      <c r="AG14" s="306">
        <f t="shared" si="5"/>
        <v>0</v>
      </c>
    </row>
    <row r="15" spans="1:33" ht="30" customHeight="1" x14ac:dyDescent="0.2">
      <c r="A15" s="346" t="s">
        <v>712</v>
      </c>
      <c r="B15" s="296" t="s">
        <v>713</v>
      </c>
      <c r="C15" s="472">
        <f t="shared" si="0"/>
        <v>0</v>
      </c>
      <c r="D15" s="471"/>
      <c r="E15" s="304"/>
      <c r="F15" s="305"/>
      <c r="G15" s="305"/>
      <c r="H15" s="305"/>
      <c r="I15" s="306">
        <f t="shared" si="1"/>
        <v>0</v>
      </c>
      <c r="J15" s="309"/>
      <c r="K15" s="304"/>
      <c r="L15" s="305"/>
      <c r="M15" s="305"/>
      <c r="N15" s="305"/>
      <c r="O15" s="308">
        <f t="shared" si="2"/>
        <v>0</v>
      </c>
      <c r="P15" s="309"/>
      <c r="Q15" s="304"/>
      <c r="R15" s="305"/>
      <c r="S15" s="305"/>
      <c r="T15" s="305"/>
      <c r="U15" s="306">
        <f t="shared" si="3"/>
        <v>0</v>
      </c>
      <c r="V15" s="313"/>
      <c r="W15" s="305"/>
      <c r="X15" s="457"/>
      <c r="Y15" s="348"/>
      <c r="Z15" s="348"/>
      <c r="AA15" s="308">
        <f t="shared" si="4"/>
        <v>0</v>
      </c>
      <c r="AB15" s="462"/>
      <c r="AC15" s="457"/>
      <c r="AD15" s="457"/>
      <c r="AE15" s="348"/>
      <c r="AF15" s="457"/>
      <c r="AG15" s="306">
        <f t="shared" si="5"/>
        <v>0</v>
      </c>
    </row>
    <row r="16" spans="1:33" ht="30" customHeight="1" x14ac:dyDescent="0.2">
      <c r="A16" s="346" t="s">
        <v>60</v>
      </c>
      <c r="B16" s="296" t="s">
        <v>714</v>
      </c>
      <c r="C16" s="472">
        <f t="shared" si="0"/>
        <v>0</v>
      </c>
      <c r="D16" s="471"/>
      <c r="E16" s="304"/>
      <c r="F16" s="312"/>
      <c r="G16" s="312"/>
      <c r="H16" s="312"/>
      <c r="I16" s="306">
        <f t="shared" si="1"/>
        <v>0</v>
      </c>
      <c r="J16" s="309"/>
      <c r="K16" s="304"/>
      <c r="L16" s="312"/>
      <c r="M16" s="312"/>
      <c r="N16" s="312"/>
      <c r="O16" s="308">
        <f t="shared" si="2"/>
        <v>0</v>
      </c>
      <c r="P16" s="309"/>
      <c r="Q16" s="304"/>
      <c r="R16" s="312"/>
      <c r="S16" s="312"/>
      <c r="T16" s="312"/>
      <c r="U16" s="306">
        <f t="shared" si="3"/>
        <v>0</v>
      </c>
      <c r="V16" s="307"/>
      <c r="W16" s="305"/>
      <c r="X16" s="457"/>
      <c r="Y16" s="348"/>
      <c r="Z16" s="348"/>
      <c r="AA16" s="308">
        <f t="shared" si="4"/>
        <v>0</v>
      </c>
      <c r="AB16" s="460"/>
      <c r="AC16" s="457"/>
      <c r="AD16" s="457"/>
      <c r="AE16" s="348"/>
      <c r="AF16" s="457"/>
      <c r="AG16" s="306">
        <f t="shared" si="5"/>
        <v>0</v>
      </c>
    </row>
    <row r="17" spans="1:33" ht="30" customHeight="1" x14ac:dyDescent="0.2">
      <c r="A17" s="346" t="s">
        <v>316</v>
      </c>
      <c r="B17" s="296" t="s">
        <v>316</v>
      </c>
      <c r="C17" s="472">
        <f t="shared" si="0"/>
        <v>0</v>
      </c>
      <c r="D17" s="471"/>
      <c r="E17" s="304"/>
      <c r="F17" s="312"/>
      <c r="G17" s="312"/>
      <c r="H17" s="312"/>
      <c r="I17" s="306">
        <f t="shared" si="1"/>
        <v>0</v>
      </c>
      <c r="J17" s="309"/>
      <c r="K17" s="304"/>
      <c r="L17" s="312"/>
      <c r="M17" s="312"/>
      <c r="N17" s="312"/>
      <c r="O17" s="308">
        <f t="shared" si="2"/>
        <v>0</v>
      </c>
      <c r="P17" s="309"/>
      <c r="Q17" s="304"/>
      <c r="R17" s="312"/>
      <c r="S17" s="312"/>
      <c r="T17" s="312"/>
      <c r="U17" s="306">
        <f t="shared" si="3"/>
        <v>0</v>
      </c>
      <c r="V17" s="307"/>
      <c r="W17" s="305"/>
      <c r="X17" s="457"/>
      <c r="Y17" s="348"/>
      <c r="Z17" s="348"/>
      <c r="AA17" s="308">
        <f t="shared" si="4"/>
        <v>0</v>
      </c>
      <c r="AB17" s="460"/>
      <c r="AC17" s="457"/>
      <c r="AD17" s="457"/>
      <c r="AE17" s="348"/>
      <c r="AF17" s="457"/>
      <c r="AG17" s="306">
        <f t="shared" si="5"/>
        <v>0</v>
      </c>
    </row>
    <row r="18" spans="1:33" ht="30" customHeight="1" x14ac:dyDescent="0.2">
      <c r="A18" s="297" t="s">
        <v>34</v>
      </c>
      <c r="B18" s="298" t="s">
        <v>715</v>
      </c>
      <c r="C18" s="472">
        <f t="shared" si="0"/>
        <v>0</v>
      </c>
      <c r="D18" s="471"/>
      <c r="E18" s="304"/>
      <c r="F18" s="312"/>
      <c r="G18" s="312"/>
      <c r="H18" s="312"/>
      <c r="I18" s="306">
        <f t="shared" si="1"/>
        <v>0</v>
      </c>
      <c r="J18" s="309"/>
      <c r="K18" s="304"/>
      <c r="L18" s="312"/>
      <c r="M18" s="312"/>
      <c r="N18" s="312"/>
      <c r="O18" s="308">
        <f t="shared" si="2"/>
        <v>0</v>
      </c>
      <c r="P18" s="309"/>
      <c r="Q18" s="304"/>
      <c r="R18" s="312"/>
      <c r="S18" s="312"/>
      <c r="T18" s="312"/>
      <c r="U18" s="306">
        <f t="shared" si="3"/>
        <v>0</v>
      </c>
      <c r="V18" s="307"/>
      <c r="W18" s="305"/>
      <c r="X18" s="457"/>
      <c r="Y18" s="350"/>
      <c r="Z18" s="350"/>
      <c r="AA18" s="308">
        <f t="shared" si="4"/>
        <v>0</v>
      </c>
      <c r="AB18" s="460"/>
      <c r="AC18" s="457"/>
      <c r="AD18" s="457"/>
      <c r="AE18" s="350"/>
      <c r="AF18" s="464"/>
      <c r="AG18" s="306">
        <f t="shared" si="5"/>
        <v>0</v>
      </c>
    </row>
    <row r="19" spans="1:33" ht="30" customHeight="1" x14ac:dyDescent="0.2">
      <c r="A19" s="259" t="s">
        <v>108</v>
      </c>
      <c r="B19" s="347" t="s">
        <v>107</v>
      </c>
      <c r="C19" s="472">
        <f t="shared" si="0"/>
        <v>0</v>
      </c>
      <c r="D19" s="471"/>
      <c r="E19" s="304"/>
      <c r="F19" s="312"/>
      <c r="G19" s="312"/>
      <c r="H19" s="312"/>
      <c r="I19" s="306">
        <f t="shared" si="1"/>
        <v>0</v>
      </c>
      <c r="J19" s="309"/>
      <c r="K19" s="304"/>
      <c r="L19" s="312"/>
      <c r="M19" s="312"/>
      <c r="N19" s="312"/>
      <c r="O19" s="308">
        <f t="shared" si="2"/>
        <v>0</v>
      </c>
      <c r="P19" s="314"/>
      <c r="Q19" s="312"/>
      <c r="R19" s="312"/>
      <c r="S19" s="312"/>
      <c r="T19" s="312"/>
      <c r="U19" s="306">
        <f t="shared" si="3"/>
        <v>0</v>
      </c>
      <c r="V19" s="307"/>
      <c r="W19" s="305"/>
      <c r="X19" s="457"/>
      <c r="Y19" s="350"/>
      <c r="Z19" s="350"/>
      <c r="AA19" s="308">
        <f t="shared" si="4"/>
        <v>0</v>
      </c>
      <c r="AB19" s="460"/>
      <c r="AC19" s="457"/>
      <c r="AD19" s="457"/>
      <c r="AE19" s="350"/>
      <c r="AF19" s="464"/>
      <c r="AG19" s="306">
        <f t="shared" si="5"/>
        <v>0</v>
      </c>
    </row>
    <row r="20" spans="1:33" ht="30" customHeight="1" x14ac:dyDescent="0.2">
      <c r="A20" s="297" t="s">
        <v>29</v>
      </c>
      <c r="B20" s="298" t="s">
        <v>716</v>
      </c>
      <c r="C20" s="472">
        <f t="shared" si="0"/>
        <v>0</v>
      </c>
      <c r="D20" s="471"/>
      <c r="E20" s="304"/>
      <c r="F20" s="312"/>
      <c r="G20" s="312"/>
      <c r="H20" s="312"/>
      <c r="I20" s="306">
        <f t="shared" si="1"/>
        <v>0</v>
      </c>
      <c r="J20" s="309"/>
      <c r="K20" s="304"/>
      <c r="L20" s="312"/>
      <c r="M20" s="312"/>
      <c r="N20" s="312"/>
      <c r="O20" s="308">
        <f>SUM(J20:N20)</f>
        <v>0</v>
      </c>
      <c r="P20" s="309"/>
      <c r="Q20" s="304"/>
      <c r="R20" s="312"/>
      <c r="S20" s="312"/>
      <c r="T20" s="312"/>
      <c r="U20" s="306">
        <f t="shared" si="3"/>
        <v>0</v>
      </c>
      <c r="V20" s="307"/>
      <c r="W20" s="305"/>
      <c r="X20" s="457"/>
      <c r="Y20" s="350"/>
      <c r="Z20" s="350"/>
      <c r="AA20" s="308">
        <f t="shared" si="4"/>
        <v>0</v>
      </c>
      <c r="AB20" s="460"/>
      <c r="AC20" s="457"/>
      <c r="AD20" s="457"/>
      <c r="AE20" s="350"/>
      <c r="AF20" s="464"/>
      <c r="AG20" s="306">
        <f t="shared" si="5"/>
        <v>0</v>
      </c>
    </row>
    <row r="21" spans="1:33" ht="30" customHeight="1" x14ac:dyDescent="0.2">
      <c r="A21" s="446" t="s">
        <v>34</v>
      </c>
      <c r="B21" s="447" t="s">
        <v>717</v>
      </c>
      <c r="C21" s="472">
        <f t="shared" si="0"/>
        <v>0</v>
      </c>
      <c r="D21" s="448"/>
      <c r="E21" s="449"/>
      <c r="F21" s="450"/>
      <c r="G21" s="450"/>
      <c r="H21" s="450"/>
      <c r="I21" s="306">
        <f t="shared" si="1"/>
        <v>0</v>
      </c>
      <c r="J21" s="448"/>
      <c r="K21" s="449"/>
      <c r="L21" s="450"/>
      <c r="M21" s="450"/>
      <c r="N21" s="450"/>
      <c r="O21" s="308">
        <f t="shared" si="2"/>
        <v>0</v>
      </c>
      <c r="P21" s="453"/>
      <c r="Q21" s="449"/>
      <c r="R21" s="450"/>
      <c r="S21" s="450"/>
      <c r="T21" s="450"/>
      <c r="U21" s="306">
        <f t="shared" si="3"/>
        <v>0</v>
      </c>
      <c r="V21" s="454"/>
      <c r="W21" s="455"/>
      <c r="X21" s="459"/>
      <c r="Y21" s="456"/>
      <c r="Z21" s="456"/>
      <c r="AA21" s="452"/>
      <c r="AB21" s="463"/>
      <c r="AC21" s="459"/>
      <c r="AD21" s="459"/>
      <c r="AE21" s="456"/>
      <c r="AF21" s="465"/>
      <c r="AG21" s="451"/>
    </row>
    <row r="22" spans="1:33" ht="30" customHeight="1" x14ac:dyDescent="0.2">
      <c r="A22" s="446" t="s">
        <v>34</v>
      </c>
      <c r="B22" s="447" t="s">
        <v>718</v>
      </c>
      <c r="C22" s="472">
        <f t="shared" si="0"/>
        <v>0</v>
      </c>
      <c r="D22" s="448"/>
      <c r="E22" s="449"/>
      <c r="F22" s="450"/>
      <c r="G22" s="450"/>
      <c r="H22" s="450"/>
      <c r="I22" s="306">
        <f t="shared" si="1"/>
        <v>0</v>
      </c>
      <c r="J22" s="448"/>
      <c r="K22" s="449"/>
      <c r="L22" s="450"/>
      <c r="M22" s="450"/>
      <c r="N22" s="450"/>
      <c r="O22" s="308">
        <f t="shared" si="2"/>
        <v>0</v>
      </c>
      <c r="P22" s="453"/>
      <c r="Q22" s="449"/>
      <c r="R22" s="450"/>
      <c r="S22" s="450"/>
      <c r="T22" s="450"/>
      <c r="U22" s="306">
        <f t="shared" si="3"/>
        <v>0</v>
      </c>
      <c r="V22" s="454"/>
      <c r="W22" s="455"/>
      <c r="X22" s="459"/>
      <c r="Y22" s="456"/>
      <c r="Z22" s="456"/>
      <c r="AA22" s="452"/>
      <c r="AB22" s="463"/>
      <c r="AC22" s="459"/>
      <c r="AD22" s="459"/>
      <c r="AE22" s="456"/>
      <c r="AF22" s="465"/>
      <c r="AG22" s="451"/>
    </row>
    <row r="23" spans="1:33" ht="30" customHeight="1" x14ac:dyDescent="0.2">
      <c r="A23" s="446" t="s">
        <v>34</v>
      </c>
      <c r="B23" s="447" t="s">
        <v>719</v>
      </c>
      <c r="C23" s="472">
        <f t="shared" si="0"/>
        <v>0</v>
      </c>
      <c r="D23" s="448"/>
      <c r="E23" s="449"/>
      <c r="F23" s="450"/>
      <c r="G23" s="450"/>
      <c r="H23" s="450"/>
      <c r="I23" s="306">
        <f t="shared" si="1"/>
        <v>0</v>
      </c>
      <c r="J23" s="448"/>
      <c r="K23" s="449"/>
      <c r="L23" s="450"/>
      <c r="M23" s="450"/>
      <c r="N23" s="450"/>
      <c r="O23" s="308">
        <f t="shared" si="2"/>
        <v>0</v>
      </c>
      <c r="P23" s="453"/>
      <c r="Q23" s="449"/>
      <c r="R23" s="450"/>
      <c r="S23" s="450"/>
      <c r="T23" s="450"/>
      <c r="U23" s="306">
        <f t="shared" si="3"/>
        <v>0</v>
      </c>
      <c r="V23" s="454"/>
      <c r="W23" s="455"/>
      <c r="X23" s="459"/>
      <c r="Y23" s="456"/>
      <c r="Z23" s="456"/>
      <c r="AA23" s="452"/>
      <c r="AB23" s="463"/>
      <c r="AC23" s="459"/>
      <c r="AD23" s="459"/>
      <c r="AE23" s="456"/>
      <c r="AF23" s="465"/>
      <c r="AG23" s="451"/>
    </row>
    <row r="24" spans="1:33" ht="30" customHeight="1" x14ac:dyDescent="0.2">
      <c r="A24" s="446" t="s">
        <v>34</v>
      </c>
      <c r="B24" s="447" t="s">
        <v>733</v>
      </c>
      <c r="C24" s="472">
        <f t="shared" si="0"/>
        <v>0</v>
      </c>
      <c r="D24" s="448"/>
      <c r="E24" s="449"/>
      <c r="F24" s="450"/>
      <c r="G24" s="450"/>
      <c r="H24" s="450"/>
      <c r="I24" s="306">
        <f t="shared" si="1"/>
        <v>0</v>
      </c>
      <c r="J24" s="448"/>
      <c r="K24" s="449"/>
      <c r="L24" s="450"/>
      <c r="M24" s="450"/>
      <c r="N24" s="450"/>
      <c r="O24" s="308">
        <f t="shared" si="2"/>
        <v>0</v>
      </c>
      <c r="P24" s="453"/>
      <c r="Q24" s="449"/>
      <c r="R24" s="450"/>
      <c r="S24" s="450"/>
      <c r="T24" s="450"/>
      <c r="U24" s="451"/>
      <c r="V24" s="454"/>
      <c r="W24" s="455"/>
      <c r="X24" s="459"/>
      <c r="Y24" s="456"/>
      <c r="Z24" s="456"/>
      <c r="AA24" s="452"/>
      <c r="AB24" s="463"/>
      <c r="AC24" s="459"/>
      <c r="AD24" s="459"/>
      <c r="AE24" s="456"/>
      <c r="AF24" s="465"/>
      <c r="AG24" s="451"/>
    </row>
    <row r="25" spans="1:33" ht="30" customHeight="1" x14ac:dyDescent="0.2">
      <c r="A25" s="446" t="s">
        <v>34</v>
      </c>
      <c r="B25" s="447" t="s">
        <v>734</v>
      </c>
      <c r="C25" s="472">
        <f t="shared" si="0"/>
        <v>20</v>
      </c>
      <c r="D25" s="448"/>
      <c r="E25" s="449">
        <v>20</v>
      </c>
      <c r="F25" s="450"/>
      <c r="G25" s="450"/>
      <c r="H25" s="450"/>
      <c r="I25" s="306">
        <f t="shared" si="1"/>
        <v>20</v>
      </c>
      <c r="J25" s="448"/>
      <c r="K25" s="449"/>
      <c r="L25" s="450"/>
      <c r="M25" s="450"/>
      <c r="N25" s="450"/>
      <c r="O25" s="308">
        <f t="shared" si="2"/>
        <v>0</v>
      </c>
      <c r="P25" s="453"/>
      <c r="Q25" s="449"/>
      <c r="R25" s="450"/>
      <c r="S25" s="450"/>
      <c r="T25" s="450"/>
      <c r="U25" s="451"/>
      <c r="V25" s="454"/>
      <c r="W25" s="455"/>
      <c r="X25" s="459"/>
      <c r="Y25" s="456"/>
      <c r="Z25" s="456"/>
      <c r="AA25" s="452"/>
      <c r="AB25" s="463"/>
      <c r="AC25" s="459"/>
      <c r="AD25" s="459"/>
      <c r="AE25" s="456"/>
      <c r="AF25" s="465"/>
      <c r="AG25" s="451"/>
    </row>
    <row r="26" spans="1:33" ht="30" customHeight="1" thickBot="1" x14ac:dyDescent="0.25">
      <c r="A26" s="473" t="s">
        <v>34</v>
      </c>
      <c r="B26" s="474" t="s">
        <v>308</v>
      </c>
      <c r="C26" s="475">
        <f t="shared" si="0"/>
        <v>0</v>
      </c>
      <c r="D26" s="448"/>
      <c r="E26" s="449"/>
      <c r="F26" s="450"/>
      <c r="G26" s="450"/>
      <c r="H26" s="450"/>
      <c r="I26" s="306">
        <f t="shared" si="1"/>
        <v>0</v>
      </c>
      <c r="J26" s="448"/>
      <c r="K26" s="449"/>
      <c r="L26" s="450"/>
      <c r="M26" s="450"/>
      <c r="N26" s="450"/>
      <c r="O26" s="308">
        <f t="shared" si="2"/>
        <v>0</v>
      </c>
      <c r="P26" s="453"/>
      <c r="Q26" s="449"/>
      <c r="R26" s="450"/>
      <c r="S26" s="450"/>
      <c r="T26" s="450"/>
      <c r="U26" s="451"/>
      <c r="V26" s="454"/>
      <c r="W26" s="455"/>
      <c r="X26" s="459"/>
      <c r="Y26" s="456"/>
      <c r="Z26" s="456"/>
      <c r="AA26" s="452"/>
      <c r="AB26" s="463"/>
      <c r="AC26" s="459"/>
      <c r="AD26" s="459"/>
      <c r="AE26" s="456"/>
      <c r="AF26" s="465"/>
      <c r="AG26" s="451"/>
    </row>
    <row r="27" spans="1:33" ht="50" customHeight="1" thickBot="1" x14ac:dyDescent="0.25">
      <c r="A27" s="1255" t="s">
        <v>720</v>
      </c>
      <c r="B27" s="1256"/>
      <c r="C27" s="470">
        <f>SUM(C3:C23)</f>
        <v>1150</v>
      </c>
      <c r="D27" s="299">
        <f t="shared" ref="D27:I27" si="6">SUM(D3:D26)</f>
        <v>637</v>
      </c>
      <c r="E27" s="299">
        <f t="shared" si="6"/>
        <v>533</v>
      </c>
      <c r="F27" s="299">
        <f t="shared" si="6"/>
        <v>0</v>
      </c>
      <c r="G27" s="299">
        <f t="shared" si="6"/>
        <v>0</v>
      </c>
      <c r="H27" s="299">
        <f t="shared" si="6"/>
        <v>0</v>
      </c>
      <c r="I27" s="315">
        <f t="shared" si="6"/>
        <v>1170</v>
      </c>
      <c r="J27" s="316">
        <f>SUM(J3:J20)</f>
        <v>0</v>
      </c>
      <c r="K27" s="299">
        <f>SUM(K3:K20)</f>
        <v>0</v>
      </c>
      <c r="L27" s="299">
        <f>SUM(L3:L23)</f>
        <v>0</v>
      </c>
      <c r="M27" s="299">
        <f>SUM(M3:M24)</f>
        <v>0</v>
      </c>
      <c r="N27" s="299">
        <f>SUM(N3:N24)</f>
        <v>0</v>
      </c>
      <c r="O27" s="317">
        <f t="shared" ref="O27:AG27" si="7">SUM(O3:O20)</f>
        <v>0</v>
      </c>
      <c r="P27" s="318">
        <f t="shared" si="7"/>
        <v>0</v>
      </c>
      <c r="Q27" s="299">
        <f t="shared" si="7"/>
        <v>0</v>
      </c>
      <c r="R27" s="299">
        <f t="shared" si="7"/>
        <v>0</v>
      </c>
      <c r="S27" s="299">
        <f t="shared" si="7"/>
        <v>0</v>
      </c>
      <c r="T27" s="299">
        <f t="shared" si="7"/>
        <v>0</v>
      </c>
      <c r="U27" s="315">
        <f t="shared" si="7"/>
        <v>0</v>
      </c>
      <c r="V27" s="318">
        <f t="shared" si="7"/>
        <v>0</v>
      </c>
      <c r="W27" s="299">
        <f t="shared" si="7"/>
        <v>0</v>
      </c>
      <c r="X27" s="299">
        <f t="shared" si="7"/>
        <v>0</v>
      </c>
      <c r="Y27" s="299">
        <f t="shared" si="7"/>
        <v>0</v>
      </c>
      <c r="Z27" s="299">
        <f t="shared" si="7"/>
        <v>0</v>
      </c>
      <c r="AA27" s="315">
        <f t="shared" si="7"/>
        <v>0</v>
      </c>
      <c r="AB27" s="318">
        <f t="shared" si="7"/>
        <v>0</v>
      </c>
      <c r="AC27" s="299">
        <f t="shared" si="7"/>
        <v>0</v>
      </c>
      <c r="AD27" s="299">
        <f t="shared" si="7"/>
        <v>0</v>
      </c>
      <c r="AE27" s="299">
        <f t="shared" si="7"/>
        <v>0</v>
      </c>
      <c r="AF27" s="299">
        <f t="shared" si="7"/>
        <v>0</v>
      </c>
      <c r="AG27" s="315">
        <f t="shared" si="7"/>
        <v>0</v>
      </c>
    </row>
  </sheetData>
  <mergeCells count="9">
    <mergeCell ref="AA1:AA2"/>
    <mergeCell ref="AG1:AG2"/>
    <mergeCell ref="A27:B27"/>
    <mergeCell ref="A1:A2"/>
    <mergeCell ref="B1:B2"/>
    <mergeCell ref="C1:C2"/>
    <mergeCell ref="I1:I2"/>
    <mergeCell ref="O1:O2"/>
    <mergeCell ref="U1:U2"/>
  </mergeCells>
  <pageMargins left="0.51181102362204722" right="0.11811023622047245" top="1.5354330708661419" bottom="0.74803149606299213" header="0" footer="0.31496062992125984"/>
  <pageSetup paperSize="9" scale="24" orientation="landscape" r:id="rId1"/>
  <headerFooter>
    <oddHeader>&amp;L&amp;G&amp;C&amp;"Arial,Bold"&amp;72
&amp;F</oddHeader>
    <oddFooter>&amp;R&amp;"Arial,Bold"&amp;20Melanie Liu
&amp;D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e318ce-347e-4738-a2ea-fb941551c9af">
      <Terms xmlns="http://schemas.microsoft.com/office/infopath/2007/PartnerControls"/>
    </lcf76f155ced4ddcb4097134ff3c332f>
    <TaxCatchAll xmlns="224c73cb-9ef8-4378-a603-7a0d500cf40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73D4AE2745954DBE077109E54E7BF1" ma:contentTypeVersion="15" ma:contentTypeDescription="Create a new document." ma:contentTypeScope="" ma:versionID="a54757537a6a249c0157987aec22c0c9">
  <xsd:schema xmlns:xsd="http://www.w3.org/2001/XMLSchema" xmlns:xs="http://www.w3.org/2001/XMLSchema" xmlns:p="http://schemas.microsoft.com/office/2006/metadata/properties" xmlns:ns2="03e318ce-347e-4738-a2ea-fb941551c9af" xmlns:ns3="224c73cb-9ef8-4378-a603-7a0d500cf403" targetNamespace="http://schemas.microsoft.com/office/2006/metadata/properties" ma:root="true" ma:fieldsID="f352a983f05941d22200dd6e86e1eb5b" ns2:_="" ns3:_="">
    <xsd:import namespace="03e318ce-347e-4738-a2ea-fb941551c9af"/>
    <xsd:import namespace="224c73cb-9ef8-4378-a603-7a0d500cf4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e318ce-347e-4738-a2ea-fb941551c9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af45267-e8c7-4465-a07e-d6bbb1ff7ce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4c73cb-9ef8-4378-a603-7a0d500cf40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2c91ec4-73a2-4416-81fd-84487bc235ab}" ma:internalName="TaxCatchAll" ma:showField="CatchAllData" ma:web="224c73cb-9ef8-4378-a603-7a0d500cf4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E4F1267-0BA9-434F-A66F-06D6723F5DEB}">
  <ds:schemaRefs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224c73cb-9ef8-4378-a603-7a0d500cf403"/>
    <ds:schemaRef ds:uri="http://schemas.microsoft.com/office/2006/metadata/properties"/>
    <ds:schemaRef ds:uri="http://purl.org/dc/elements/1.1/"/>
    <ds:schemaRef ds:uri="http://www.w3.org/XML/1998/namespace"/>
    <ds:schemaRef ds:uri="03e318ce-347e-4738-a2ea-fb941551c9af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C5E870C-22DB-4B8A-9DF4-6555AB1644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D98F195-A590-4B56-8F83-443B546FF2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e318ce-347e-4738-a2ea-fb941551c9af"/>
    <ds:schemaRef ds:uri="224c73cb-9ef8-4378-a603-7a0d500cf4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Setting</vt:lpstr>
      <vt:lpstr>DataValidation</vt:lpstr>
      <vt:lpstr>ContainerSchedule</vt:lpstr>
      <vt:lpstr>Gantt Chart Update</vt:lpstr>
      <vt:lpstr>27 Projections</vt:lpstr>
      <vt:lpstr>New summary</vt:lpstr>
      <vt:lpstr>Margins</vt:lpstr>
      <vt:lpstr>Cashflow</vt:lpstr>
      <vt:lpstr>For Schedule</vt:lpstr>
      <vt:lpstr>2026 Direct Labor Cost</vt:lpstr>
      <vt:lpstr>2026 Indirect Labor Cost </vt:lpstr>
      <vt:lpstr>2026 Expense</vt:lpstr>
      <vt:lpstr>2026 People Schedule</vt:lpstr>
      <vt:lpstr>2026 AS Office </vt:lpstr>
      <vt:lpstr>2026 Pairs Packed</vt:lpstr>
      <vt:lpstr>2026 Packed Jan</vt:lpstr>
      <vt:lpstr>year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 Boot Company</dc:creator>
  <cp:keywords/>
  <dc:description/>
  <cp:lastModifiedBy>Clyde | American Sole</cp:lastModifiedBy>
  <cp:revision/>
  <dcterms:created xsi:type="dcterms:W3CDTF">2025-09-08T16:08:16Z</dcterms:created>
  <dcterms:modified xsi:type="dcterms:W3CDTF">2026-05-06T20:36:34Z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3600</vt:r8>
  </property>
  <property fmtid="{D5CDD505-2E9C-101B-9397-08002B2CF9AE}" pid="3" name="MediaServiceImageTags">
    <vt:lpwstr/>
  </property>
  <property fmtid="{D5CDD505-2E9C-101B-9397-08002B2CF9AE}" pid="4" name="ContentTypeId">
    <vt:lpwstr>0x010100AA73D4AE2745954DBE077109E54E7BF1</vt:lpwstr>
  </property>
  <property fmtid="{D5CDD505-2E9C-101B-9397-08002B2CF9AE}" pid="5" name="ComplianceAsset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</Properties>
</file>