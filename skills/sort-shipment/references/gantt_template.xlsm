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-shenglee/Desktop/dev/AmericanSole/skills/sort-shipment/references/"/>
    </mc:Choice>
  </mc:AlternateContent>
  <xr:revisionPtr revIDLastSave="0" documentId="13_ncr:1_{E2DBFD61-CB02-0147-B1C1-74849F02B935}" xr6:coauthVersionLast="47" xr6:coauthVersionMax="47" xr10:uidLastSave="{00000000-0000-0000-0000-000000000000}"/>
  <bookViews>
    <workbookView xWindow="920" yWindow="500" windowWidth="27880" windowHeight="17500" xr2:uid="{8303FF77-CD89-BF41-B4DA-8F46A9B8E22B}"/>
  </bookViews>
  <sheets>
    <sheet name="setting" sheetId="2" r:id="rId1"/>
    <sheet name="data" sheetId="3" r:id="rId2"/>
    <sheet name="GanttChart" sheetId="1" r:id="rId3"/>
  </sheets>
  <definedNames>
    <definedName name="_xlnm._FilterDatabase" localSheetId="1" hidden="1">data!$A$1:$M$1</definedName>
    <definedName name="_xlnm._FilterDatabase" localSheetId="0" hidden="1">data!$A$1:$M$1</definedName>
    <definedName name="data_dest">data!$A$2</definedName>
    <definedName name="year">setting!$B$1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5" i="1" l="1"/>
  <c r="E54" i="1"/>
  <c r="E53" i="1"/>
  <c r="F52" i="1"/>
  <c r="E52" i="1"/>
  <c r="E51" i="1"/>
  <c r="E50" i="1"/>
  <c r="F49" i="1"/>
  <c r="E49" i="1"/>
  <c r="E48" i="1"/>
  <c r="E47" i="1"/>
  <c r="E46" i="1"/>
  <c r="E45" i="1"/>
  <c r="E44" i="1"/>
  <c r="E43" i="1"/>
  <c r="E42" i="1"/>
  <c r="F41" i="1"/>
  <c r="E41" i="1"/>
  <c r="E40" i="1"/>
  <c r="E39" i="1"/>
  <c r="E38" i="1"/>
  <c r="F37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F24" i="1"/>
  <c r="E24" i="1"/>
  <c r="E23" i="1"/>
  <c r="E22" i="1"/>
  <c r="E21" i="1"/>
  <c r="F20" i="1"/>
  <c r="E20" i="1"/>
  <c r="E19" i="1"/>
  <c r="E18" i="1"/>
  <c r="F17" i="1"/>
  <c r="E17" i="1"/>
  <c r="E16" i="1"/>
  <c r="E15" i="1"/>
  <c r="E14" i="1"/>
  <c r="E13" i="1"/>
  <c r="E12" i="1"/>
  <c r="E11" i="1"/>
  <c r="E10" i="1"/>
  <c r="E9" i="1"/>
  <c r="E8" i="1"/>
  <c r="E7" i="1"/>
  <c r="E6" i="1"/>
  <c r="F5" i="1"/>
  <c r="E5" i="1"/>
  <c r="E4" i="1"/>
  <c r="E3" i="1"/>
  <c r="E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2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B4" i="1"/>
  <c r="D3" i="1"/>
  <c r="C3" i="1"/>
  <c r="B3" i="1"/>
  <c r="I44" i="3"/>
  <c r="F44" i="1" s="1"/>
  <c r="I36" i="3"/>
  <c r="F36" i="1" s="1"/>
  <c r="I35" i="3"/>
  <c r="F35" i="1" s="1"/>
  <c r="I23" i="3"/>
  <c r="F23" i="1" s="1"/>
  <c r="I28" i="3"/>
  <c r="F28" i="1" s="1"/>
  <c r="I20" i="3"/>
  <c r="I17" i="3"/>
  <c r="I16" i="3"/>
  <c r="F16" i="1" s="1"/>
  <c r="I10" i="3"/>
  <c r="F10" i="1" s="1"/>
  <c r="I14" i="3"/>
  <c r="F14" i="1" s="1"/>
  <c r="I13" i="3"/>
  <c r="F13" i="1" s="1"/>
  <c r="I5" i="3"/>
  <c r="I4" i="3"/>
  <c r="F4" i="1" s="1"/>
  <c r="H38" i="3"/>
  <c r="I38" i="3" s="1"/>
  <c r="F38" i="1" s="1"/>
  <c r="H27" i="3"/>
  <c r="I27" i="3" s="1"/>
  <c r="F27" i="1" s="1"/>
  <c r="H26" i="3"/>
  <c r="I26" i="3" s="1"/>
  <c r="F26" i="1" s="1"/>
  <c r="H28" i="3"/>
  <c r="H32" i="3"/>
  <c r="I32" i="3" s="1"/>
  <c r="F32" i="1" s="1"/>
  <c r="H31" i="3"/>
  <c r="I31" i="3" s="1"/>
  <c r="F31" i="1" s="1"/>
  <c r="H30" i="3"/>
  <c r="I30" i="3" s="1"/>
  <c r="F30" i="1" s="1"/>
  <c r="H29" i="3"/>
  <c r="I29" i="3" s="1"/>
  <c r="F29" i="1" s="1"/>
  <c r="H55" i="3"/>
  <c r="I55" i="3" s="1"/>
  <c r="F55" i="1" s="1"/>
  <c r="H54" i="3"/>
  <c r="I54" i="3" s="1"/>
  <c r="F54" i="1" s="1"/>
  <c r="H53" i="3"/>
  <c r="I53" i="3" s="1"/>
  <c r="F53" i="1" s="1"/>
  <c r="H51" i="3"/>
  <c r="I51" i="3" s="1"/>
  <c r="F51" i="1" s="1"/>
  <c r="H52" i="3"/>
  <c r="I52" i="3" s="1"/>
  <c r="H50" i="3"/>
  <c r="I50" i="3" s="1"/>
  <c r="F50" i="1" s="1"/>
  <c r="H49" i="3"/>
  <c r="I49" i="3" s="1"/>
  <c r="H48" i="3"/>
  <c r="I48" i="3" s="1"/>
  <c r="F48" i="1" s="1"/>
  <c r="H47" i="3"/>
  <c r="I47" i="3" s="1"/>
  <c r="F47" i="1" s="1"/>
  <c r="H46" i="3"/>
  <c r="I46" i="3" s="1"/>
  <c r="F46" i="1" s="1"/>
  <c r="H45" i="3"/>
  <c r="I45" i="3" s="1"/>
  <c r="F45" i="1" s="1"/>
  <c r="H44" i="3"/>
  <c r="H43" i="3"/>
  <c r="I43" i="3" s="1"/>
  <c r="F43" i="1" s="1"/>
  <c r="H42" i="3"/>
  <c r="I42" i="3" s="1"/>
  <c r="F42" i="1" s="1"/>
  <c r="H41" i="3"/>
  <c r="I41" i="3" s="1"/>
  <c r="H40" i="3"/>
  <c r="I40" i="3" s="1"/>
  <c r="F40" i="1" s="1"/>
  <c r="H39" i="3"/>
  <c r="I39" i="3" s="1"/>
  <c r="F39" i="1" s="1"/>
  <c r="H37" i="3"/>
  <c r="I37" i="3" s="1"/>
  <c r="H36" i="3"/>
  <c r="H35" i="3"/>
  <c r="H34" i="3"/>
  <c r="I34" i="3" s="1"/>
  <c r="F34" i="1" s="1"/>
  <c r="H33" i="3"/>
  <c r="I33" i="3" s="1"/>
  <c r="F33" i="1" s="1"/>
  <c r="H22" i="3"/>
  <c r="I22" i="3" s="1"/>
  <c r="F22" i="1" s="1"/>
  <c r="H21" i="3"/>
  <c r="I21" i="3" s="1"/>
  <c r="F21" i="1" s="1"/>
  <c r="H25" i="3"/>
  <c r="I25" i="3" s="1"/>
  <c r="F25" i="1" s="1"/>
  <c r="H24" i="3"/>
  <c r="I24" i="3" s="1"/>
  <c r="H23" i="3"/>
  <c r="H20" i="3"/>
  <c r="H19" i="3"/>
  <c r="I19" i="3" s="1"/>
  <c r="F19" i="1" s="1"/>
  <c r="H18" i="3"/>
  <c r="I18" i="3" s="1"/>
  <c r="F18" i="1" s="1"/>
  <c r="H17" i="3"/>
  <c r="H16" i="3"/>
  <c r="H15" i="3"/>
  <c r="I15" i="3" s="1"/>
  <c r="F15" i="1" s="1"/>
  <c r="H11" i="3"/>
  <c r="I11" i="3" s="1"/>
  <c r="F11" i="1" s="1"/>
  <c r="H10" i="3"/>
  <c r="H14" i="3"/>
  <c r="H13" i="3"/>
  <c r="H12" i="3"/>
  <c r="I12" i="3" s="1"/>
  <c r="F12" i="1" s="1"/>
  <c r="H8" i="3"/>
  <c r="I8" i="3" s="1"/>
  <c r="F8" i="1" s="1"/>
  <c r="H9" i="3"/>
  <c r="I9" i="3" s="1"/>
  <c r="F9" i="1" s="1"/>
  <c r="H7" i="3"/>
  <c r="I7" i="3" s="1"/>
  <c r="F7" i="1" s="1"/>
  <c r="H6" i="3"/>
  <c r="I6" i="3" s="1"/>
  <c r="F6" i="1" s="1"/>
  <c r="H5" i="3"/>
  <c r="H4" i="3"/>
  <c r="H3" i="3"/>
  <c r="I3" i="3" s="1"/>
  <c r="F3" i="1" s="1"/>
  <c r="H2" i="3"/>
  <c r="I2" i="3" s="1"/>
  <c r="F2" i="1" s="1"/>
  <c r="D2" i="1"/>
  <c r="C2" i="1"/>
  <c r="B2" i="1"/>
  <c r="B2" i="2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</calcChain>
</file>

<file path=xl/sharedStrings.xml><?xml version="1.0" encoding="utf-8"?>
<sst xmlns="http://schemas.openxmlformats.org/spreadsheetml/2006/main" count="221" uniqueCount="105">
  <si>
    <t xml:space="preserve">PO # </t>
  </si>
  <si>
    <t>Legends:</t>
  </si>
  <si>
    <t>LH Ex-Factory Date</t>
  </si>
  <si>
    <t>ETA to American Sole</t>
  </si>
  <si>
    <t>Brand</t>
  </si>
  <si>
    <t>Style</t>
  </si>
  <si>
    <t>Pairs</t>
  </si>
  <si>
    <t>po_number</t>
  </si>
  <si>
    <t>shipment_idx</t>
  </si>
  <si>
    <t>brand</t>
  </si>
  <si>
    <t>style</t>
  </si>
  <si>
    <t>pairs</t>
  </si>
  <si>
    <t>lh_xf</t>
  </si>
  <si>
    <t>etd_port</t>
  </si>
  <si>
    <t>eta_sa</t>
  </si>
  <si>
    <t>eta_fac</t>
  </si>
  <si>
    <t>customer_requested_xf</t>
  </si>
  <si>
    <t>container_type</t>
  </si>
  <si>
    <t>container_number</t>
  </si>
  <si>
    <t>remark</t>
  </si>
  <si>
    <t>Year</t>
  </si>
  <si>
    <t>First Friday Date</t>
  </si>
  <si>
    <t>339840-00</t>
  </si>
  <si>
    <t>Fire-Dex</t>
  </si>
  <si>
    <t>339842-00</t>
  </si>
  <si>
    <t>PO175</t>
  </si>
  <si>
    <t>USBOOT</t>
  </si>
  <si>
    <t>Condor Wellington Waterproof</t>
  </si>
  <si>
    <t>PO1173</t>
  </si>
  <si>
    <t>BRUNT</t>
  </si>
  <si>
    <t>PO1172</t>
  </si>
  <si>
    <t>Marin Welted USA 8"(Comp Toe)</t>
  </si>
  <si>
    <t>PO1225</t>
  </si>
  <si>
    <t>PO1226</t>
  </si>
  <si>
    <t>PO1224</t>
  </si>
  <si>
    <t>PO1227</t>
  </si>
  <si>
    <t>Marin Welted USA (Comp Toe) Brunt Toe</t>
  </si>
  <si>
    <t>340055-00</t>
  </si>
  <si>
    <t>PO1228</t>
  </si>
  <si>
    <t>6' Ironmaster-Black</t>
  </si>
  <si>
    <t>6' Ironmaster-Copper</t>
  </si>
  <si>
    <t>CAT</t>
  </si>
  <si>
    <t>Wolverine</t>
  </si>
  <si>
    <t>PO1232</t>
  </si>
  <si>
    <t>PO1233</t>
  </si>
  <si>
    <t>Weinbrenner</t>
  </si>
  <si>
    <t>PO1229</t>
  </si>
  <si>
    <t>PO1230</t>
  </si>
  <si>
    <t>PO1231</t>
  </si>
  <si>
    <t>340057-00</t>
  </si>
  <si>
    <t>340244-00</t>
  </si>
  <si>
    <t>340420-00</t>
  </si>
  <si>
    <t>340386-00</t>
  </si>
  <si>
    <t>PO1333</t>
  </si>
  <si>
    <t>PO1334</t>
  </si>
  <si>
    <t>PO1335</t>
  </si>
  <si>
    <t>PO1336</t>
  </si>
  <si>
    <t>PO1337</t>
  </si>
  <si>
    <t>340390-00</t>
  </si>
  <si>
    <t>Harley Davidson</t>
  </si>
  <si>
    <t>D96331</t>
  </si>
  <si>
    <t>340644-00</t>
  </si>
  <si>
    <t>Chippewa</t>
  </si>
  <si>
    <t>SL5405E</t>
  </si>
  <si>
    <t>SL5405EEE</t>
  </si>
  <si>
    <t>SL5410E</t>
  </si>
  <si>
    <t>SL5410EEE</t>
  </si>
  <si>
    <t>PO/2026/0013</t>
  </si>
  <si>
    <t>US BOOT</t>
  </si>
  <si>
    <t>6" JAMES - Chelsea Soft Toe</t>
  </si>
  <si>
    <t>DANE</t>
  </si>
  <si>
    <t>PO/2026/0014</t>
  </si>
  <si>
    <t>PO/2026/0015</t>
  </si>
  <si>
    <t>4700635198</t>
  </si>
  <si>
    <t>4700635176</t>
  </si>
  <si>
    <t>4700641372</t>
  </si>
  <si>
    <t>674703</t>
  </si>
  <si>
    <t>674705</t>
  </si>
  <si>
    <t>676431</t>
  </si>
  <si>
    <t>4700641424</t>
  </si>
  <si>
    <t>676997</t>
  </si>
  <si>
    <t>676998</t>
  </si>
  <si>
    <t>4500233920</t>
  </si>
  <si>
    <t>4500233921</t>
  </si>
  <si>
    <t>4500233922</t>
  </si>
  <si>
    <t>4500233923</t>
  </si>
  <si>
    <t>FDXL200
Waterproof</t>
  </si>
  <si>
    <t xml:space="preserve">6'' Driftlock (Bravo Soft toe ) Waterproof </t>
  </si>
  <si>
    <t xml:space="preserve">Western Steel Toe Waterproof </t>
  </si>
  <si>
    <t xml:space="preserve"> Ohman Welted USA (Comp Toe)</t>
  </si>
  <si>
    <t xml:space="preserve"> Ohman Welted USA (Soft Toe)</t>
  </si>
  <si>
    <t>Marin Welted USA 8"(Comp Toe)  
Waterproof</t>
  </si>
  <si>
    <t xml:space="preserve">Marin Unlined Welted USA (Soft Toe)
 </t>
  </si>
  <si>
    <t xml:space="preserve">Marin Unlined Welted USA (Comp Toe)
 </t>
  </si>
  <si>
    <t>Marin Welted USA (Soft Toe)
Waterproof</t>
  </si>
  <si>
    <t>Marin Unlined Welted USA (Comp Toe)
Dark BRN</t>
  </si>
  <si>
    <t>P91875
Waterproof</t>
  </si>
  <si>
    <t>W260098
Waterproof</t>
  </si>
  <si>
    <t>W261123
Waterproof</t>
  </si>
  <si>
    <t>504/804-6301
Waterproof</t>
  </si>
  <si>
    <t>FDXL90 
Waterproof</t>
  </si>
  <si>
    <t>Marin Unlined Welted USA (Soft Toe)
Dark BRN</t>
  </si>
  <si>
    <t xml:space="preserve">Marin Welted USA (Soft Toe)  </t>
  </si>
  <si>
    <t>Marin Welted USA  Brunt Toe(Comp Toe)</t>
  </si>
  <si>
    <t>8‘’ Bravo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</si>
</sst>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yyyy\-mm\-dd;@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196B24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14" fontId="3" fillId="3" borderId="6" xfId="0" applyNumberFormat="1" applyFont="1" applyFill="1" applyBorder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0" xfId="0" applyAlignment="1">
      <alignment vertical="center"/>
    </xf>
    <xf numFmtId="0" fontId="0" fillId="0" borderId="10" xfId="0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0" fillId="0" borderId="2" xfId="0" applyBorder="1"/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0" fillId="0" borderId="4" xfId="0" applyBorder="1"/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" fontId="2" fillId="0" borderId="12" xfId="0" applyNumberFormat="1" applyFont="1" applyBorder="1" applyAlignment="1">
      <alignment horizontal="center" vertical="center"/>
    </xf>
    <xf numFmtId="16" fontId="2" fillId="0" borderId="13" xfId="0" applyNumberFormat="1" applyFont="1" applyBorder="1" applyAlignment="1">
      <alignment horizontal="center" vertical="center"/>
    </xf>
    <xf numFmtId="16" fontId="2" fillId="0" borderId="14" xfId="0" applyNumberFormat="1" applyFont="1" applyBorder="1" applyAlignment="1">
      <alignment horizontal="center" vertical="center"/>
    </xf>
    <xf numFmtId="16" fontId="2" fillId="0" borderId="16" xfId="0" applyNumberFormat="1" applyFont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165" fontId="4" fillId="0" borderId="2" xfId="0" applyNumberFormat="1" applyFont="1" applyBorder="1" applyAlignment="1">
      <alignment horizontal="center"/>
    </xf>
    <xf numFmtId="0" fontId="5" fillId="0" borderId="0" xfId="0" applyFont="1"/>
    <xf numFmtId="14" fontId="5" fillId="0" borderId="0" xfId="0" applyNumberFormat="1" applyFont="1"/>
    <xf numFmtId="0" fontId="0" fillId="0" borderId="19" xfId="0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7" xfId="0" applyBorder="1"/>
    <xf numFmtId="0" fontId="0" fillId="0" borderId="1" xfId="0" applyBorder="1"/>
    <xf numFmtId="0" fontId="0" fillId="0" borderId="5" xfId="0" applyBorder="1"/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19" xfId="0" applyBorder="1" applyAlignment="1">
      <alignment horizontal="center"/>
    </xf>
    <xf numFmtId="0" fontId="0" fillId="0" borderId="2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18" xfId="0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6" fillId="3" borderId="10" xfId="0" applyNumberFormat="1" applyFont="1" applyFill="1" applyBorder="1"/>
    <xf numFmtId="14" fontId="6" fillId="3" borderId="2" xfId="0" applyNumberFormat="1" applyFont="1" applyFill="1" applyBorder="1"/>
    <xf numFmtId="14" fontId="6" fillId="3" borderId="5" xfId="0" applyNumberFormat="1" applyFont="1" applyFill="1" applyBorder="1"/>
    <xf numFmtId="14" fontId="6" fillId="3" borderId="1" xfId="0" applyNumberFormat="1" applyFont="1" applyFill="1" applyBorder="1"/>
    <xf numFmtId="14" fontId="6" fillId="3" borderId="20" xfId="0" applyNumberFormat="1" applyFont="1" applyFill="1" applyBorder="1"/>
    <xf numFmtId="14" fontId="6" fillId="3" borderId="19" xfId="0" applyNumberFormat="1" applyFont="1" applyFill="1" applyBorder="1"/>
    <xf numFmtId="14" fontId="6" fillId="3" borderId="22" xfId="0" applyNumberFormat="1" applyFont="1" applyFill="1" applyBorder="1"/>
    <xf numFmtId="14" fontId="6" fillId="6" borderId="15" xfId="0" applyNumberFormat="1" applyFont="1" applyFill="1" applyBorder="1"/>
    <xf numFmtId="14" fontId="6" fillId="6" borderId="1" xfId="0" applyNumberFormat="1" applyFont="1" applyFill="1" applyBorder="1"/>
    <xf numFmtId="14" fontId="6" fillId="6" borderId="2" xfId="0" applyNumberFormat="1" applyFont="1" applyFill="1" applyBorder="1"/>
    <xf numFmtId="14" fontId="6" fillId="6" borderId="19" xfId="0" applyNumberFormat="1" applyFont="1" applyFill="1" applyBorder="1"/>
    <xf numFmtId="14" fontId="6" fillId="6" borderId="20" xfId="0" applyNumberFormat="1" applyFont="1" applyFill="1" applyBorder="1"/>
    <xf numFmtId="14" fontId="6" fillId="6" borderId="22" xfId="0" applyNumberFormat="1" applyFont="1" applyFill="1" applyBorder="1"/>
    <xf numFmtId="14" fontId="6" fillId="6" borderId="21" xfId="0" applyNumberFormat="1" applyFont="1" applyFill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3BB93-D39F-E84B-A272-001183970695}">
  <sheetPr codeName="Sheet1"/>
  <dimension ref="A1:L3"/>
  <sheetViews>
    <sheetView tabSelected="1" zoomScale="130" zoomScaleNormal="130" workbookViewId="0">
      <selection activeCell="D12" sqref="D12"/>
    </sheetView>
  </sheetViews>
  <sheetFormatPr baseColWidth="10" defaultRowHeight="15" x14ac:dyDescent="0.2"/>
  <cols>
    <col min="1" max="1" width="16.83203125" bestFit="1" customWidth="1"/>
    <col min="3" max="3" width="9.83203125" bestFit="1" customWidth="1"/>
    <col min="4" max="7" width="11" bestFit="1" customWidth="1"/>
    <col min="8" max="11" width="11" style="29" bestFit="1" customWidth="1"/>
    <col min="12" max="12" width="18.5" style="29" customWidth="1"/>
    <col min="13" max="13" width="14.33203125" customWidth="1"/>
    <col min="14" max="14" width="15.6640625" customWidth="1"/>
    <col min="15" max="15" width="11" bestFit="1" customWidth="1"/>
  </cols>
  <sheetData>
    <row r="1" spans="1:2" x14ac:dyDescent="0.2">
      <c r="A1" s="7" t="s">
        <v>20</v>
      </c>
      <c r="B1" s="4">
        <v>2026</v>
      </c>
    </row>
    <row r="2" spans="1:2" x14ac:dyDescent="0.2">
      <c r="A2" s="7" t="s">
        <v>21</v>
      </c>
      <c r="B2" s="76">
        <f>CEILING(DATE(year,1,1)-6,7)+6</f>
        <v>46024</v>
      </c>
    </row>
    <row r="3" spans="1:2" x14ac:dyDescent="0.2">
      <c r="A3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5636-111E-7142-A82C-8212A4BF819C}">
  <sheetPr codeName="Sheet2"/>
  <dimension ref="A1:M193"/>
  <sheetViews>
    <sheetView zoomScale="130" zoomScaleNormal="130" workbookViewId="0">
      <pane ySplit="1" topLeftCell="A2" activePane="bottomLeft" state="frozen"/>
      <selection pane="bottomLeft"/>
    </sheetView>
  </sheetViews>
  <sheetFormatPr baseColWidth="10" defaultRowHeight="15" x14ac:dyDescent="0.2"/>
  <cols>
    <col min="1" max="1" width="15" bestFit="1" customWidth="1"/>
    <col min="2" max="2" width="16.6640625" bestFit="1" customWidth="1"/>
    <col min="3" max="3" width="13.33203125" bestFit="1" customWidth="1"/>
    <col min="4" max="4" width="38" bestFit="1" customWidth="1"/>
    <col min="5" max="5" width="10" bestFit="1" customWidth="1"/>
    <col min="6" max="6" width="9.6640625" bestFit="1" customWidth="1"/>
    <col min="7" max="7" width="12.83203125" bestFit="1" customWidth="1"/>
    <col min="8" max="8" width="11" bestFit="1" customWidth="1"/>
    <col min="9" max="9" width="11.5" bestFit="1" customWidth="1"/>
    <col min="10" max="10" width="24.6640625" bestFit="1" customWidth="1"/>
    <col min="11" max="11" width="17.83203125" bestFit="1" customWidth="1"/>
    <col min="12" max="12" width="20.5" bestFit="1" customWidth="1"/>
    <col min="13" max="13" width="11.6640625" bestFit="1" customWidth="1"/>
  </cols>
  <sheetData>
    <row r="1" spans="1:13" x14ac:dyDescent="0.2">
      <c r="A1" s="26" t="s">
        <v>7</v>
      </c>
      <c r="B1" s="26" t="s">
        <v>8</v>
      </c>
      <c r="C1" s="26" t="s">
        <v>9</v>
      </c>
      <c r="D1" s="26" t="s">
        <v>10</v>
      </c>
      <c r="E1" s="26" t="s">
        <v>11</v>
      </c>
      <c r="F1" s="30" t="s">
        <v>12</v>
      </c>
      <c r="G1" s="30" t="s">
        <v>13</v>
      </c>
      <c r="H1" s="30" t="s">
        <v>14</v>
      </c>
      <c r="I1" s="30" t="s">
        <v>15</v>
      </c>
      <c r="J1" s="30" t="s">
        <v>16</v>
      </c>
      <c r="K1" s="26" t="s">
        <v>17</v>
      </c>
      <c r="L1" s="26" t="s">
        <v>18</v>
      </c>
      <c r="M1" s="26" t="s">
        <v>19</v>
      </c>
    </row>
    <row r="2" spans="1:13" x14ac:dyDescent="0.2">
      <c r="A2" t="s">
        <v>22</v>
      </c>
      <c r="C2" t="s">
        <v>23</v>
      </c>
      <c r="D2" t="s">
        <v>86</v>
      </c>
      <c r="E2">
        <v>1314</v>
      </c>
      <c r="F2" s="27">
        <v>46113</v>
      </c>
      <c r="H2" s="27">
        <f t="shared" ref="H2:H25" si="0">F2+35</f>
        <v>46148</v>
      </c>
      <c r="I2" s="27">
        <f t="shared" ref="I2:I33" si="1">H2+3</f>
        <v>46151</v>
      </c>
    </row>
    <row r="3" spans="1:13" x14ac:dyDescent="0.2">
      <c r="A3" t="s">
        <v>24</v>
      </c>
      <c r="C3" t="s">
        <v>23</v>
      </c>
      <c r="D3" t="s">
        <v>86</v>
      </c>
      <c r="E3">
        <v>660</v>
      </c>
      <c r="F3" s="27">
        <v>46113</v>
      </c>
      <c r="H3" s="27">
        <f t="shared" si="0"/>
        <v>46148</v>
      </c>
      <c r="I3" s="27">
        <f t="shared" si="1"/>
        <v>46151</v>
      </c>
    </row>
    <row r="4" spans="1:13" x14ac:dyDescent="0.2">
      <c r="A4" t="s">
        <v>24</v>
      </c>
      <c r="C4" t="s">
        <v>23</v>
      </c>
      <c r="D4" t="s">
        <v>86</v>
      </c>
      <c r="E4">
        <v>1278</v>
      </c>
      <c r="F4" s="27">
        <v>46121</v>
      </c>
      <c r="H4" s="27">
        <f t="shared" si="0"/>
        <v>46156</v>
      </c>
      <c r="I4" s="27">
        <f t="shared" si="1"/>
        <v>46159</v>
      </c>
    </row>
    <row r="5" spans="1:13" x14ac:dyDescent="0.2">
      <c r="A5" t="s">
        <v>25</v>
      </c>
      <c r="C5" t="s">
        <v>26</v>
      </c>
      <c r="D5" t="s">
        <v>87</v>
      </c>
      <c r="E5">
        <v>522</v>
      </c>
      <c r="F5" s="27">
        <v>46121</v>
      </c>
      <c r="H5" s="27">
        <f t="shared" si="0"/>
        <v>46156</v>
      </c>
      <c r="I5" s="27">
        <f t="shared" si="1"/>
        <v>46159</v>
      </c>
    </row>
    <row r="6" spans="1:13" x14ac:dyDescent="0.2">
      <c r="A6" t="s">
        <v>25</v>
      </c>
      <c r="C6" t="s">
        <v>26</v>
      </c>
      <c r="D6" t="s">
        <v>27</v>
      </c>
      <c r="E6">
        <v>552</v>
      </c>
      <c r="F6" s="27">
        <v>46121</v>
      </c>
      <c r="H6" s="27">
        <f t="shared" si="0"/>
        <v>46156</v>
      </c>
      <c r="I6" s="27">
        <f t="shared" si="1"/>
        <v>46159</v>
      </c>
    </row>
    <row r="7" spans="1:13" x14ac:dyDescent="0.2">
      <c r="A7" t="s">
        <v>28</v>
      </c>
      <c r="C7" t="s">
        <v>29</v>
      </c>
      <c r="D7" t="s">
        <v>89</v>
      </c>
      <c r="E7">
        <v>1806</v>
      </c>
      <c r="F7" s="27">
        <v>46128</v>
      </c>
      <c r="H7" s="27">
        <f t="shared" si="0"/>
        <v>46163</v>
      </c>
      <c r="I7" s="27">
        <f t="shared" si="1"/>
        <v>46166</v>
      </c>
      <c r="M7" s="28"/>
    </row>
    <row r="8" spans="1:13" x14ac:dyDescent="0.2">
      <c r="A8" t="s">
        <v>30</v>
      </c>
      <c r="C8" t="s">
        <v>29</v>
      </c>
      <c r="D8" t="s">
        <v>31</v>
      </c>
      <c r="E8">
        <v>600</v>
      </c>
      <c r="F8" s="27">
        <v>46132</v>
      </c>
      <c r="H8" s="27">
        <f t="shared" si="0"/>
        <v>46167</v>
      </c>
      <c r="I8" s="27">
        <f t="shared" si="1"/>
        <v>46170</v>
      </c>
    </row>
    <row r="9" spans="1:13" x14ac:dyDescent="0.2">
      <c r="A9" t="s">
        <v>28</v>
      </c>
      <c r="C9" t="s">
        <v>29</v>
      </c>
      <c r="D9" t="s">
        <v>90</v>
      </c>
      <c r="E9">
        <v>1440</v>
      </c>
      <c r="F9" s="27">
        <v>46132</v>
      </c>
      <c r="H9" s="27">
        <f t="shared" si="0"/>
        <v>46167</v>
      </c>
      <c r="I9" s="27">
        <f t="shared" si="1"/>
        <v>46170</v>
      </c>
    </row>
    <row r="10" spans="1:13" x14ac:dyDescent="0.2">
      <c r="A10" t="s">
        <v>34</v>
      </c>
      <c r="C10" t="s">
        <v>29</v>
      </c>
      <c r="D10" t="s">
        <v>94</v>
      </c>
      <c r="E10">
        <v>600</v>
      </c>
      <c r="F10" s="27">
        <v>46136</v>
      </c>
      <c r="H10" s="27">
        <f t="shared" si="0"/>
        <v>46171</v>
      </c>
      <c r="I10" s="27">
        <f t="shared" si="1"/>
        <v>46174</v>
      </c>
      <c r="J10" s="27"/>
    </row>
    <row r="11" spans="1:13" x14ac:dyDescent="0.2">
      <c r="A11" t="s">
        <v>34</v>
      </c>
      <c r="C11" t="s">
        <v>29</v>
      </c>
      <c r="D11" t="s">
        <v>95</v>
      </c>
      <c r="E11">
        <v>600</v>
      </c>
      <c r="F11" s="27">
        <v>46136</v>
      </c>
      <c r="H11" s="27">
        <f t="shared" si="0"/>
        <v>46171</v>
      </c>
      <c r="I11" s="27">
        <f t="shared" si="1"/>
        <v>46174</v>
      </c>
      <c r="J11" s="27"/>
    </row>
    <row r="12" spans="1:13" x14ac:dyDescent="0.2">
      <c r="A12" t="s">
        <v>32</v>
      </c>
      <c r="C12" t="s">
        <v>29</v>
      </c>
      <c r="D12" t="s">
        <v>91</v>
      </c>
      <c r="E12">
        <v>600</v>
      </c>
      <c r="F12" s="27">
        <v>46136</v>
      </c>
      <c r="H12" s="27">
        <f t="shared" si="0"/>
        <v>46171</v>
      </c>
      <c r="I12" s="27">
        <f t="shared" si="1"/>
        <v>46174</v>
      </c>
    </row>
    <row r="13" spans="1:13" x14ac:dyDescent="0.2">
      <c r="A13" t="s">
        <v>33</v>
      </c>
      <c r="C13" t="s">
        <v>29</v>
      </c>
      <c r="D13" t="s">
        <v>92</v>
      </c>
      <c r="E13">
        <v>600</v>
      </c>
      <c r="F13" s="27">
        <v>46136</v>
      </c>
      <c r="H13" s="27">
        <f t="shared" si="0"/>
        <v>46171</v>
      </c>
      <c r="I13" s="27">
        <f t="shared" si="1"/>
        <v>46174</v>
      </c>
      <c r="J13" s="27"/>
    </row>
    <row r="14" spans="1:13" x14ac:dyDescent="0.2">
      <c r="A14" t="s">
        <v>33</v>
      </c>
      <c r="C14" t="s">
        <v>29</v>
      </c>
      <c r="D14" t="s">
        <v>93</v>
      </c>
      <c r="E14">
        <v>600</v>
      </c>
      <c r="F14" s="27">
        <v>46136</v>
      </c>
      <c r="H14" s="27">
        <f t="shared" si="0"/>
        <v>46171</v>
      </c>
      <c r="I14" s="27">
        <f t="shared" si="1"/>
        <v>46174</v>
      </c>
      <c r="J14" s="27"/>
    </row>
    <row r="15" spans="1:13" x14ac:dyDescent="0.2">
      <c r="A15" t="s">
        <v>35</v>
      </c>
      <c r="C15" t="s">
        <v>29</v>
      </c>
      <c r="D15" t="s">
        <v>36</v>
      </c>
      <c r="E15">
        <v>600</v>
      </c>
      <c r="F15" s="27">
        <v>46136</v>
      </c>
      <c r="H15" s="27">
        <f t="shared" si="0"/>
        <v>46171</v>
      </c>
      <c r="I15" s="27">
        <f t="shared" si="1"/>
        <v>46174</v>
      </c>
      <c r="J15" s="27"/>
    </row>
    <row r="16" spans="1:13" x14ac:dyDescent="0.2">
      <c r="A16" t="s">
        <v>37</v>
      </c>
      <c r="C16" t="s">
        <v>23</v>
      </c>
      <c r="D16" t="s">
        <v>86</v>
      </c>
      <c r="E16">
        <v>1572</v>
      </c>
      <c r="F16" s="27">
        <v>46140</v>
      </c>
      <c r="H16" s="27">
        <f t="shared" si="0"/>
        <v>46175</v>
      </c>
      <c r="I16" s="27">
        <f t="shared" si="1"/>
        <v>46178</v>
      </c>
      <c r="J16" s="27"/>
    </row>
    <row r="17" spans="1:10" x14ac:dyDescent="0.2">
      <c r="A17" t="s">
        <v>38</v>
      </c>
      <c r="C17" t="s">
        <v>29</v>
      </c>
      <c r="D17" t="s">
        <v>89</v>
      </c>
      <c r="E17">
        <v>1800</v>
      </c>
      <c r="F17" s="27">
        <v>46142</v>
      </c>
      <c r="H17" s="27">
        <f t="shared" si="0"/>
        <v>46177</v>
      </c>
      <c r="I17" s="27">
        <f t="shared" si="1"/>
        <v>46180</v>
      </c>
      <c r="J17" s="27"/>
    </row>
    <row r="18" spans="1:10" x14ac:dyDescent="0.2">
      <c r="A18" t="s">
        <v>38</v>
      </c>
      <c r="C18" t="s">
        <v>29</v>
      </c>
      <c r="D18" t="s">
        <v>90</v>
      </c>
      <c r="E18">
        <v>600</v>
      </c>
      <c r="F18" s="27">
        <v>46142</v>
      </c>
      <c r="H18" s="27">
        <f t="shared" si="0"/>
        <v>46177</v>
      </c>
      <c r="I18" s="27">
        <f t="shared" si="1"/>
        <v>46180</v>
      </c>
      <c r="J18" s="27"/>
    </row>
    <row r="19" spans="1:10" x14ac:dyDescent="0.2">
      <c r="A19" t="s">
        <v>25</v>
      </c>
      <c r="C19" t="s">
        <v>26</v>
      </c>
      <c r="D19" t="s">
        <v>39</v>
      </c>
      <c r="E19">
        <v>900</v>
      </c>
      <c r="F19" s="27">
        <v>46146</v>
      </c>
      <c r="H19" s="27">
        <f t="shared" si="0"/>
        <v>46181</v>
      </c>
      <c r="I19" s="27">
        <f t="shared" si="1"/>
        <v>46184</v>
      </c>
      <c r="J19" s="27"/>
    </row>
    <row r="20" spans="1:10" x14ac:dyDescent="0.2">
      <c r="A20" t="s">
        <v>25</v>
      </c>
      <c r="C20" t="s">
        <v>26</v>
      </c>
      <c r="D20" t="s">
        <v>40</v>
      </c>
      <c r="E20">
        <v>1500</v>
      </c>
      <c r="F20" s="27">
        <v>46146</v>
      </c>
      <c r="H20" s="27">
        <f t="shared" si="0"/>
        <v>46181</v>
      </c>
      <c r="I20" s="27">
        <f t="shared" si="1"/>
        <v>46184</v>
      </c>
    </row>
    <row r="21" spans="1:10" x14ac:dyDescent="0.2">
      <c r="A21" t="s">
        <v>76</v>
      </c>
      <c r="C21" t="s">
        <v>45</v>
      </c>
      <c r="D21" t="s">
        <v>99</v>
      </c>
      <c r="E21">
        <v>2052</v>
      </c>
      <c r="F21" s="27">
        <v>46166</v>
      </c>
      <c r="H21" s="27">
        <f t="shared" si="0"/>
        <v>46201</v>
      </c>
      <c r="I21" s="27">
        <f t="shared" si="1"/>
        <v>46204</v>
      </c>
      <c r="J21" s="27"/>
    </row>
    <row r="22" spans="1:10" x14ac:dyDescent="0.2">
      <c r="A22" t="s">
        <v>77</v>
      </c>
      <c r="C22" t="s">
        <v>45</v>
      </c>
      <c r="D22" t="s">
        <v>99</v>
      </c>
      <c r="E22">
        <v>100</v>
      </c>
      <c r="F22" s="27">
        <v>46166</v>
      </c>
      <c r="H22" s="27">
        <f t="shared" si="0"/>
        <v>46201</v>
      </c>
      <c r="I22" s="27">
        <f t="shared" si="1"/>
        <v>46204</v>
      </c>
      <c r="J22" s="27"/>
    </row>
    <row r="23" spans="1:10" x14ac:dyDescent="0.2">
      <c r="A23" t="s">
        <v>43</v>
      </c>
      <c r="C23" t="s">
        <v>29</v>
      </c>
      <c r="D23" t="s">
        <v>36</v>
      </c>
      <c r="E23">
        <v>600</v>
      </c>
      <c r="F23" s="27">
        <v>46166</v>
      </c>
      <c r="H23" s="27">
        <f t="shared" si="0"/>
        <v>46201</v>
      </c>
      <c r="I23" s="27">
        <f t="shared" si="1"/>
        <v>46204</v>
      </c>
    </row>
    <row r="24" spans="1:10" x14ac:dyDescent="0.2">
      <c r="A24" t="s">
        <v>44</v>
      </c>
      <c r="C24" t="s">
        <v>29</v>
      </c>
      <c r="D24" t="s">
        <v>90</v>
      </c>
      <c r="E24">
        <v>600</v>
      </c>
      <c r="F24" s="27">
        <v>46166</v>
      </c>
      <c r="H24" s="27">
        <f t="shared" si="0"/>
        <v>46201</v>
      </c>
      <c r="I24" s="27">
        <f t="shared" si="1"/>
        <v>46204</v>
      </c>
      <c r="J24" s="27"/>
    </row>
    <row r="25" spans="1:10" x14ac:dyDescent="0.2">
      <c r="A25" t="s">
        <v>44</v>
      </c>
      <c r="C25" t="s">
        <v>29</v>
      </c>
      <c r="D25" t="s">
        <v>89</v>
      </c>
      <c r="E25">
        <v>1800</v>
      </c>
      <c r="F25" s="27">
        <v>46166</v>
      </c>
      <c r="H25" s="27">
        <f t="shared" si="0"/>
        <v>46201</v>
      </c>
      <c r="I25" s="27">
        <f t="shared" si="1"/>
        <v>46204</v>
      </c>
      <c r="J25" s="27"/>
    </row>
    <row r="26" spans="1:10" x14ac:dyDescent="0.2">
      <c r="A26" t="s">
        <v>74</v>
      </c>
      <c r="C26" t="s">
        <v>42</v>
      </c>
      <c r="D26" t="s">
        <v>97</v>
      </c>
      <c r="E26">
        <v>1218</v>
      </c>
      <c r="F26" s="27">
        <v>46150</v>
      </c>
      <c r="H26" s="27">
        <f>F26+55</f>
        <v>46205</v>
      </c>
      <c r="I26" s="27">
        <f t="shared" si="1"/>
        <v>46208</v>
      </c>
      <c r="J26" s="27"/>
    </row>
    <row r="27" spans="1:10" x14ac:dyDescent="0.2">
      <c r="A27" t="s">
        <v>74</v>
      </c>
      <c r="C27" t="s">
        <v>42</v>
      </c>
      <c r="D27" t="s">
        <v>98</v>
      </c>
      <c r="E27">
        <v>636</v>
      </c>
      <c r="F27" s="27">
        <v>46150</v>
      </c>
      <c r="H27" s="27">
        <f>F27+55</f>
        <v>46205</v>
      </c>
      <c r="I27" s="27">
        <f t="shared" si="1"/>
        <v>46208</v>
      </c>
      <c r="J27" s="27"/>
    </row>
    <row r="28" spans="1:10" x14ac:dyDescent="0.2">
      <c r="A28" t="s">
        <v>73</v>
      </c>
      <c r="C28" t="s">
        <v>41</v>
      </c>
      <c r="D28" t="s">
        <v>96</v>
      </c>
      <c r="E28">
        <v>1800</v>
      </c>
      <c r="F28" s="27">
        <v>46150</v>
      </c>
      <c r="H28" s="27">
        <f>F28+55</f>
        <v>46205</v>
      </c>
      <c r="I28" s="27">
        <f t="shared" si="1"/>
        <v>46208</v>
      </c>
    </row>
    <row r="29" spans="1:10" x14ac:dyDescent="0.2">
      <c r="A29" t="s">
        <v>82</v>
      </c>
      <c r="C29" t="s">
        <v>62</v>
      </c>
      <c r="D29" t="s">
        <v>63</v>
      </c>
      <c r="E29">
        <v>2550</v>
      </c>
      <c r="F29" s="27">
        <v>46171</v>
      </c>
      <c r="H29" s="27">
        <f t="shared" ref="H29:H37" si="2">F29+35</f>
        <v>46206</v>
      </c>
      <c r="I29" s="27">
        <f t="shared" si="1"/>
        <v>46209</v>
      </c>
      <c r="J29" s="27"/>
    </row>
    <row r="30" spans="1:10" x14ac:dyDescent="0.2">
      <c r="A30" t="s">
        <v>83</v>
      </c>
      <c r="C30" t="s">
        <v>62</v>
      </c>
      <c r="D30" t="s">
        <v>64</v>
      </c>
      <c r="E30">
        <v>858</v>
      </c>
      <c r="F30" s="27">
        <v>46171</v>
      </c>
      <c r="H30" s="27">
        <f t="shared" si="2"/>
        <v>46206</v>
      </c>
      <c r="I30" s="27">
        <f t="shared" si="1"/>
        <v>46209</v>
      </c>
    </row>
    <row r="31" spans="1:10" x14ac:dyDescent="0.2">
      <c r="A31" t="s">
        <v>84</v>
      </c>
      <c r="C31" t="s">
        <v>62</v>
      </c>
      <c r="D31" t="s">
        <v>65</v>
      </c>
      <c r="E31">
        <v>1008</v>
      </c>
      <c r="F31" s="27">
        <v>46171</v>
      </c>
      <c r="H31" s="27">
        <f t="shared" si="2"/>
        <v>46206</v>
      </c>
      <c r="I31" s="27">
        <f t="shared" si="1"/>
        <v>46209</v>
      </c>
    </row>
    <row r="32" spans="1:10" x14ac:dyDescent="0.2">
      <c r="A32" t="s">
        <v>85</v>
      </c>
      <c r="C32" t="s">
        <v>62</v>
      </c>
      <c r="D32" t="s">
        <v>66</v>
      </c>
      <c r="E32">
        <v>684</v>
      </c>
      <c r="F32" s="27">
        <v>46171</v>
      </c>
      <c r="H32" s="27">
        <f t="shared" si="2"/>
        <v>46206</v>
      </c>
      <c r="I32" s="27">
        <f t="shared" si="1"/>
        <v>46209</v>
      </c>
    </row>
    <row r="33" spans="1:10" x14ac:dyDescent="0.2">
      <c r="A33" t="s">
        <v>46</v>
      </c>
      <c r="C33" t="s">
        <v>29</v>
      </c>
      <c r="D33" t="s">
        <v>94</v>
      </c>
      <c r="E33">
        <v>600</v>
      </c>
      <c r="F33" s="27">
        <v>46172</v>
      </c>
      <c r="H33" s="27">
        <f t="shared" si="2"/>
        <v>46207</v>
      </c>
      <c r="I33" s="27">
        <f t="shared" si="1"/>
        <v>46210</v>
      </c>
      <c r="J33" s="27"/>
    </row>
    <row r="34" spans="1:10" x14ac:dyDescent="0.2">
      <c r="A34" t="s">
        <v>46</v>
      </c>
      <c r="C34" t="s">
        <v>29</v>
      </c>
      <c r="D34" t="s">
        <v>95</v>
      </c>
      <c r="E34">
        <v>600</v>
      </c>
      <c r="F34" s="27">
        <v>46172</v>
      </c>
      <c r="H34" s="27">
        <f t="shared" si="2"/>
        <v>46207</v>
      </c>
      <c r="I34" s="27">
        <f t="shared" ref="I34:I55" si="3">H34+3</f>
        <v>46210</v>
      </c>
      <c r="J34" s="27"/>
    </row>
    <row r="35" spans="1:10" x14ac:dyDescent="0.2">
      <c r="A35" t="s">
        <v>47</v>
      </c>
      <c r="C35" t="s">
        <v>29</v>
      </c>
      <c r="D35" t="s">
        <v>91</v>
      </c>
      <c r="E35">
        <v>600</v>
      </c>
      <c r="F35" s="27">
        <v>46172</v>
      </c>
      <c r="H35" s="27">
        <f t="shared" si="2"/>
        <v>46207</v>
      </c>
      <c r="I35" s="27">
        <f t="shared" si="3"/>
        <v>46210</v>
      </c>
      <c r="J35" s="27"/>
    </row>
    <row r="36" spans="1:10" x14ac:dyDescent="0.2">
      <c r="A36" t="s">
        <v>48</v>
      </c>
      <c r="C36" t="s">
        <v>29</v>
      </c>
      <c r="D36" t="s">
        <v>92</v>
      </c>
      <c r="E36">
        <v>600</v>
      </c>
      <c r="F36" s="27">
        <v>46172</v>
      </c>
      <c r="H36" s="27">
        <f t="shared" si="2"/>
        <v>46207</v>
      </c>
      <c r="I36" s="27">
        <f t="shared" si="3"/>
        <v>46210</v>
      </c>
      <c r="J36" s="27"/>
    </row>
    <row r="37" spans="1:10" x14ac:dyDescent="0.2">
      <c r="A37" t="s">
        <v>48</v>
      </c>
      <c r="C37" t="s">
        <v>29</v>
      </c>
      <c r="D37" t="s">
        <v>93</v>
      </c>
      <c r="E37">
        <v>600</v>
      </c>
      <c r="F37" s="27">
        <v>46172</v>
      </c>
      <c r="H37" s="27">
        <f t="shared" si="2"/>
        <v>46207</v>
      </c>
      <c r="I37" s="27">
        <f t="shared" si="3"/>
        <v>46210</v>
      </c>
      <c r="J37" s="27"/>
    </row>
    <row r="38" spans="1:10" x14ac:dyDescent="0.2">
      <c r="A38" t="s">
        <v>75</v>
      </c>
      <c r="C38" t="s">
        <v>42</v>
      </c>
      <c r="D38" t="s">
        <v>98</v>
      </c>
      <c r="E38">
        <v>2202</v>
      </c>
      <c r="F38" s="27">
        <v>46157</v>
      </c>
      <c r="H38" s="27">
        <f>F38+55</f>
        <v>46212</v>
      </c>
      <c r="I38" s="27">
        <f t="shared" si="3"/>
        <v>46215</v>
      </c>
      <c r="J38" s="27"/>
    </row>
    <row r="39" spans="1:10" x14ac:dyDescent="0.2">
      <c r="A39" t="s">
        <v>49</v>
      </c>
      <c r="C39" t="s">
        <v>23</v>
      </c>
      <c r="D39" t="s">
        <v>86</v>
      </c>
      <c r="E39">
        <v>1560</v>
      </c>
      <c r="F39" s="27">
        <v>46188</v>
      </c>
      <c r="H39" s="27">
        <f t="shared" ref="H39:H55" si="4">F39+35</f>
        <v>46223</v>
      </c>
      <c r="I39" s="27">
        <f t="shared" si="3"/>
        <v>46226</v>
      </c>
      <c r="J39" s="27"/>
    </row>
    <row r="40" spans="1:10" x14ac:dyDescent="0.2">
      <c r="A40" t="s">
        <v>50</v>
      </c>
      <c r="C40" t="s">
        <v>23</v>
      </c>
      <c r="D40" t="s">
        <v>100</v>
      </c>
      <c r="E40">
        <v>564</v>
      </c>
      <c r="F40" s="27">
        <v>46193</v>
      </c>
      <c r="H40" s="27">
        <f t="shared" si="4"/>
        <v>46228</v>
      </c>
      <c r="I40" s="27">
        <f t="shared" si="3"/>
        <v>46231</v>
      </c>
      <c r="J40" s="27"/>
    </row>
    <row r="41" spans="1:10" x14ac:dyDescent="0.2">
      <c r="A41" t="s">
        <v>51</v>
      </c>
      <c r="C41" t="s">
        <v>23</v>
      </c>
      <c r="D41" t="s">
        <v>100</v>
      </c>
      <c r="E41">
        <v>474</v>
      </c>
      <c r="F41" s="27">
        <v>46193</v>
      </c>
      <c r="H41" s="27">
        <f t="shared" si="4"/>
        <v>46228</v>
      </c>
      <c r="I41" s="27">
        <f t="shared" si="3"/>
        <v>46231</v>
      </c>
    </row>
    <row r="42" spans="1:10" x14ac:dyDescent="0.2">
      <c r="A42" t="s">
        <v>52</v>
      </c>
      <c r="C42" t="s">
        <v>23</v>
      </c>
      <c r="D42" t="s">
        <v>86</v>
      </c>
      <c r="E42">
        <v>1548</v>
      </c>
      <c r="F42" s="27">
        <v>46198</v>
      </c>
      <c r="H42" s="27">
        <f t="shared" si="4"/>
        <v>46233</v>
      </c>
      <c r="I42" s="27">
        <f t="shared" si="3"/>
        <v>46236</v>
      </c>
    </row>
    <row r="43" spans="1:10" x14ac:dyDescent="0.2">
      <c r="A43" t="s">
        <v>53</v>
      </c>
      <c r="C43" t="s">
        <v>29</v>
      </c>
      <c r="D43" t="s">
        <v>95</v>
      </c>
      <c r="E43">
        <v>996</v>
      </c>
      <c r="F43" s="27">
        <v>46203</v>
      </c>
      <c r="H43" s="27">
        <f t="shared" si="4"/>
        <v>46238</v>
      </c>
      <c r="I43" s="27">
        <f t="shared" si="3"/>
        <v>46241</v>
      </c>
      <c r="J43" s="27"/>
    </row>
    <row r="44" spans="1:10" x14ac:dyDescent="0.2">
      <c r="A44" t="s">
        <v>53</v>
      </c>
      <c r="C44" t="s">
        <v>29</v>
      </c>
      <c r="D44" t="s">
        <v>101</v>
      </c>
      <c r="E44">
        <v>600</v>
      </c>
      <c r="F44" s="27">
        <v>46203</v>
      </c>
      <c r="H44" s="27">
        <f t="shared" si="4"/>
        <v>46238</v>
      </c>
      <c r="I44" s="27">
        <f t="shared" si="3"/>
        <v>46241</v>
      </c>
      <c r="J44" s="27"/>
    </row>
    <row r="45" spans="1:10" x14ac:dyDescent="0.2">
      <c r="A45" t="s">
        <v>54</v>
      </c>
      <c r="C45" t="s">
        <v>29</v>
      </c>
      <c r="D45" t="s">
        <v>102</v>
      </c>
      <c r="E45">
        <v>600</v>
      </c>
      <c r="F45" s="27">
        <v>46203</v>
      </c>
      <c r="H45" s="27">
        <f t="shared" si="4"/>
        <v>46238</v>
      </c>
      <c r="I45" s="27">
        <f t="shared" si="3"/>
        <v>46241</v>
      </c>
      <c r="J45" s="27"/>
    </row>
    <row r="46" spans="1:10" x14ac:dyDescent="0.2">
      <c r="A46" t="s">
        <v>55</v>
      </c>
      <c r="C46" t="s">
        <v>29</v>
      </c>
      <c r="D46" t="s">
        <v>31</v>
      </c>
      <c r="E46">
        <v>600</v>
      </c>
      <c r="F46" s="27">
        <v>46203</v>
      </c>
      <c r="H46" s="27">
        <f t="shared" si="4"/>
        <v>46238</v>
      </c>
      <c r="I46" s="27">
        <f t="shared" si="3"/>
        <v>46241</v>
      </c>
      <c r="J46" s="27"/>
    </row>
    <row r="47" spans="1:10" x14ac:dyDescent="0.2">
      <c r="A47" t="s">
        <v>56</v>
      </c>
      <c r="C47" t="s">
        <v>29</v>
      </c>
      <c r="D47" t="s">
        <v>89</v>
      </c>
      <c r="E47">
        <v>1662</v>
      </c>
      <c r="F47" s="27">
        <v>46203</v>
      </c>
      <c r="H47" s="27">
        <f t="shared" si="4"/>
        <v>46238</v>
      </c>
      <c r="I47" s="27">
        <f t="shared" si="3"/>
        <v>46241</v>
      </c>
      <c r="J47" s="27"/>
    </row>
    <row r="48" spans="1:10" x14ac:dyDescent="0.2">
      <c r="A48" t="s">
        <v>56</v>
      </c>
      <c r="C48" t="s">
        <v>29</v>
      </c>
      <c r="D48" t="s">
        <v>90</v>
      </c>
      <c r="E48">
        <v>1458</v>
      </c>
      <c r="F48" s="27">
        <v>46203</v>
      </c>
      <c r="H48" s="27">
        <f t="shared" si="4"/>
        <v>46238</v>
      </c>
      <c r="I48" s="27">
        <f t="shared" si="3"/>
        <v>46241</v>
      </c>
      <c r="J48" s="27"/>
    </row>
    <row r="49" spans="1:13" x14ac:dyDescent="0.2">
      <c r="A49" t="s">
        <v>57</v>
      </c>
      <c r="C49" t="s">
        <v>29</v>
      </c>
      <c r="D49" t="s">
        <v>103</v>
      </c>
      <c r="E49">
        <v>600</v>
      </c>
      <c r="F49" s="27">
        <v>46203</v>
      </c>
      <c r="H49" s="27">
        <f t="shared" si="4"/>
        <v>46238</v>
      </c>
      <c r="I49" s="27">
        <f t="shared" si="3"/>
        <v>46241</v>
      </c>
      <c r="J49" s="27"/>
    </row>
    <row r="50" spans="1:13" x14ac:dyDescent="0.2">
      <c r="A50" t="s">
        <v>58</v>
      </c>
      <c r="C50" t="s">
        <v>23</v>
      </c>
      <c r="D50" t="s">
        <v>86</v>
      </c>
      <c r="E50">
        <v>1110</v>
      </c>
      <c r="F50" s="27">
        <v>46220</v>
      </c>
      <c r="H50" s="27">
        <f t="shared" si="4"/>
        <v>46255</v>
      </c>
      <c r="I50" s="27">
        <f t="shared" si="3"/>
        <v>46258</v>
      </c>
      <c r="J50" s="27"/>
    </row>
    <row r="51" spans="1:13" x14ac:dyDescent="0.2">
      <c r="A51" t="s">
        <v>79</v>
      </c>
      <c r="C51" t="s">
        <v>59</v>
      </c>
      <c r="D51" t="s">
        <v>60</v>
      </c>
      <c r="E51">
        <v>300</v>
      </c>
      <c r="F51" s="27">
        <v>46234</v>
      </c>
      <c r="H51" s="27">
        <f t="shared" si="4"/>
        <v>46269</v>
      </c>
      <c r="I51" s="27">
        <f t="shared" si="3"/>
        <v>46272</v>
      </c>
      <c r="J51" s="27"/>
    </row>
    <row r="52" spans="1:13" x14ac:dyDescent="0.2">
      <c r="A52" t="s">
        <v>78</v>
      </c>
      <c r="C52" t="s">
        <v>45</v>
      </c>
      <c r="D52" t="s">
        <v>99</v>
      </c>
      <c r="E52">
        <v>792</v>
      </c>
      <c r="F52" s="27">
        <v>46234</v>
      </c>
      <c r="H52" s="27">
        <f t="shared" si="4"/>
        <v>46269</v>
      </c>
      <c r="I52" s="27">
        <f t="shared" si="3"/>
        <v>46272</v>
      </c>
      <c r="J52" s="27"/>
    </row>
    <row r="53" spans="1:13" x14ac:dyDescent="0.2">
      <c r="A53" t="s">
        <v>80</v>
      </c>
      <c r="C53" t="s">
        <v>45</v>
      </c>
      <c r="D53" t="s">
        <v>99</v>
      </c>
      <c r="E53">
        <v>436</v>
      </c>
      <c r="F53" s="27">
        <v>46241</v>
      </c>
      <c r="H53" s="27">
        <f t="shared" si="4"/>
        <v>46276</v>
      </c>
      <c r="I53" s="27">
        <f t="shared" si="3"/>
        <v>46279</v>
      </c>
      <c r="M53" s="28"/>
    </row>
    <row r="54" spans="1:13" x14ac:dyDescent="0.2">
      <c r="A54" t="s">
        <v>81</v>
      </c>
      <c r="C54" t="s">
        <v>45</v>
      </c>
      <c r="D54" t="s">
        <v>99</v>
      </c>
      <c r="E54">
        <v>76</v>
      </c>
      <c r="F54" s="27">
        <v>46241</v>
      </c>
      <c r="H54" s="27">
        <f t="shared" si="4"/>
        <v>46276</v>
      </c>
      <c r="I54" s="27">
        <f t="shared" si="3"/>
        <v>46279</v>
      </c>
    </row>
    <row r="55" spans="1:13" x14ac:dyDescent="0.2">
      <c r="A55" t="s">
        <v>61</v>
      </c>
      <c r="C55" t="s">
        <v>23</v>
      </c>
      <c r="D55" t="s">
        <v>86</v>
      </c>
      <c r="E55">
        <v>2964</v>
      </c>
      <c r="F55" s="27">
        <v>46288</v>
      </c>
      <c r="H55" s="27">
        <f t="shared" si="4"/>
        <v>46323</v>
      </c>
      <c r="I55" s="27">
        <f t="shared" si="3"/>
        <v>46326</v>
      </c>
    </row>
    <row r="56" spans="1:13" x14ac:dyDescent="0.2">
      <c r="A56" t="s">
        <v>67</v>
      </c>
      <c r="C56" t="s">
        <v>68</v>
      </c>
      <c r="D56" t="s">
        <v>69</v>
      </c>
      <c r="E56">
        <v>36</v>
      </c>
      <c r="H56" s="27"/>
      <c r="M56" s="28"/>
    </row>
    <row r="57" spans="1:13" x14ac:dyDescent="0.2">
      <c r="A57" t="s">
        <v>67</v>
      </c>
      <c r="C57" t="s">
        <v>26</v>
      </c>
      <c r="D57" t="s">
        <v>88</v>
      </c>
      <c r="E57">
        <v>48</v>
      </c>
      <c r="F57" s="27"/>
      <c r="H57" s="27"/>
      <c r="I57" s="27"/>
    </row>
    <row r="58" spans="1:13" x14ac:dyDescent="0.2">
      <c r="A58" t="s">
        <v>67</v>
      </c>
      <c r="C58" t="s">
        <v>26</v>
      </c>
      <c r="D58" t="s">
        <v>87</v>
      </c>
      <c r="E58">
        <v>54</v>
      </c>
      <c r="H58" s="27"/>
      <c r="M58" s="28"/>
    </row>
    <row r="59" spans="1:13" x14ac:dyDescent="0.2">
      <c r="A59" t="s">
        <v>67</v>
      </c>
      <c r="C59" t="s">
        <v>26</v>
      </c>
      <c r="D59" t="s">
        <v>27</v>
      </c>
      <c r="E59">
        <v>48</v>
      </c>
      <c r="H59" s="27"/>
      <c r="M59" s="28"/>
    </row>
    <row r="60" spans="1:13" x14ac:dyDescent="0.2">
      <c r="A60" t="s">
        <v>67</v>
      </c>
      <c r="C60" t="s">
        <v>26</v>
      </c>
      <c r="D60" t="s">
        <v>70</v>
      </c>
      <c r="E60">
        <v>600</v>
      </c>
      <c r="H60" s="27"/>
    </row>
    <row r="61" spans="1:13" x14ac:dyDescent="0.2">
      <c r="A61" t="s">
        <v>71</v>
      </c>
      <c r="C61" t="s">
        <v>68</v>
      </c>
      <c r="D61" t="s">
        <v>69</v>
      </c>
      <c r="E61">
        <v>300</v>
      </c>
      <c r="H61" s="27"/>
    </row>
    <row r="62" spans="1:13" x14ac:dyDescent="0.2">
      <c r="A62" t="s">
        <v>71</v>
      </c>
      <c r="C62" t="s">
        <v>26</v>
      </c>
      <c r="D62" t="s">
        <v>87</v>
      </c>
      <c r="E62">
        <v>600</v>
      </c>
      <c r="H62" s="27"/>
    </row>
    <row r="63" spans="1:13" x14ac:dyDescent="0.2">
      <c r="A63" t="s">
        <v>71</v>
      </c>
      <c r="C63" t="s">
        <v>26</v>
      </c>
      <c r="D63" t="s">
        <v>88</v>
      </c>
      <c r="E63">
        <v>300</v>
      </c>
      <c r="H63" s="27"/>
    </row>
    <row r="64" spans="1:13" x14ac:dyDescent="0.2">
      <c r="A64" t="s">
        <v>72</v>
      </c>
      <c r="C64" t="s">
        <v>68</v>
      </c>
      <c r="D64" t="s">
        <v>69</v>
      </c>
      <c r="E64">
        <v>300</v>
      </c>
      <c r="H64" s="27"/>
    </row>
    <row r="65" spans="1:13" x14ac:dyDescent="0.2">
      <c r="A65" t="s">
        <v>72</v>
      </c>
      <c r="C65" t="s">
        <v>26</v>
      </c>
      <c r="D65" t="s">
        <v>88</v>
      </c>
      <c r="E65">
        <v>300</v>
      </c>
      <c r="H65" s="27"/>
    </row>
    <row r="66" spans="1:13" x14ac:dyDescent="0.2">
      <c r="A66" t="s">
        <v>25</v>
      </c>
      <c r="C66" t="s">
        <v>26</v>
      </c>
      <c r="D66" t="s">
        <v>88</v>
      </c>
      <c r="E66">
        <v>600</v>
      </c>
      <c r="F66" s="27"/>
      <c r="H66" s="27"/>
      <c r="I66" s="27"/>
    </row>
    <row r="67" spans="1:13" x14ac:dyDescent="0.2">
      <c r="C67" t="s">
        <v>26</v>
      </c>
      <c r="D67" t="s">
        <v>104</v>
      </c>
      <c r="E67">
        <v>600</v>
      </c>
      <c r="H67" s="27"/>
    </row>
    <row r="69" spans="1:13" x14ac:dyDescent="0.2">
      <c r="F69" s="27"/>
      <c r="G69" s="27"/>
      <c r="H69" s="27"/>
      <c r="I69" s="27"/>
      <c r="M69" s="28"/>
    </row>
    <row r="70" spans="1:13" x14ac:dyDescent="0.2">
      <c r="F70" s="27"/>
      <c r="G70" s="27"/>
      <c r="H70" s="27"/>
      <c r="I70" s="27"/>
      <c r="M70" s="28"/>
    </row>
    <row r="71" spans="1:13" x14ac:dyDescent="0.2">
      <c r="G71" s="27"/>
      <c r="H71" s="27"/>
      <c r="I71" s="27"/>
    </row>
    <row r="72" spans="1:13" x14ac:dyDescent="0.2">
      <c r="F72" s="27"/>
      <c r="G72" s="27"/>
      <c r="H72" s="27"/>
      <c r="I72" s="27"/>
      <c r="M72" s="28"/>
    </row>
    <row r="73" spans="1:13" x14ac:dyDescent="0.2">
      <c r="F73" s="27"/>
    </row>
    <row r="74" spans="1:13" x14ac:dyDescent="0.2">
      <c r="F74" s="27"/>
      <c r="G74" s="27"/>
      <c r="H74" s="27"/>
      <c r="I74" s="27"/>
    </row>
    <row r="75" spans="1:13" x14ac:dyDescent="0.2">
      <c r="F75" s="27"/>
    </row>
    <row r="76" spans="1:13" x14ac:dyDescent="0.2">
      <c r="F76" s="27"/>
    </row>
    <row r="77" spans="1:13" x14ac:dyDescent="0.2">
      <c r="F77" s="27"/>
      <c r="G77" s="27"/>
      <c r="H77" s="27"/>
      <c r="I77" s="27"/>
    </row>
    <row r="78" spans="1:13" x14ac:dyDescent="0.2">
      <c r="F78" s="27"/>
    </row>
    <row r="79" spans="1:13" x14ac:dyDescent="0.2">
      <c r="F79" s="27"/>
      <c r="G79" s="27"/>
      <c r="H79" s="27"/>
      <c r="I79" s="27"/>
    </row>
    <row r="80" spans="1:13" x14ac:dyDescent="0.2">
      <c r="F80" s="27"/>
      <c r="G80" s="27"/>
      <c r="H80" s="27"/>
      <c r="I80" s="27"/>
    </row>
    <row r="81" spans="6:9" x14ac:dyDescent="0.2">
      <c r="F81" s="27"/>
    </row>
    <row r="82" spans="6:9" x14ac:dyDescent="0.2">
      <c r="F82" s="27"/>
    </row>
    <row r="83" spans="6:9" x14ac:dyDescent="0.2">
      <c r="F83" s="27"/>
      <c r="G83" s="27"/>
      <c r="H83" s="27"/>
      <c r="I83" s="27"/>
    </row>
    <row r="84" spans="6:9" x14ac:dyDescent="0.2">
      <c r="F84" s="27"/>
      <c r="G84" s="27"/>
      <c r="H84" s="27"/>
      <c r="I84" s="27"/>
    </row>
    <row r="86" spans="6:9" x14ac:dyDescent="0.2">
      <c r="F86" s="27"/>
      <c r="G86" s="27"/>
      <c r="H86" s="27"/>
      <c r="I86" s="27"/>
    </row>
    <row r="87" spans="6:9" x14ac:dyDescent="0.2">
      <c r="F87" s="27"/>
    </row>
    <row r="88" spans="6:9" x14ac:dyDescent="0.2">
      <c r="F88" s="27"/>
      <c r="G88" s="27"/>
    </row>
    <row r="89" spans="6:9" x14ac:dyDescent="0.2">
      <c r="F89" s="27"/>
    </row>
    <row r="90" spans="6:9" x14ac:dyDescent="0.2">
      <c r="F90" s="27"/>
      <c r="G90" s="27"/>
    </row>
    <row r="91" spans="6:9" x14ac:dyDescent="0.2">
      <c r="F91" s="27"/>
    </row>
    <row r="92" spans="6:9" x14ac:dyDescent="0.2">
      <c r="F92" s="27"/>
      <c r="G92" s="27"/>
    </row>
    <row r="93" spans="6:9" x14ac:dyDescent="0.2">
      <c r="F93" s="27"/>
    </row>
    <row r="94" spans="6:9" x14ac:dyDescent="0.2">
      <c r="F94" s="27"/>
    </row>
    <row r="95" spans="6:9" x14ac:dyDescent="0.2">
      <c r="F95" s="27"/>
      <c r="G95" s="27"/>
    </row>
    <row r="96" spans="6:9" x14ac:dyDescent="0.2">
      <c r="F96" s="27"/>
    </row>
    <row r="97" spans="6:13" x14ac:dyDescent="0.2">
      <c r="F97" s="27"/>
    </row>
    <row r="98" spans="6:13" x14ac:dyDescent="0.2">
      <c r="F98" s="27"/>
      <c r="G98" s="27"/>
    </row>
    <row r="99" spans="6:13" x14ac:dyDescent="0.2">
      <c r="F99" s="27"/>
    </row>
    <row r="100" spans="6:13" x14ac:dyDescent="0.2">
      <c r="F100" s="27"/>
      <c r="G100" s="27"/>
      <c r="H100" s="27"/>
      <c r="I100" s="27"/>
    </row>
    <row r="101" spans="6:13" x14ac:dyDescent="0.2">
      <c r="F101" s="27"/>
    </row>
    <row r="102" spans="6:13" x14ac:dyDescent="0.2">
      <c r="F102" s="27"/>
      <c r="G102" s="27"/>
      <c r="H102" s="27"/>
      <c r="I102" s="27"/>
    </row>
    <row r="103" spans="6:13" x14ac:dyDescent="0.2">
      <c r="F103" s="27"/>
    </row>
    <row r="104" spans="6:13" x14ac:dyDescent="0.2">
      <c r="F104" s="27"/>
    </row>
    <row r="105" spans="6:13" x14ac:dyDescent="0.2">
      <c r="F105" s="27"/>
    </row>
    <row r="106" spans="6:13" x14ac:dyDescent="0.2">
      <c r="F106" s="27"/>
      <c r="G106" s="27"/>
    </row>
    <row r="108" spans="6:13" x14ac:dyDescent="0.2">
      <c r="F108" s="27"/>
    </row>
    <row r="109" spans="6:13" x14ac:dyDescent="0.2">
      <c r="F109" s="27"/>
      <c r="G109" s="27"/>
    </row>
    <row r="110" spans="6:13" x14ac:dyDescent="0.2">
      <c r="F110" s="27"/>
    </row>
    <row r="111" spans="6:13" x14ac:dyDescent="0.2">
      <c r="F111" s="27"/>
    </row>
    <row r="112" spans="6:13" x14ac:dyDescent="0.2">
      <c r="F112" s="27"/>
      <c r="G112" s="27"/>
      <c r="M112" s="28"/>
    </row>
    <row r="113" spans="1:9" x14ac:dyDescent="0.2">
      <c r="F113" s="27"/>
      <c r="G113" s="27"/>
    </row>
    <row r="114" spans="1:9" x14ac:dyDescent="0.2">
      <c r="F114" s="27"/>
      <c r="G114" s="27"/>
    </row>
    <row r="115" spans="1:9" x14ac:dyDescent="0.2">
      <c r="F115" s="27"/>
    </row>
    <row r="116" spans="1:9" x14ac:dyDescent="0.2">
      <c r="F116" s="27"/>
      <c r="G116" s="27"/>
    </row>
    <row r="117" spans="1:9" x14ac:dyDescent="0.2">
      <c r="F117" s="27"/>
    </row>
    <row r="118" spans="1:9" x14ac:dyDescent="0.2">
      <c r="F118" s="27"/>
    </row>
    <row r="119" spans="1:9" x14ac:dyDescent="0.2">
      <c r="F119" s="27"/>
    </row>
    <row r="120" spans="1:9" x14ac:dyDescent="0.2">
      <c r="F120" s="27"/>
      <c r="G120" s="27"/>
    </row>
    <row r="121" spans="1:9" x14ac:dyDescent="0.2">
      <c r="F121" s="27"/>
    </row>
    <row r="122" spans="1:9" x14ac:dyDescent="0.2">
      <c r="F122" s="27"/>
    </row>
    <row r="123" spans="1:9" x14ac:dyDescent="0.2">
      <c r="A123" s="28"/>
      <c r="F123" s="27"/>
    </row>
    <row r="124" spans="1:9" x14ac:dyDescent="0.2">
      <c r="F124" s="27"/>
    </row>
    <row r="125" spans="1:9" x14ac:dyDescent="0.2">
      <c r="F125" s="27"/>
    </row>
    <row r="126" spans="1:9" x14ac:dyDescent="0.2">
      <c r="A126" s="28"/>
      <c r="F126" s="27"/>
      <c r="G126" s="27"/>
      <c r="H126" s="27"/>
      <c r="I126" s="27"/>
    </row>
    <row r="127" spans="1:9" x14ac:dyDescent="0.2">
      <c r="F127" s="27"/>
    </row>
    <row r="128" spans="1:9" x14ac:dyDescent="0.2">
      <c r="F128" s="27"/>
    </row>
    <row r="129" spans="6:13" x14ac:dyDescent="0.2">
      <c r="F129" s="27"/>
      <c r="G129" s="27"/>
      <c r="H129" s="27"/>
      <c r="I129" s="27"/>
    </row>
    <row r="130" spans="6:13" x14ac:dyDescent="0.2">
      <c r="F130" s="27"/>
    </row>
    <row r="131" spans="6:13" x14ac:dyDescent="0.2">
      <c r="F131" s="27"/>
    </row>
    <row r="132" spans="6:13" x14ac:dyDescent="0.2">
      <c r="F132" s="27"/>
      <c r="G132" s="27"/>
      <c r="H132" s="27"/>
      <c r="I132" s="27"/>
      <c r="M132" s="28"/>
    </row>
    <row r="133" spans="6:13" x14ac:dyDescent="0.2">
      <c r="F133" s="27"/>
      <c r="G133" s="27"/>
      <c r="H133" s="27"/>
      <c r="I133" s="27"/>
    </row>
    <row r="134" spans="6:13" x14ac:dyDescent="0.2">
      <c r="F134" s="27"/>
    </row>
    <row r="135" spans="6:13" x14ac:dyDescent="0.2">
      <c r="F135" s="27"/>
      <c r="G135" s="27"/>
      <c r="H135" s="27"/>
      <c r="I135" s="27"/>
    </row>
    <row r="136" spans="6:13" x14ac:dyDescent="0.2">
      <c r="F136" s="27"/>
    </row>
    <row r="137" spans="6:13" x14ac:dyDescent="0.2">
      <c r="F137" s="27"/>
    </row>
    <row r="138" spans="6:13" x14ac:dyDescent="0.2">
      <c r="F138" s="27"/>
      <c r="G138" s="27"/>
      <c r="H138" s="27"/>
      <c r="I138" s="27"/>
    </row>
    <row r="139" spans="6:13" x14ac:dyDescent="0.2">
      <c r="F139" s="27"/>
    </row>
    <row r="140" spans="6:13" x14ac:dyDescent="0.2">
      <c r="F140" s="27"/>
    </row>
    <row r="141" spans="6:13" x14ac:dyDescent="0.2">
      <c r="F141" s="27"/>
    </row>
    <row r="142" spans="6:13" x14ac:dyDescent="0.2">
      <c r="F142" s="27"/>
      <c r="H142" s="27"/>
      <c r="I142" s="27"/>
    </row>
    <row r="143" spans="6:13" x14ac:dyDescent="0.2">
      <c r="F143" s="27"/>
    </row>
    <row r="144" spans="6:13" x14ac:dyDescent="0.2">
      <c r="F144" s="27"/>
      <c r="H144" s="27"/>
      <c r="I144" s="27"/>
    </row>
    <row r="145" spans="6:9" x14ac:dyDescent="0.2">
      <c r="F145" s="27"/>
      <c r="H145" s="27"/>
      <c r="I145" s="27"/>
    </row>
    <row r="146" spans="6:9" x14ac:dyDescent="0.2">
      <c r="F146" s="27"/>
      <c r="H146" s="27"/>
      <c r="I146" s="27"/>
    </row>
    <row r="147" spans="6:9" x14ac:dyDescent="0.2">
      <c r="F147" s="27"/>
      <c r="G147" s="27"/>
      <c r="H147" s="27"/>
      <c r="I147" s="27"/>
    </row>
    <row r="148" spans="6:9" x14ac:dyDescent="0.2">
      <c r="F148" s="27"/>
    </row>
    <row r="149" spans="6:9" x14ac:dyDescent="0.2">
      <c r="F149" s="27"/>
    </row>
    <row r="150" spans="6:9" x14ac:dyDescent="0.2">
      <c r="F150" s="27"/>
    </row>
    <row r="151" spans="6:9" x14ac:dyDescent="0.2">
      <c r="F151" s="27"/>
      <c r="G151" s="27"/>
      <c r="H151" s="27"/>
      <c r="I151" s="27"/>
    </row>
    <row r="152" spans="6:9" x14ac:dyDescent="0.2">
      <c r="F152" s="27"/>
    </row>
    <row r="153" spans="6:9" x14ac:dyDescent="0.2">
      <c r="F153" s="27"/>
      <c r="G153" s="27"/>
      <c r="H153" s="27"/>
      <c r="I153" s="27"/>
    </row>
    <row r="154" spans="6:9" x14ac:dyDescent="0.2">
      <c r="F154" s="27"/>
    </row>
    <row r="155" spans="6:9" x14ac:dyDescent="0.2">
      <c r="F155" s="27"/>
    </row>
    <row r="156" spans="6:9" x14ac:dyDescent="0.2">
      <c r="F156" s="27"/>
      <c r="G156" s="27"/>
      <c r="H156" s="27"/>
      <c r="I156" s="27"/>
    </row>
    <row r="157" spans="6:9" x14ac:dyDescent="0.2">
      <c r="F157" s="27"/>
    </row>
    <row r="158" spans="6:9" x14ac:dyDescent="0.2">
      <c r="F158" s="27"/>
      <c r="G158" s="27"/>
      <c r="H158" s="27"/>
      <c r="I158" s="27"/>
    </row>
    <row r="159" spans="6:9" x14ac:dyDescent="0.2">
      <c r="F159" s="27"/>
      <c r="H159" s="27"/>
      <c r="I159" s="27"/>
    </row>
    <row r="161" spans="6:9" x14ac:dyDescent="0.2">
      <c r="F161" s="27"/>
      <c r="G161" s="27"/>
      <c r="H161" s="27"/>
      <c r="I161" s="27"/>
    </row>
    <row r="163" spans="6:9" x14ac:dyDescent="0.2">
      <c r="F163" s="27"/>
      <c r="G163" s="27"/>
      <c r="H163" s="27"/>
      <c r="I163" s="27"/>
    </row>
    <row r="169" spans="6:9" x14ac:dyDescent="0.2">
      <c r="F169" s="27"/>
      <c r="G169" s="27"/>
      <c r="H169" s="27"/>
      <c r="I169" s="27"/>
    </row>
    <row r="170" spans="6:9" x14ac:dyDescent="0.2">
      <c r="F170" s="27"/>
      <c r="G170" s="27"/>
      <c r="H170" s="27"/>
      <c r="I170" s="27"/>
    </row>
    <row r="171" spans="6:9" x14ac:dyDescent="0.2">
      <c r="F171" s="27"/>
    </row>
    <row r="172" spans="6:9" x14ac:dyDescent="0.2">
      <c r="F172" s="27"/>
    </row>
    <row r="173" spans="6:9" x14ac:dyDescent="0.2">
      <c r="F173" s="27"/>
    </row>
    <row r="174" spans="6:9" x14ac:dyDescent="0.2">
      <c r="F174" s="27"/>
      <c r="G174" s="27"/>
      <c r="H174" s="27"/>
      <c r="I174" s="27"/>
    </row>
    <row r="175" spans="6:9" x14ac:dyDescent="0.2">
      <c r="F175" s="27"/>
      <c r="G175" s="27"/>
      <c r="H175" s="27"/>
      <c r="I175" s="27"/>
    </row>
    <row r="176" spans="6:9" x14ac:dyDescent="0.2">
      <c r="F176" s="27"/>
    </row>
    <row r="177" spans="1:13" x14ac:dyDescent="0.2">
      <c r="F177" s="27"/>
    </row>
    <row r="178" spans="1:13" x14ac:dyDescent="0.2">
      <c r="F178" s="27"/>
    </row>
    <row r="179" spans="1:13" x14ac:dyDescent="0.2">
      <c r="F179" s="27"/>
    </row>
    <row r="180" spans="1:13" x14ac:dyDescent="0.2">
      <c r="F180" s="27"/>
      <c r="G180" s="27"/>
      <c r="H180" s="27"/>
      <c r="I180" s="27"/>
    </row>
    <row r="181" spans="1:13" x14ac:dyDescent="0.2">
      <c r="A181" s="31"/>
      <c r="B181" s="31"/>
      <c r="C181" s="31"/>
      <c r="D181" s="31"/>
      <c r="E181" s="31"/>
      <c r="F181" s="32"/>
      <c r="G181" s="31"/>
      <c r="H181" s="31"/>
      <c r="I181" s="31"/>
      <c r="J181" s="31"/>
      <c r="K181" s="31"/>
      <c r="L181" s="31"/>
      <c r="M181" s="31"/>
    </row>
    <row r="182" spans="1:13" x14ac:dyDescent="0.2">
      <c r="A182" s="31"/>
      <c r="B182" s="31"/>
      <c r="C182" s="31"/>
      <c r="D182" s="31"/>
      <c r="E182" s="31"/>
      <c r="F182" s="32"/>
      <c r="G182" s="32"/>
      <c r="H182" s="32"/>
      <c r="I182" s="32"/>
      <c r="J182" s="31"/>
      <c r="K182" s="31"/>
      <c r="L182" s="31"/>
      <c r="M182" s="31"/>
    </row>
    <row r="183" spans="1:13" x14ac:dyDescent="0.2">
      <c r="A183" s="31"/>
      <c r="B183" s="31"/>
      <c r="C183" s="31"/>
      <c r="D183" s="31"/>
      <c r="E183" s="31"/>
      <c r="F183" s="32"/>
      <c r="G183" s="31"/>
      <c r="H183" s="31"/>
      <c r="I183" s="31"/>
      <c r="J183" s="31"/>
      <c r="K183" s="31"/>
      <c r="L183" s="31"/>
      <c r="M183" s="31"/>
    </row>
    <row r="184" spans="1:13" x14ac:dyDescent="0.2">
      <c r="A184" s="31"/>
      <c r="B184" s="31"/>
      <c r="C184" s="31"/>
      <c r="D184" s="31"/>
      <c r="E184" s="31"/>
      <c r="F184" s="32"/>
      <c r="G184" s="32"/>
      <c r="H184" s="31"/>
      <c r="I184" s="31"/>
      <c r="J184" s="31"/>
      <c r="K184" s="31"/>
      <c r="L184" s="31"/>
      <c r="M184" s="31"/>
    </row>
    <row r="185" spans="1:13" x14ac:dyDescent="0.2">
      <c r="A185" s="31"/>
      <c r="B185" s="31"/>
      <c r="C185" s="31"/>
      <c r="D185" s="31"/>
      <c r="E185" s="31"/>
      <c r="F185" s="32"/>
      <c r="G185" s="31"/>
      <c r="H185" s="31"/>
      <c r="I185" s="31"/>
      <c r="J185" s="31"/>
      <c r="K185" s="31"/>
      <c r="L185" s="31"/>
      <c r="M185" s="31"/>
    </row>
    <row r="186" spans="1:13" x14ac:dyDescent="0.2">
      <c r="A186" s="31"/>
      <c r="B186" s="31"/>
      <c r="C186" s="31"/>
      <c r="D186" s="31"/>
      <c r="E186" s="31"/>
      <c r="F186" s="32"/>
      <c r="G186" s="31"/>
      <c r="H186" s="31"/>
      <c r="I186" s="31"/>
      <c r="J186" s="31"/>
      <c r="K186" s="31"/>
      <c r="L186" s="31"/>
      <c r="M186" s="31"/>
    </row>
    <row r="187" spans="1:13" x14ac:dyDescent="0.2">
      <c r="A187" s="31"/>
      <c r="B187" s="31"/>
      <c r="C187" s="31"/>
      <c r="D187" s="31"/>
      <c r="E187" s="31"/>
      <c r="F187" s="32"/>
      <c r="G187" s="31"/>
      <c r="H187" s="31"/>
      <c r="I187" s="31"/>
      <c r="J187" s="31"/>
      <c r="K187" s="31"/>
      <c r="L187" s="31"/>
      <c r="M187" s="31"/>
    </row>
    <row r="188" spans="1:13" x14ac:dyDescent="0.2">
      <c r="A188" s="31"/>
      <c r="B188" s="31"/>
      <c r="C188" s="31"/>
      <c r="D188" s="31"/>
      <c r="E188" s="31"/>
      <c r="F188" s="32"/>
      <c r="G188" s="31"/>
      <c r="H188" s="32"/>
      <c r="I188" s="32"/>
      <c r="J188" s="31"/>
      <c r="K188" s="31"/>
      <c r="L188" s="31"/>
      <c r="M188" s="31"/>
    </row>
    <row r="189" spans="1:13" x14ac:dyDescent="0.2">
      <c r="A189" s="31"/>
      <c r="B189" s="31"/>
      <c r="C189" s="31"/>
      <c r="D189" s="31"/>
      <c r="E189" s="31"/>
      <c r="F189" s="32"/>
      <c r="G189" s="31"/>
      <c r="H189" s="31"/>
      <c r="I189" s="31"/>
      <c r="J189" s="31"/>
      <c r="K189" s="31"/>
      <c r="L189" s="31"/>
      <c r="M189" s="31"/>
    </row>
    <row r="190" spans="1:13" x14ac:dyDescent="0.2">
      <c r="F190" s="27"/>
      <c r="H190" s="27"/>
      <c r="I190" s="27"/>
    </row>
    <row r="191" spans="1:13" x14ac:dyDescent="0.2">
      <c r="F191" s="27"/>
    </row>
    <row r="192" spans="1:13" x14ac:dyDescent="0.2">
      <c r="F192" s="27"/>
    </row>
    <row r="193" spans="6:6" x14ac:dyDescent="0.2">
      <c r="F193" s="27"/>
    </row>
  </sheetData>
  <autoFilter ref="A1:M1" xr:uid="{24755636-111E-7142-A82C-8212A4BF819C}"/>
  <sortState xmlns:xlrd2="http://schemas.microsoft.com/office/spreadsheetml/2017/richdata2" ref="A2:M66">
    <sortCondition ref="I2:I66"/>
    <sortCondition ref="A2:A66"/>
    <sortCondition ref="B2:B6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078-EEFD-FC45-B456-F14B573F8ABD}">
  <sheetPr codeName="Sheet3">
    <pageSetUpPr fitToPage="1"/>
  </sheetPr>
  <dimension ref="A1:BL62"/>
  <sheetViews>
    <sheetView zoomScaleNormal="100" zoomScaleSheetLayoutView="130" workbookViewId="0">
      <pane xSplit="4" topLeftCell="E1" activePane="topRight" state="frozen"/>
      <selection activeCell="A54" sqref="A54"/>
      <selection pane="topRight"/>
    </sheetView>
  </sheetViews>
  <sheetFormatPr baseColWidth="10" defaultColWidth="8.83203125" defaultRowHeight="15" x14ac:dyDescent="0.2"/>
  <cols>
    <col min="1" max="1" width="21.6640625" style="5" customWidth="1"/>
    <col min="2" max="2" width="31.5" style="3" customWidth="1"/>
    <col min="3" max="3" width="33.5" style="3" customWidth="1"/>
    <col min="4" max="6" width="21" style="3" customWidth="1"/>
    <col min="7" max="11" width="12" customWidth="1"/>
    <col min="12" max="12" width="12" style="60" customWidth="1"/>
    <col min="13" max="22" width="12" customWidth="1"/>
    <col min="23" max="23" width="12" style="61" customWidth="1"/>
    <col min="24" max="63" width="12" customWidth="1"/>
  </cols>
  <sheetData>
    <row r="1" spans="1:64" s="9" customFormat="1" ht="16" thickBot="1" x14ac:dyDescent="0.25">
      <c r="A1" s="10" t="s">
        <v>0</v>
      </c>
      <c r="B1" s="11" t="s">
        <v>4</v>
      </c>
      <c r="C1" s="23" t="s">
        <v>5</v>
      </c>
      <c r="D1" s="12" t="s">
        <v>6</v>
      </c>
      <c r="E1" s="37" t="s">
        <v>12</v>
      </c>
      <c r="F1" s="37" t="s">
        <v>15</v>
      </c>
      <c r="G1" s="19">
        <f>setting!B2</f>
        <v>46024</v>
      </c>
      <c r="H1" s="20">
        <f>G1+7</f>
        <v>46031</v>
      </c>
      <c r="I1" s="20">
        <f t="shared" ref="I1:BK1" si="0">H1+7</f>
        <v>46038</v>
      </c>
      <c r="J1" s="20">
        <f t="shared" si="0"/>
        <v>46045</v>
      </c>
      <c r="K1" s="21">
        <f t="shared" si="0"/>
        <v>46052</v>
      </c>
      <c r="L1" s="19">
        <f t="shared" si="0"/>
        <v>46059</v>
      </c>
      <c r="M1" s="20">
        <f t="shared" si="0"/>
        <v>46066</v>
      </c>
      <c r="N1" s="20">
        <f t="shared" si="0"/>
        <v>46073</v>
      </c>
      <c r="O1" s="21">
        <f t="shared" si="0"/>
        <v>46080</v>
      </c>
      <c r="P1" s="19">
        <f t="shared" si="0"/>
        <v>46087</v>
      </c>
      <c r="Q1" s="20">
        <f t="shared" si="0"/>
        <v>46094</v>
      </c>
      <c r="R1" s="20">
        <f t="shared" si="0"/>
        <v>46101</v>
      </c>
      <c r="S1" s="20">
        <f t="shared" si="0"/>
        <v>46108</v>
      </c>
      <c r="T1" s="19">
        <f t="shared" si="0"/>
        <v>46115</v>
      </c>
      <c r="U1" s="20">
        <f t="shared" si="0"/>
        <v>46122</v>
      </c>
      <c r="V1" s="20">
        <f t="shared" si="0"/>
        <v>46129</v>
      </c>
      <c r="W1" s="20">
        <f t="shared" si="0"/>
        <v>46136</v>
      </c>
      <c r="X1" s="19">
        <f t="shared" si="0"/>
        <v>46143</v>
      </c>
      <c r="Y1" s="20">
        <f t="shared" si="0"/>
        <v>46150</v>
      </c>
      <c r="Z1" s="20">
        <f t="shared" si="0"/>
        <v>46157</v>
      </c>
      <c r="AA1" s="20">
        <f t="shared" si="0"/>
        <v>46164</v>
      </c>
      <c r="AB1" s="21">
        <f t="shared" si="0"/>
        <v>46171</v>
      </c>
      <c r="AC1" s="19">
        <f t="shared" si="0"/>
        <v>46178</v>
      </c>
      <c r="AD1" s="20">
        <f t="shared" si="0"/>
        <v>46185</v>
      </c>
      <c r="AE1" s="20">
        <f t="shared" si="0"/>
        <v>46192</v>
      </c>
      <c r="AF1" s="22">
        <f t="shared" si="0"/>
        <v>46199</v>
      </c>
      <c r="AG1" s="19">
        <f t="shared" si="0"/>
        <v>46206</v>
      </c>
      <c r="AH1" s="20">
        <f t="shared" si="0"/>
        <v>46213</v>
      </c>
      <c r="AI1" s="20">
        <f t="shared" si="0"/>
        <v>46220</v>
      </c>
      <c r="AJ1" s="20">
        <f t="shared" si="0"/>
        <v>46227</v>
      </c>
      <c r="AK1" s="21">
        <f t="shared" si="0"/>
        <v>46234</v>
      </c>
      <c r="AL1" s="19">
        <f t="shared" si="0"/>
        <v>46241</v>
      </c>
      <c r="AM1" s="20">
        <f t="shared" si="0"/>
        <v>46248</v>
      </c>
      <c r="AN1" s="20">
        <f t="shared" si="0"/>
        <v>46255</v>
      </c>
      <c r="AO1" s="21">
        <f t="shared" si="0"/>
        <v>46262</v>
      </c>
      <c r="AP1" s="19">
        <f t="shared" si="0"/>
        <v>46269</v>
      </c>
      <c r="AQ1" s="20">
        <f t="shared" si="0"/>
        <v>46276</v>
      </c>
      <c r="AR1" s="20">
        <f t="shared" si="0"/>
        <v>46283</v>
      </c>
      <c r="AS1" s="21">
        <f t="shared" si="0"/>
        <v>46290</v>
      </c>
      <c r="AT1" s="19">
        <f t="shared" si="0"/>
        <v>46297</v>
      </c>
      <c r="AU1" s="20">
        <f t="shared" si="0"/>
        <v>46304</v>
      </c>
      <c r="AV1" s="20">
        <f t="shared" si="0"/>
        <v>46311</v>
      </c>
      <c r="AW1" s="20">
        <f t="shared" si="0"/>
        <v>46318</v>
      </c>
      <c r="AX1" s="21">
        <f t="shared" si="0"/>
        <v>46325</v>
      </c>
      <c r="AY1" s="19">
        <f t="shared" si="0"/>
        <v>46332</v>
      </c>
      <c r="AZ1" s="20">
        <f t="shared" si="0"/>
        <v>46339</v>
      </c>
      <c r="BA1" s="20">
        <f t="shared" si="0"/>
        <v>46346</v>
      </c>
      <c r="BB1" s="21">
        <f t="shared" si="0"/>
        <v>46353</v>
      </c>
      <c r="BC1" s="19">
        <f t="shared" si="0"/>
        <v>46360</v>
      </c>
      <c r="BD1" s="20">
        <f t="shared" si="0"/>
        <v>46367</v>
      </c>
      <c r="BE1" s="20">
        <f t="shared" si="0"/>
        <v>46374</v>
      </c>
      <c r="BF1" s="21">
        <f t="shared" si="0"/>
        <v>46381</v>
      </c>
      <c r="BG1" s="19">
        <f t="shared" si="0"/>
        <v>46388</v>
      </c>
      <c r="BH1" s="20">
        <f t="shared" si="0"/>
        <v>46395</v>
      </c>
      <c r="BI1" s="20">
        <f t="shared" si="0"/>
        <v>46402</v>
      </c>
      <c r="BJ1" s="20">
        <f t="shared" si="0"/>
        <v>46409</v>
      </c>
      <c r="BK1" s="21">
        <f t="shared" si="0"/>
        <v>46416</v>
      </c>
      <c r="BL1" s="13"/>
    </row>
    <row r="2" spans="1:64" s="9" customFormat="1" x14ac:dyDescent="0.2">
      <c r="A2" s="14" t="str">
        <f>data!A2</f>
        <v>339840-00</v>
      </c>
      <c r="B2" s="6" t="str">
        <f>data!C2</f>
        <v>Fire-Dex</v>
      </c>
      <c r="C2" s="24" t="str">
        <f>data!D2</f>
        <v>FDXL200
Waterproof</v>
      </c>
      <c r="D2" s="15">
        <f>data!E2</f>
        <v>1314</v>
      </c>
      <c r="E2" s="40">
        <f>data!F2</f>
        <v>46113</v>
      </c>
      <c r="F2" s="40">
        <f>data!I2</f>
        <v>46151</v>
      </c>
      <c r="G2" s="41"/>
      <c r="H2" s="42"/>
      <c r="I2" s="42"/>
      <c r="J2" s="42"/>
      <c r="K2" s="43"/>
      <c r="L2" s="44"/>
      <c r="M2" s="42"/>
      <c r="N2" s="42"/>
      <c r="O2" s="43"/>
      <c r="P2" s="41"/>
      <c r="Q2" s="42"/>
      <c r="R2" s="42"/>
      <c r="S2" s="42"/>
      <c r="T2" s="69">
        <v>46113</v>
      </c>
      <c r="U2" s="42"/>
      <c r="V2" s="42"/>
      <c r="W2" s="42"/>
      <c r="X2" s="41"/>
      <c r="Y2" s="42"/>
      <c r="Z2" s="62">
        <v>46151</v>
      </c>
      <c r="AA2" s="42"/>
      <c r="AB2" s="43"/>
      <c r="AC2" s="41"/>
      <c r="AD2" s="42"/>
      <c r="AE2" s="42"/>
      <c r="AF2" s="45"/>
      <c r="AG2" s="41"/>
      <c r="AH2" s="42"/>
      <c r="AI2" s="42"/>
      <c r="AJ2" s="42"/>
      <c r="AK2" s="43"/>
      <c r="AL2" s="41"/>
      <c r="AM2" s="42"/>
      <c r="AN2" s="42"/>
      <c r="AO2" s="43"/>
      <c r="AP2" s="41"/>
      <c r="AQ2" s="42"/>
      <c r="AR2" s="42"/>
      <c r="AS2" s="43"/>
      <c r="AT2" s="41"/>
      <c r="AU2" s="42"/>
      <c r="AV2" s="42"/>
      <c r="AW2" s="42"/>
      <c r="AX2" s="43"/>
      <c r="AY2" s="41"/>
      <c r="AZ2" s="42"/>
      <c r="BA2" s="42"/>
      <c r="BB2" s="43"/>
      <c r="BC2" s="41"/>
      <c r="BD2" s="42"/>
      <c r="BE2" s="42"/>
      <c r="BF2" s="43"/>
      <c r="BG2" s="41"/>
      <c r="BH2" s="42"/>
      <c r="BI2" s="42"/>
      <c r="BJ2" s="42"/>
      <c r="BK2" s="43"/>
      <c r="BL2" s="13"/>
    </row>
    <row r="3" spans="1:64" s="9" customFormat="1" x14ac:dyDescent="0.2">
      <c r="A3" s="14" t="str">
        <f>data!A3</f>
        <v>339842-00</v>
      </c>
      <c r="B3" s="6" t="str">
        <f>data!C3</f>
        <v>Fire-Dex</v>
      </c>
      <c r="C3" s="24" t="str">
        <f>data!D3</f>
        <v>FDXL200
Waterproof</v>
      </c>
      <c r="D3" s="15">
        <f>data!E3</f>
        <v>660</v>
      </c>
      <c r="E3" s="40">
        <f>data!F3</f>
        <v>46113</v>
      </c>
      <c r="F3" s="40">
        <f>data!I3</f>
        <v>46151</v>
      </c>
      <c r="G3" s="46"/>
      <c r="K3" s="47"/>
      <c r="L3" s="48"/>
      <c r="O3" s="47"/>
      <c r="P3" s="46"/>
      <c r="T3" s="70">
        <v>46113</v>
      </c>
      <c r="X3" s="46"/>
      <c r="Z3" s="63">
        <v>46151</v>
      </c>
      <c r="AB3" s="47"/>
      <c r="AC3" s="46"/>
      <c r="AF3" s="49"/>
      <c r="AG3" s="46"/>
      <c r="AK3" s="47"/>
      <c r="AL3" s="46"/>
      <c r="AO3" s="47"/>
      <c r="AP3" s="46"/>
      <c r="AS3" s="47"/>
      <c r="AT3" s="46"/>
      <c r="AX3" s="47"/>
      <c r="AY3" s="46"/>
      <c r="BB3" s="47"/>
      <c r="BC3" s="46"/>
      <c r="BF3" s="47"/>
      <c r="BG3" s="46"/>
      <c r="BK3" s="47"/>
      <c r="BL3" s="13"/>
    </row>
    <row r="4" spans="1:64" s="9" customFormat="1" x14ac:dyDescent="0.2">
      <c r="A4" s="14" t="str">
        <f>data!A4</f>
        <v>339842-00</v>
      </c>
      <c r="B4" s="6" t="str">
        <f>data!C4</f>
        <v>Fire-Dex</v>
      </c>
      <c r="C4" s="24" t="str">
        <f>data!D4</f>
        <v>FDXL200
Waterproof</v>
      </c>
      <c r="D4" s="15">
        <f>data!E4</f>
        <v>1278</v>
      </c>
      <c r="E4" s="40">
        <f>data!F4</f>
        <v>46121</v>
      </c>
      <c r="F4" s="40">
        <f>data!I4</f>
        <v>46159</v>
      </c>
      <c r="G4" s="46"/>
      <c r="K4" s="47"/>
      <c r="L4" s="48"/>
      <c r="O4" s="47"/>
      <c r="P4" s="46"/>
      <c r="T4" s="46"/>
      <c r="U4" s="71">
        <v>46121</v>
      </c>
      <c r="X4" s="46"/>
      <c r="AA4" s="63">
        <v>46159</v>
      </c>
      <c r="AB4" s="47"/>
      <c r="AC4" s="46"/>
      <c r="AF4" s="49"/>
      <c r="AG4" s="46"/>
      <c r="AK4" s="47"/>
      <c r="AL4" s="46"/>
      <c r="AO4" s="47"/>
      <c r="AP4" s="46"/>
      <c r="AS4" s="47"/>
      <c r="AT4" s="46"/>
      <c r="AX4" s="47"/>
      <c r="AY4" s="46"/>
      <c r="BB4" s="47"/>
      <c r="BC4" s="46"/>
      <c r="BF4" s="47"/>
      <c r="BG4" s="46"/>
      <c r="BK4" s="47"/>
      <c r="BL4" s="13"/>
    </row>
    <row r="5" spans="1:64" s="9" customFormat="1" x14ac:dyDescent="0.2">
      <c r="A5" s="14" t="str">
        <f>data!A5</f>
        <v>PO175</v>
      </c>
      <c r="B5" s="6" t="str">
        <f>data!C5</f>
        <v>USBOOT</v>
      </c>
      <c r="C5" s="24" t="str">
        <f>data!D5</f>
        <v xml:space="preserve">6'' Driftlock (Bravo Soft toe ) Waterproof </v>
      </c>
      <c r="D5" s="15">
        <f>data!E5</f>
        <v>522</v>
      </c>
      <c r="E5" s="40">
        <f>data!F5</f>
        <v>46121</v>
      </c>
      <c r="F5" s="40">
        <f>data!I5</f>
        <v>46159</v>
      </c>
      <c r="G5" s="46"/>
      <c r="K5" s="47"/>
      <c r="L5" s="48"/>
      <c r="O5" s="47"/>
      <c r="P5" s="46"/>
      <c r="T5" s="46"/>
      <c r="U5" s="71">
        <v>46121</v>
      </c>
      <c r="X5" s="46"/>
      <c r="AA5" s="63">
        <v>46159</v>
      </c>
      <c r="AB5" s="47"/>
      <c r="AC5" s="46"/>
      <c r="AF5" s="49"/>
      <c r="AG5" s="46"/>
      <c r="AK5" s="47"/>
      <c r="AL5" s="46"/>
      <c r="AO5" s="47"/>
      <c r="AP5" s="46"/>
      <c r="AS5" s="47"/>
      <c r="AT5" s="46"/>
      <c r="AX5" s="47"/>
      <c r="AY5" s="46"/>
      <c r="BB5" s="47"/>
      <c r="BC5" s="46"/>
      <c r="BF5" s="47"/>
      <c r="BG5" s="46"/>
      <c r="BK5" s="47"/>
      <c r="BL5" s="13"/>
    </row>
    <row r="6" spans="1:64" s="9" customFormat="1" x14ac:dyDescent="0.2">
      <c r="A6" s="14" t="str">
        <f>data!A6</f>
        <v>PO175</v>
      </c>
      <c r="B6" s="6" t="str">
        <f>data!C6</f>
        <v>USBOOT</v>
      </c>
      <c r="C6" s="24" t="str">
        <f>data!D6</f>
        <v>Condor Wellington Waterproof</v>
      </c>
      <c r="D6" s="15">
        <f>data!E6</f>
        <v>552</v>
      </c>
      <c r="E6" s="40">
        <f>data!F6</f>
        <v>46121</v>
      </c>
      <c r="F6" s="40">
        <f>data!I6</f>
        <v>46159</v>
      </c>
      <c r="G6" s="46"/>
      <c r="K6" s="47"/>
      <c r="L6" s="48"/>
      <c r="O6" s="47"/>
      <c r="P6" s="46"/>
      <c r="T6" s="46"/>
      <c r="U6" s="71">
        <v>46121</v>
      </c>
      <c r="X6" s="46"/>
      <c r="AA6" s="63">
        <v>46159</v>
      </c>
      <c r="AB6" s="47"/>
      <c r="AC6" s="46"/>
      <c r="AF6" s="49"/>
      <c r="AG6" s="46"/>
      <c r="AK6" s="47"/>
      <c r="AL6" s="46"/>
      <c r="AO6" s="47"/>
      <c r="AP6" s="46"/>
      <c r="AS6" s="47"/>
      <c r="AT6" s="46"/>
      <c r="AX6" s="47"/>
      <c r="AY6" s="46"/>
      <c r="BB6" s="47"/>
      <c r="BC6" s="46"/>
      <c r="BF6" s="47"/>
      <c r="BG6" s="46"/>
      <c r="BK6" s="47"/>
      <c r="BL6" s="13"/>
    </row>
    <row r="7" spans="1:64" s="9" customFormat="1" x14ac:dyDescent="0.2">
      <c r="A7" s="14" t="str">
        <f>data!A7</f>
        <v>PO1173</v>
      </c>
      <c r="B7" s="6" t="str">
        <f>data!C7</f>
        <v>BRUNT</v>
      </c>
      <c r="C7" s="24" t="str">
        <f>data!D7</f>
        <v xml:space="preserve"> Ohman Welted USA (Comp Toe)</v>
      </c>
      <c r="D7" s="15">
        <f>data!E7</f>
        <v>1806</v>
      </c>
      <c r="E7" s="40">
        <f>data!F7</f>
        <v>46128</v>
      </c>
      <c r="F7" s="40">
        <f>data!I7</f>
        <v>46166</v>
      </c>
      <c r="G7" s="46"/>
      <c r="K7" s="47"/>
      <c r="L7" s="48"/>
      <c r="O7" s="47"/>
      <c r="P7" s="46"/>
      <c r="T7" s="46"/>
      <c r="V7" s="71">
        <v>46128</v>
      </c>
      <c r="X7" s="46"/>
      <c r="AB7" s="64">
        <v>46166</v>
      </c>
      <c r="AC7" s="46"/>
      <c r="AF7" s="49"/>
      <c r="AG7" s="46"/>
      <c r="AK7" s="47"/>
      <c r="AL7" s="46"/>
      <c r="AO7" s="47"/>
      <c r="AP7" s="46"/>
      <c r="AS7" s="47"/>
      <c r="AT7" s="46"/>
      <c r="AX7" s="47"/>
      <c r="AY7" s="46"/>
      <c r="BB7" s="47"/>
      <c r="BC7" s="46"/>
      <c r="BF7" s="47"/>
      <c r="BG7" s="46"/>
      <c r="BK7" s="47"/>
      <c r="BL7" s="13"/>
    </row>
    <row r="8" spans="1:64" s="9" customFormat="1" x14ac:dyDescent="0.2">
      <c r="A8" s="14" t="str">
        <f>data!A8</f>
        <v>PO1172</v>
      </c>
      <c r="B8" s="6" t="str">
        <f>data!C8</f>
        <v>BRUNT</v>
      </c>
      <c r="C8" s="24" t="str">
        <f>data!D8</f>
        <v>Marin Welted USA 8"(Comp Toe)</v>
      </c>
      <c r="D8" s="15">
        <f>data!E8</f>
        <v>600</v>
      </c>
      <c r="E8" s="40">
        <f>data!F8</f>
        <v>46132</v>
      </c>
      <c r="F8" s="40">
        <f>data!I8</f>
        <v>46170</v>
      </c>
      <c r="G8" s="46"/>
      <c r="K8" s="47"/>
      <c r="L8" s="48"/>
      <c r="O8" s="47"/>
      <c r="P8" s="46"/>
      <c r="T8" s="46"/>
      <c r="W8" s="71">
        <v>46132</v>
      </c>
      <c r="X8" s="46"/>
      <c r="AB8" s="64">
        <v>46170</v>
      </c>
      <c r="AC8" s="46"/>
      <c r="AF8" s="49"/>
      <c r="AG8" s="46"/>
      <c r="AK8" s="47"/>
      <c r="AL8" s="46"/>
      <c r="AO8" s="47"/>
      <c r="AP8" s="46"/>
      <c r="AS8" s="47"/>
      <c r="AT8" s="46"/>
      <c r="AX8" s="47"/>
      <c r="AY8" s="46"/>
      <c r="BB8" s="47"/>
      <c r="BC8" s="46"/>
      <c r="BF8" s="47"/>
      <c r="BG8" s="46"/>
      <c r="BK8" s="47"/>
      <c r="BL8" s="13"/>
    </row>
    <row r="9" spans="1:64" s="9" customFormat="1" x14ac:dyDescent="0.2">
      <c r="A9" s="14" t="str">
        <f>data!A9</f>
        <v>PO1173</v>
      </c>
      <c r="B9" s="6" t="str">
        <f>data!C9</f>
        <v>BRUNT</v>
      </c>
      <c r="C9" s="24" t="str">
        <f>data!D9</f>
        <v xml:space="preserve"> Ohman Welted USA (Soft Toe)</v>
      </c>
      <c r="D9" s="15">
        <f>data!E9</f>
        <v>1440</v>
      </c>
      <c r="E9" s="40">
        <f>data!F9</f>
        <v>46132</v>
      </c>
      <c r="F9" s="40">
        <f>data!I9</f>
        <v>46170</v>
      </c>
      <c r="G9" s="46"/>
      <c r="K9" s="47"/>
      <c r="L9" s="48"/>
      <c r="O9" s="47"/>
      <c r="P9" s="46"/>
      <c r="T9" s="46"/>
      <c r="W9" s="71">
        <v>46132</v>
      </c>
      <c r="X9" s="46"/>
      <c r="AB9" s="64">
        <v>46170</v>
      </c>
      <c r="AC9" s="46"/>
      <c r="AF9" s="49"/>
      <c r="AG9" s="46"/>
      <c r="AK9" s="47"/>
      <c r="AL9" s="46"/>
      <c r="AO9" s="47"/>
      <c r="AP9" s="46"/>
      <c r="AS9" s="47"/>
      <c r="AT9" s="46"/>
      <c r="AX9" s="47"/>
      <c r="AY9" s="46"/>
      <c r="BB9" s="47"/>
      <c r="BC9" s="46"/>
      <c r="BF9" s="47"/>
      <c r="BG9" s="46"/>
      <c r="BK9" s="47"/>
      <c r="BL9" s="13"/>
    </row>
    <row r="10" spans="1:64" s="9" customFormat="1" x14ac:dyDescent="0.2">
      <c r="A10" s="14" t="str">
        <f>data!A10</f>
        <v>PO1224</v>
      </c>
      <c r="B10" s="6" t="str">
        <f>data!C10</f>
        <v>BRUNT</v>
      </c>
      <c r="C10" s="24" t="str">
        <f>data!D10</f>
        <v>Marin Welted USA (Soft Toe)
Waterproof</v>
      </c>
      <c r="D10" s="15">
        <f>data!E10</f>
        <v>600</v>
      </c>
      <c r="E10" s="40">
        <f>data!F10</f>
        <v>46136</v>
      </c>
      <c r="F10" s="40">
        <f>data!I10</f>
        <v>46174</v>
      </c>
      <c r="G10" s="46"/>
      <c r="K10" s="47"/>
      <c r="L10" s="48"/>
      <c r="O10" s="47"/>
      <c r="P10" s="46"/>
      <c r="T10" s="46"/>
      <c r="W10" s="71">
        <v>46136</v>
      </c>
      <c r="X10" s="46"/>
      <c r="AB10" s="47"/>
      <c r="AC10" s="65">
        <v>46174</v>
      </c>
      <c r="AF10" s="49"/>
      <c r="AG10" s="46"/>
      <c r="AK10" s="47"/>
      <c r="AL10" s="46"/>
      <c r="AO10" s="47"/>
      <c r="AP10" s="46"/>
      <c r="AS10" s="47"/>
      <c r="AT10" s="46"/>
      <c r="AX10" s="47"/>
      <c r="AY10" s="46"/>
      <c r="BB10" s="47"/>
      <c r="BC10" s="46"/>
      <c r="BF10" s="47"/>
      <c r="BG10" s="46"/>
      <c r="BK10" s="47"/>
      <c r="BL10" s="13"/>
    </row>
    <row r="11" spans="1:64" s="9" customFormat="1" x14ac:dyDescent="0.2">
      <c r="A11" s="14" t="str">
        <f>data!A11</f>
        <v>PO1224</v>
      </c>
      <c r="B11" s="6" t="str">
        <f>data!C11</f>
        <v>BRUNT</v>
      </c>
      <c r="C11" s="24" t="str">
        <f>data!D11</f>
        <v>Marin Unlined Welted USA (Comp Toe)
Dark BRN</v>
      </c>
      <c r="D11" s="15">
        <f>data!E11</f>
        <v>600</v>
      </c>
      <c r="E11" s="40">
        <f>data!F11</f>
        <v>46136</v>
      </c>
      <c r="F11" s="40">
        <f>data!I11</f>
        <v>46174</v>
      </c>
      <c r="G11" s="46"/>
      <c r="K11" s="47"/>
      <c r="L11" s="48"/>
      <c r="O11" s="47"/>
      <c r="P11" s="46"/>
      <c r="T11" s="46"/>
      <c r="W11" s="71">
        <v>46136</v>
      </c>
      <c r="X11" s="46"/>
      <c r="AB11" s="47"/>
      <c r="AC11" s="65">
        <v>46174</v>
      </c>
      <c r="AF11" s="49"/>
      <c r="AG11" s="46"/>
      <c r="AK11" s="47"/>
      <c r="AL11" s="46"/>
      <c r="AO11" s="47"/>
      <c r="AP11" s="46"/>
      <c r="AS11" s="47"/>
      <c r="AT11" s="46"/>
      <c r="AX11" s="47"/>
      <c r="AY11" s="46"/>
      <c r="BB11" s="47"/>
      <c r="BC11" s="46"/>
      <c r="BF11" s="47"/>
      <c r="BG11" s="46"/>
      <c r="BK11" s="47"/>
      <c r="BL11" s="13"/>
    </row>
    <row r="12" spans="1:64" s="9" customFormat="1" x14ac:dyDescent="0.2">
      <c r="A12" s="14" t="str">
        <f>data!A12</f>
        <v>PO1225</v>
      </c>
      <c r="B12" s="6" t="str">
        <f>data!C12</f>
        <v>BRUNT</v>
      </c>
      <c r="C12" s="24" t="str">
        <f>data!D12</f>
        <v>Marin Welted USA 8"(Comp Toe)  
Waterproof</v>
      </c>
      <c r="D12" s="15">
        <f>data!E12</f>
        <v>600</v>
      </c>
      <c r="E12" s="40">
        <f>data!F12</f>
        <v>46136</v>
      </c>
      <c r="F12" s="40">
        <f>data!I12</f>
        <v>46174</v>
      </c>
      <c r="G12" s="46"/>
      <c r="K12" s="47"/>
      <c r="L12" s="48"/>
      <c r="O12" s="47"/>
      <c r="P12" s="46"/>
      <c r="T12" s="46"/>
      <c r="W12" s="71">
        <v>46136</v>
      </c>
      <c r="X12" s="46"/>
      <c r="AB12" s="47"/>
      <c r="AC12" s="65">
        <v>46174</v>
      </c>
      <c r="AF12" s="49"/>
      <c r="AG12" s="46"/>
      <c r="AK12" s="47"/>
      <c r="AL12" s="46"/>
      <c r="AO12" s="47"/>
      <c r="AP12" s="46"/>
      <c r="AS12" s="47"/>
      <c r="AT12" s="46"/>
      <c r="AX12" s="47"/>
      <c r="AY12" s="46"/>
      <c r="BB12" s="47"/>
      <c r="BC12" s="46"/>
      <c r="BF12" s="47"/>
      <c r="BG12" s="46"/>
      <c r="BK12" s="47"/>
      <c r="BL12" s="13"/>
    </row>
    <row r="13" spans="1:64" s="9" customFormat="1" x14ac:dyDescent="0.2">
      <c r="A13" s="14" t="str">
        <f>data!A13</f>
        <v>PO1226</v>
      </c>
      <c r="B13" s="6" t="str">
        <f>data!C13</f>
        <v>BRUNT</v>
      </c>
      <c r="C13" s="24" t="str">
        <f>data!D13</f>
        <v xml:space="preserve">Marin Unlined Welted USA (Soft Toe)
 </v>
      </c>
      <c r="D13" s="15">
        <f>data!E13</f>
        <v>600</v>
      </c>
      <c r="E13" s="40">
        <f>data!F13</f>
        <v>46136</v>
      </c>
      <c r="F13" s="40">
        <f>data!I13</f>
        <v>46174</v>
      </c>
      <c r="G13" s="46"/>
      <c r="K13" s="47"/>
      <c r="L13" s="48"/>
      <c r="O13" s="47"/>
      <c r="P13" s="46"/>
      <c r="T13" s="46"/>
      <c r="W13" s="71">
        <v>46136</v>
      </c>
      <c r="X13" s="46"/>
      <c r="AB13" s="47"/>
      <c r="AC13" s="65">
        <v>46174</v>
      </c>
      <c r="AF13" s="49"/>
      <c r="AG13" s="46"/>
      <c r="AK13" s="47"/>
      <c r="AL13" s="46"/>
      <c r="AO13" s="47"/>
      <c r="AP13" s="46"/>
      <c r="AS13" s="47"/>
      <c r="AT13" s="46"/>
      <c r="AX13" s="47"/>
      <c r="AY13" s="46"/>
      <c r="BB13" s="47"/>
      <c r="BC13" s="46"/>
      <c r="BF13" s="47"/>
      <c r="BG13" s="46"/>
      <c r="BK13" s="47"/>
      <c r="BL13" s="13"/>
    </row>
    <row r="14" spans="1:64" s="9" customFormat="1" x14ac:dyDescent="0.2">
      <c r="A14" s="14" t="str">
        <f>data!A14</f>
        <v>PO1226</v>
      </c>
      <c r="B14" s="6" t="str">
        <f>data!C14</f>
        <v>BRUNT</v>
      </c>
      <c r="C14" s="24" t="str">
        <f>data!D14</f>
        <v xml:space="preserve">Marin Unlined Welted USA (Comp Toe)
 </v>
      </c>
      <c r="D14" s="15">
        <f>data!E14</f>
        <v>600</v>
      </c>
      <c r="E14" s="40">
        <f>data!F14</f>
        <v>46136</v>
      </c>
      <c r="F14" s="40">
        <f>data!I14</f>
        <v>46174</v>
      </c>
      <c r="G14" s="46"/>
      <c r="K14" s="47"/>
      <c r="L14" s="48"/>
      <c r="O14" s="47"/>
      <c r="P14" s="46"/>
      <c r="T14" s="46"/>
      <c r="W14" s="71">
        <v>46136</v>
      </c>
      <c r="X14" s="46"/>
      <c r="AB14" s="47"/>
      <c r="AC14" s="65">
        <v>46174</v>
      </c>
      <c r="AF14" s="49"/>
      <c r="AG14" s="46"/>
      <c r="AK14" s="47"/>
      <c r="AL14" s="46"/>
      <c r="AO14" s="47"/>
      <c r="AP14" s="46"/>
      <c r="AS14" s="47"/>
      <c r="AT14" s="46"/>
      <c r="AX14" s="47"/>
      <c r="AY14" s="46"/>
      <c r="BB14" s="47"/>
      <c r="BC14" s="46"/>
      <c r="BF14" s="47"/>
      <c r="BG14" s="46"/>
      <c r="BK14" s="47"/>
      <c r="BL14" s="13"/>
    </row>
    <row r="15" spans="1:64" s="9" customFormat="1" x14ac:dyDescent="0.2">
      <c r="A15" s="14" t="str">
        <f>data!A15</f>
        <v>PO1227</v>
      </c>
      <c r="B15" s="6" t="str">
        <f>data!C15</f>
        <v>BRUNT</v>
      </c>
      <c r="C15" s="24" t="str">
        <f>data!D15</f>
        <v>Marin Welted USA (Comp Toe) Brunt Toe</v>
      </c>
      <c r="D15" s="15">
        <f>data!E15</f>
        <v>600</v>
      </c>
      <c r="E15" s="40">
        <f>data!F15</f>
        <v>46136</v>
      </c>
      <c r="F15" s="40">
        <f>data!I15</f>
        <v>46174</v>
      </c>
      <c r="G15" s="46"/>
      <c r="K15" s="47"/>
      <c r="L15" s="48"/>
      <c r="O15" s="47"/>
      <c r="P15" s="46"/>
      <c r="T15" s="46"/>
      <c r="W15" s="71">
        <v>46136</v>
      </c>
      <c r="X15" s="46"/>
      <c r="AB15" s="47"/>
      <c r="AC15" s="65">
        <v>46174</v>
      </c>
      <c r="AF15" s="49"/>
      <c r="AG15" s="46"/>
      <c r="AK15" s="47"/>
      <c r="AL15" s="46"/>
      <c r="AO15" s="47"/>
      <c r="AP15" s="46"/>
      <c r="AS15" s="47"/>
      <c r="AT15" s="46"/>
      <c r="AX15" s="47"/>
      <c r="AY15" s="46"/>
      <c r="BB15" s="47"/>
      <c r="BC15" s="46"/>
      <c r="BF15" s="47"/>
      <c r="BG15" s="46"/>
      <c r="BK15" s="47"/>
      <c r="BL15" s="13"/>
    </row>
    <row r="16" spans="1:64" s="9" customFormat="1" x14ac:dyDescent="0.2">
      <c r="A16" s="14" t="str">
        <f>data!A16</f>
        <v>340055-00</v>
      </c>
      <c r="B16" s="6" t="str">
        <f>data!C16</f>
        <v>Fire-Dex</v>
      </c>
      <c r="C16" s="24" t="str">
        <f>data!D16</f>
        <v>FDXL200
Waterproof</v>
      </c>
      <c r="D16" s="15">
        <f>data!E16</f>
        <v>1572</v>
      </c>
      <c r="E16" s="40">
        <f>data!F16</f>
        <v>46140</v>
      </c>
      <c r="F16" s="40">
        <f>data!I16</f>
        <v>46178</v>
      </c>
      <c r="G16" s="46"/>
      <c r="K16" s="47"/>
      <c r="L16" s="48"/>
      <c r="O16" s="47"/>
      <c r="P16" s="46"/>
      <c r="T16" s="46"/>
      <c r="X16" s="70">
        <v>46140</v>
      </c>
      <c r="AB16" s="47"/>
      <c r="AC16" s="65">
        <v>46178</v>
      </c>
      <c r="AF16" s="49"/>
      <c r="AG16" s="46"/>
      <c r="AK16" s="47"/>
      <c r="AL16" s="46"/>
      <c r="AO16" s="47"/>
      <c r="AP16" s="46"/>
      <c r="AS16" s="47"/>
      <c r="AT16" s="46"/>
      <c r="AX16" s="47"/>
      <c r="AY16" s="46"/>
      <c r="BB16" s="47"/>
      <c r="BC16" s="46"/>
      <c r="BF16" s="47"/>
      <c r="BG16" s="46"/>
      <c r="BK16" s="47"/>
      <c r="BL16" s="13"/>
    </row>
    <row r="17" spans="1:64" s="9" customFormat="1" x14ac:dyDescent="0.2">
      <c r="A17" s="14" t="str">
        <f>data!A17</f>
        <v>PO1228</v>
      </c>
      <c r="B17" s="6" t="str">
        <f>data!C17</f>
        <v>BRUNT</v>
      </c>
      <c r="C17" s="24" t="str">
        <f>data!D17</f>
        <v xml:space="preserve"> Ohman Welted USA (Comp Toe)</v>
      </c>
      <c r="D17" s="15">
        <f>data!E17</f>
        <v>1800</v>
      </c>
      <c r="E17" s="40">
        <f>data!F17</f>
        <v>46142</v>
      </c>
      <c r="F17" s="40">
        <f>data!I17</f>
        <v>46180</v>
      </c>
      <c r="G17" s="46"/>
      <c r="K17" s="47"/>
      <c r="L17" s="48"/>
      <c r="O17" s="47"/>
      <c r="P17" s="46"/>
      <c r="T17" s="46"/>
      <c r="X17" s="70">
        <v>46142</v>
      </c>
      <c r="AB17" s="47"/>
      <c r="AC17" s="46"/>
      <c r="AD17" s="63">
        <v>46180</v>
      </c>
      <c r="AF17" s="49"/>
      <c r="AG17" s="46"/>
      <c r="AK17" s="47"/>
      <c r="AL17" s="46"/>
      <c r="AO17" s="47"/>
      <c r="AP17" s="46"/>
      <c r="AS17" s="47"/>
      <c r="AT17" s="46"/>
      <c r="AX17" s="47"/>
      <c r="AY17" s="46"/>
      <c r="BB17" s="47"/>
      <c r="BC17" s="46"/>
      <c r="BF17" s="47"/>
      <c r="BG17" s="46"/>
      <c r="BK17" s="47"/>
      <c r="BL17" s="13"/>
    </row>
    <row r="18" spans="1:64" s="9" customFormat="1" x14ac:dyDescent="0.2">
      <c r="A18" s="14" t="str">
        <f>data!A18</f>
        <v>PO1228</v>
      </c>
      <c r="B18" s="6" t="str">
        <f>data!C18</f>
        <v>BRUNT</v>
      </c>
      <c r="C18" s="24" t="str">
        <f>data!D18</f>
        <v xml:space="preserve"> Ohman Welted USA (Soft Toe)</v>
      </c>
      <c r="D18" s="15">
        <f>data!E18</f>
        <v>600</v>
      </c>
      <c r="E18" s="40">
        <f>data!F18</f>
        <v>46142</v>
      </c>
      <c r="F18" s="40">
        <f>data!I18</f>
        <v>46180</v>
      </c>
      <c r="G18" s="50"/>
      <c r="H18" s="51"/>
      <c r="I18" s="51"/>
      <c r="J18" s="51"/>
      <c r="K18" s="52"/>
      <c r="L18" s="53"/>
      <c r="M18" s="51"/>
      <c r="N18" s="51"/>
      <c r="O18" s="52"/>
      <c r="P18" s="50"/>
      <c r="Q18" s="51"/>
      <c r="R18" s="51"/>
      <c r="S18" s="51"/>
      <c r="T18" s="50"/>
      <c r="U18" s="51"/>
      <c r="V18" s="51"/>
      <c r="W18" s="51"/>
      <c r="X18" s="72">
        <v>46142</v>
      </c>
      <c r="Y18" s="51"/>
      <c r="Z18" s="51"/>
      <c r="AA18" s="51"/>
      <c r="AB18" s="52"/>
      <c r="AC18" s="50"/>
      <c r="AD18" s="66">
        <v>46180</v>
      </c>
      <c r="AE18" s="51"/>
      <c r="AF18" s="54"/>
      <c r="AG18" s="50"/>
      <c r="AH18" s="51"/>
      <c r="AI18" s="51"/>
      <c r="AJ18" s="51"/>
      <c r="AK18" s="52"/>
      <c r="AL18" s="50"/>
      <c r="AM18" s="51"/>
      <c r="AN18" s="51"/>
      <c r="AO18" s="52"/>
      <c r="AP18" s="50"/>
      <c r="AQ18" s="51"/>
      <c r="AR18" s="51"/>
      <c r="AS18" s="52"/>
      <c r="AT18" s="50"/>
      <c r="AU18" s="51"/>
      <c r="AV18" s="51"/>
      <c r="AW18" s="51"/>
      <c r="AX18" s="52"/>
      <c r="AY18" s="50"/>
      <c r="AZ18" s="51"/>
      <c r="BA18" s="51"/>
      <c r="BB18" s="52"/>
      <c r="BC18" s="50"/>
      <c r="BD18" s="51"/>
      <c r="BE18" s="51"/>
      <c r="BF18" s="52"/>
      <c r="BG18" s="50"/>
      <c r="BH18" s="51"/>
      <c r="BI18" s="51"/>
      <c r="BJ18" s="51"/>
      <c r="BK18" s="52"/>
      <c r="BL18" s="13"/>
    </row>
    <row r="19" spans="1:64" s="9" customFormat="1" x14ac:dyDescent="0.2">
      <c r="A19" s="14" t="str">
        <f>data!A19</f>
        <v>PO175</v>
      </c>
      <c r="B19" s="6" t="str">
        <f>data!C19</f>
        <v>USBOOT</v>
      </c>
      <c r="C19" s="24" t="str">
        <f>data!D19</f>
        <v>6' Ironmaster-Black</v>
      </c>
      <c r="D19" s="15">
        <f>data!E19</f>
        <v>900</v>
      </c>
      <c r="E19" s="40">
        <f>data!F19</f>
        <v>46146</v>
      </c>
      <c r="F19" s="40">
        <f>data!I19</f>
        <v>46184</v>
      </c>
      <c r="G19" s="50"/>
      <c r="H19" s="51"/>
      <c r="I19" s="51"/>
      <c r="J19" s="51"/>
      <c r="K19" s="52"/>
      <c r="L19" s="53"/>
      <c r="M19" s="51"/>
      <c r="N19" s="51"/>
      <c r="O19" s="52"/>
      <c r="P19" s="50"/>
      <c r="Q19" s="51"/>
      <c r="R19" s="51"/>
      <c r="S19" s="51"/>
      <c r="T19" s="50"/>
      <c r="U19" s="51"/>
      <c r="V19" s="51"/>
      <c r="W19" s="51"/>
      <c r="X19" s="50"/>
      <c r="Y19" s="73">
        <v>46146</v>
      </c>
      <c r="Z19" s="51"/>
      <c r="AA19" s="51"/>
      <c r="AB19" s="52"/>
      <c r="AC19" s="50"/>
      <c r="AD19" s="66">
        <v>46184</v>
      </c>
      <c r="AE19" s="51"/>
      <c r="AF19" s="54"/>
      <c r="AG19" s="50"/>
      <c r="AH19" s="51"/>
      <c r="AI19" s="51"/>
      <c r="AJ19" s="51"/>
      <c r="AK19" s="52"/>
      <c r="AL19" s="50"/>
      <c r="AM19" s="51"/>
      <c r="AN19" s="51"/>
      <c r="AO19" s="52"/>
      <c r="AP19" s="50"/>
      <c r="AQ19" s="51"/>
      <c r="AR19" s="51"/>
      <c r="AS19" s="52"/>
      <c r="AT19" s="50"/>
      <c r="AU19" s="51"/>
      <c r="AV19" s="51"/>
      <c r="AW19" s="51"/>
      <c r="AX19" s="52"/>
      <c r="AY19" s="50"/>
      <c r="AZ19" s="51"/>
      <c r="BA19" s="51"/>
      <c r="BB19" s="52"/>
      <c r="BC19" s="50"/>
      <c r="BD19" s="51"/>
      <c r="BE19" s="51"/>
      <c r="BF19" s="52"/>
      <c r="BG19" s="50"/>
      <c r="BH19" s="51"/>
      <c r="BI19" s="51"/>
      <c r="BJ19" s="51"/>
      <c r="BK19" s="52"/>
      <c r="BL19" s="13"/>
    </row>
    <row r="20" spans="1:64" s="9" customFormat="1" x14ac:dyDescent="0.2">
      <c r="A20" s="14" t="str">
        <f>data!A20</f>
        <v>PO175</v>
      </c>
      <c r="B20" s="6" t="str">
        <f>data!C20</f>
        <v>USBOOT</v>
      </c>
      <c r="C20" s="24" t="str">
        <f>data!D20</f>
        <v>6' Ironmaster-Copper</v>
      </c>
      <c r="D20" s="15">
        <f>data!E20</f>
        <v>1500</v>
      </c>
      <c r="E20" s="40">
        <f>data!F20</f>
        <v>46146</v>
      </c>
      <c r="F20" s="40">
        <f>data!I20</f>
        <v>46184</v>
      </c>
      <c r="G20" s="50"/>
      <c r="H20" s="51"/>
      <c r="I20" s="51"/>
      <c r="J20" s="51"/>
      <c r="K20" s="52"/>
      <c r="L20" s="53"/>
      <c r="M20" s="51"/>
      <c r="N20" s="51"/>
      <c r="O20" s="52"/>
      <c r="P20" s="50"/>
      <c r="Q20" s="51"/>
      <c r="R20" s="51"/>
      <c r="S20" s="51"/>
      <c r="T20" s="50"/>
      <c r="U20" s="51"/>
      <c r="V20" s="51"/>
      <c r="W20" s="51"/>
      <c r="X20" s="50"/>
      <c r="Y20" s="73">
        <v>46146</v>
      </c>
      <c r="Z20" s="51"/>
      <c r="AA20" s="51"/>
      <c r="AB20" s="52"/>
      <c r="AC20" s="50"/>
      <c r="AD20" s="66">
        <v>46184</v>
      </c>
      <c r="AE20" s="51"/>
      <c r="AF20" s="54"/>
      <c r="AG20" s="50"/>
      <c r="AH20" s="51"/>
      <c r="AI20" s="51"/>
      <c r="AJ20" s="51"/>
      <c r="AK20" s="52"/>
      <c r="AL20" s="50"/>
      <c r="AM20" s="51"/>
      <c r="AN20" s="51"/>
      <c r="AO20" s="52"/>
      <c r="AP20" s="50"/>
      <c r="AQ20" s="51"/>
      <c r="AR20" s="51"/>
      <c r="AS20" s="52"/>
      <c r="AT20" s="50"/>
      <c r="AU20" s="51"/>
      <c r="AV20" s="51"/>
      <c r="AW20" s="51"/>
      <c r="AX20" s="52"/>
      <c r="AY20" s="50"/>
      <c r="AZ20" s="51"/>
      <c r="BA20" s="51"/>
      <c r="BB20" s="52"/>
      <c r="BC20" s="50"/>
      <c r="BD20" s="51"/>
      <c r="BE20" s="51"/>
      <c r="BF20" s="52"/>
      <c r="BG20" s="50"/>
      <c r="BH20" s="51"/>
      <c r="BI20" s="51"/>
      <c r="BJ20" s="51"/>
      <c r="BK20" s="52"/>
      <c r="BL20" s="13"/>
    </row>
    <row r="21" spans="1:64" s="9" customFormat="1" x14ac:dyDescent="0.2">
      <c r="A21" s="14" t="str">
        <f>data!A21</f>
        <v>674703</v>
      </c>
      <c r="B21" s="6" t="str">
        <f>data!C21</f>
        <v>Weinbrenner</v>
      </c>
      <c r="C21" s="24" t="str">
        <f>data!D21</f>
        <v>504/804-6301
Waterproof</v>
      </c>
      <c r="D21" s="15">
        <f>data!E21</f>
        <v>2052</v>
      </c>
      <c r="E21" s="40">
        <f>data!F21</f>
        <v>46166</v>
      </c>
      <c r="F21" s="40">
        <f>data!I21</f>
        <v>46204</v>
      </c>
      <c r="G21" s="50"/>
      <c r="H21" s="51"/>
      <c r="I21" s="51"/>
      <c r="J21" s="51"/>
      <c r="K21" s="52"/>
      <c r="L21" s="53"/>
      <c r="M21" s="51"/>
      <c r="N21" s="51"/>
      <c r="O21" s="52"/>
      <c r="P21" s="50"/>
      <c r="Q21" s="51"/>
      <c r="R21" s="51"/>
      <c r="S21" s="51"/>
      <c r="T21" s="50"/>
      <c r="U21" s="51"/>
      <c r="V21" s="51"/>
      <c r="W21" s="51"/>
      <c r="X21" s="50"/>
      <c r="Y21" s="51"/>
      <c r="Z21" s="51"/>
      <c r="AA21" s="51"/>
      <c r="AB21" s="74">
        <v>46166</v>
      </c>
      <c r="AC21" s="50"/>
      <c r="AD21" s="51"/>
      <c r="AE21" s="51"/>
      <c r="AF21" s="54"/>
      <c r="AG21" s="67">
        <v>46204</v>
      </c>
      <c r="AH21" s="51"/>
      <c r="AI21" s="51"/>
      <c r="AJ21" s="51"/>
      <c r="AK21" s="52"/>
      <c r="AL21" s="50"/>
      <c r="AM21" s="51"/>
      <c r="AN21" s="51"/>
      <c r="AO21" s="52"/>
      <c r="AP21" s="50"/>
      <c r="AQ21" s="51"/>
      <c r="AR21" s="51"/>
      <c r="AS21" s="52"/>
      <c r="AT21" s="50"/>
      <c r="AU21" s="51"/>
      <c r="AV21" s="51"/>
      <c r="AW21" s="51"/>
      <c r="AX21" s="52"/>
      <c r="AY21" s="50"/>
      <c r="AZ21" s="51"/>
      <c r="BA21" s="51"/>
      <c r="BB21" s="52"/>
      <c r="BC21" s="50"/>
      <c r="BD21" s="51"/>
      <c r="BE21" s="51"/>
      <c r="BF21" s="52"/>
      <c r="BG21" s="50"/>
      <c r="BH21" s="51"/>
      <c r="BI21" s="51"/>
      <c r="BJ21" s="51"/>
      <c r="BK21" s="52"/>
      <c r="BL21" s="13"/>
    </row>
    <row r="22" spans="1:64" s="9" customFormat="1" x14ac:dyDescent="0.2">
      <c r="A22" s="14" t="str">
        <f>data!A22</f>
        <v>674705</v>
      </c>
      <c r="B22" s="6" t="str">
        <f>data!C22</f>
        <v>Weinbrenner</v>
      </c>
      <c r="C22" s="24" t="str">
        <f>data!D22</f>
        <v>504/804-6301
Waterproof</v>
      </c>
      <c r="D22" s="15">
        <f>data!E22</f>
        <v>100</v>
      </c>
      <c r="E22" s="40">
        <f>data!F22</f>
        <v>46166</v>
      </c>
      <c r="F22" s="40">
        <f>data!I22</f>
        <v>46204</v>
      </c>
      <c r="G22" s="50"/>
      <c r="H22" s="51"/>
      <c r="I22" s="51"/>
      <c r="J22" s="51"/>
      <c r="K22" s="52"/>
      <c r="L22" s="53"/>
      <c r="M22" s="51"/>
      <c r="N22" s="51"/>
      <c r="O22" s="52"/>
      <c r="P22" s="50"/>
      <c r="Q22" s="51"/>
      <c r="R22" s="51"/>
      <c r="S22" s="51"/>
      <c r="T22" s="50"/>
      <c r="U22" s="51"/>
      <c r="V22" s="51"/>
      <c r="W22" s="51"/>
      <c r="X22" s="50"/>
      <c r="Y22" s="51"/>
      <c r="Z22" s="51"/>
      <c r="AA22" s="51"/>
      <c r="AB22" s="74">
        <v>46166</v>
      </c>
      <c r="AC22" s="50"/>
      <c r="AD22" s="51"/>
      <c r="AE22" s="51"/>
      <c r="AF22" s="54"/>
      <c r="AG22" s="67">
        <v>46204</v>
      </c>
      <c r="AH22" s="51"/>
      <c r="AI22" s="51"/>
      <c r="AJ22" s="51"/>
      <c r="AK22" s="52"/>
      <c r="AL22" s="50"/>
      <c r="AM22" s="51"/>
      <c r="AN22" s="51"/>
      <c r="AO22" s="52"/>
      <c r="AP22" s="50"/>
      <c r="AQ22" s="51"/>
      <c r="AR22" s="51"/>
      <c r="AS22" s="52"/>
      <c r="AT22" s="50"/>
      <c r="AU22" s="51"/>
      <c r="AV22" s="51"/>
      <c r="AW22" s="51"/>
      <c r="AX22" s="52"/>
      <c r="AY22" s="50"/>
      <c r="AZ22" s="51"/>
      <c r="BA22" s="51"/>
      <c r="BB22" s="52"/>
      <c r="BC22" s="50"/>
      <c r="BD22" s="51"/>
      <c r="BE22" s="51"/>
      <c r="BF22" s="52"/>
      <c r="BG22" s="50"/>
      <c r="BH22" s="51"/>
      <c r="BI22" s="51"/>
      <c r="BJ22" s="51"/>
      <c r="BK22" s="52"/>
      <c r="BL22" s="13"/>
    </row>
    <row r="23" spans="1:64" s="9" customFormat="1" x14ac:dyDescent="0.2">
      <c r="A23" s="14" t="str">
        <f>data!A23</f>
        <v>PO1232</v>
      </c>
      <c r="B23" s="6" t="str">
        <f>data!C23</f>
        <v>BRUNT</v>
      </c>
      <c r="C23" s="24" t="str">
        <f>data!D23</f>
        <v>Marin Welted USA (Comp Toe) Brunt Toe</v>
      </c>
      <c r="D23" s="15">
        <f>data!E23</f>
        <v>600</v>
      </c>
      <c r="E23" s="40">
        <f>data!F23</f>
        <v>46166</v>
      </c>
      <c r="F23" s="40">
        <f>data!I23</f>
        <v>46204</v>
      </c>
      <c r="G23" s="50"/>
      <c r="H23" s="51"/>
      <c r="I23" s="51"/>
      <c r="J23" s="51"/>
      <c r="K23" s="52"/>
      <c r="L23" s="53"/>
      <c r="M23" s="51"/>
      <c r="N23" s="51"/>
      <c r="O23" s="52"/>
      <c r="P23" s="50"/>
      <c r="Q23" s="51"/>
      <c r="R23" s="51"/>
      <c r="S23" s="51"/>
      <c r="T23" s="50"/>
      <c r="U23" s="51"/>
      <c r="V23" s="51"/>
      <c r="W23" s="51"/>
      <c r="X23" s="50"/>
      <c r="Y23" s="51"/>
      <c r="Z23" s="51"/>
      <c r="AA23" s="51"/>
      <c r="AB23" s="74">
        <v>46166</v>
      </c>
      <c r="AC23" s="50"/>
      <c r="AD23" s="51"/>
      <c r="AE23" s="51"/>
      <c r="AF23" s="54"/>
      <c r="AG23" s="67">
        <v>46204</v>
      </c>
      <c r="AH23" s="51"/>
      <c r="AI23" s="51"/>
      <c r="AJ23" s="51"/>
      <c r="AK23" s="52"/>
      <c r="AL23" s="50"/>
      <c r="AM23" s="51"/>
      <c r="AN23" s="51"/>
      <c r="AO23" s="52"/>
      <c r="AP23" s="50"/>
      <c r="AQ23" s="51"/>
      <c r="AR23" s="51"/>
      <c r="AS23" s="52"/>
      <c r="AT23" s="50"/>
      <c r="AU23" s="51"/>
      <c r="AV23" s="51"/>
      <c r="AW23" s="51"/>
      <c r="AX23" s="52"/>
      <c r="AY23" s="50"/>
      <c r="AZ23" s="51"/>
      <c r="BA23" s="51"/>
      <c r="BB23" s="52"/>
      <c r="BC23" s="50"/>
      <c r="BD23" s="51"/>
      <c r="BE23" s="51"/>
      <c r="BF23" s="52"/>
      <c r="BG23" s="50"/>
      <c r="BH23" s="51"/>
      <c r="BI23" s="51"/>
      <c r="BJ23" s="51"/>
      <c r="BK23" s="52"/>
      <c r="BL23" s="13"/>
    </row>
    <row r="24" spans="1:64" s="9" customFormat="1" x14ac:dyDescent="0.2">
      <c r="A24" s="14" t="str">
        <f>data!A24</f>
        <v>PO1233</v>
      </c>
      <c r="B24" s="6" t="str">
        <f>data!C24</f>
        <v>BRUNT</v>
      </c>
      <c r="C24" s="24" t="str">
        <f>data!D24</f>
        <v xml:space="preserve"> Ohman Welted USA (Soft Toe)</v>
      </c>
      <c r="D24" s="15">
        <f>data!E24</f>
        <v>600</v>
      </c>
      <c r="E24" s="40">
        <f>data!F24</f>
        <v>46166</v>
      </c>
      <c r="F24" s="40">
        <f>data!I24</f>
        <v>46204</v>
      </c>
      <c r="G24" s="50"/>
      <c r="H24" s="51"/>
      <c r="I24" s="51"/>
      <c r="J24" s="51"/>
      <c r="K24" s="52"/>
      <c r="L24" s="53"/>
      <c r="M24" s="51"/>
      <c r="N24" s="51"/>
      <c r="O24" s="52"/>
      <c r="P24" s="50"/>
      <c r="Q24" s="51"/>
      <c r="R24" s="51"/>
      <c r="S24" s="51"/>
      <c r="T24" s="50"/>
      <c r="U24" s="51"/>
      <c r="V24" s="51"/>
      <c r="W24" s="51"/>
      <c r="X24" s="50"/>
      <c r="Y24" s="51"/>
      <c r="Z24" s="51"/>
      <c r="AA24" s="51"/>
      <c r="AB24" s="74">
        <v>46166</v>
      </c>
      <c r="AC24" s="50"/>
      <c r="AD24" s="51"/>
      <c r="AE24" s="51"/>
      <c r="AF24" s="54"/>
      <c r="AG24" s="67">
        <v>46204</v>
      </c>
      <c r="AH24" s="51"/>
      <c r="AI24" s="51"/>
      <c r="AJ24" s="51"/>
      <c r="AK24" s="52"/>
      <c r="AL24" s="50"/>
      <c r="AM24" s="51"/>
      <c r="AN24" s="51"/>
      <c r="AO24" s="52"/>
      <c r="AP24" s="50"/>
      <c r="AQ24" s="51"/>
      <c r="AR24" s="51"/>
      <c r="AS24" s="52"/>
      <c r="AT24" s="50"/>
      <c r="AU24" s="51"/>
      <c r="AV24" s="51"/>
      <c r="AW24" s="51"/>
      <c r="AX24" s="52"/>
      <c r="AY24" s="50"/>
      <c r="AZ24" s="51"/>
      <c r="BA24" s="51"/>
      <c r="BB24" s="52"/>
      <c r="BC24" s="50"/>
      <c r="BD24" s="51"/>
      <c r="BE24" s="51"/>
      <c r="BF24" s="52"/>
      <c r="BG24" s="50"/>
      <c r="BH24" s="51"/>
      <c r="BI24" s="51"/>
      <c r="BJ24" s="51"/>
      <c r="BK24" s="52"/>
      <c r="BL24" s="13"/>
    </row>
    <row r="25" spans="1:64" s="9" customFormat="1" x14ac:dyDescent="0.2">
      <c r="A25" s="14" t="str">
        <f>data!A25</f>
        <v>PO1233</v>
      </c>
      <c r="B25" s="6" t="str">
        <f>data!C25</f>
        <v>BRUNT</v>
      </c>
      <c r="C25" s="24" t="str">
        <f>data!D25</f>
        <v xml:space="preserve"> Ohman Welted USA (Comp Toe)</v>
      </c>
      <c r="D25" s="15">
        <f>data!E25</f>
        <v>1800</v>
      </c>
      <c r="E25" s="40">
        <f>data!F25</f>
        <v>46166</v>
      </c>
      <c r="F25" s="40">
        <f>data!I25</f>
        <v>46204</v>
      </c>
      <c r="G25" s="50"/>
      <c r="H25" s="51"/>
      <c r="I25" s="51"/>
      <c r="J25" s="51"/>
      <c r="K25" s="52"/>
      <c r="L25" s="53"/>
      <c r="M25" s="51"/>
      <c r="N25" s="51"/>
      <c r="O25" s="52"/>
      <c r="P25" s="50"/>
      <c r="Q25" s="51"/>
      <c r="R25" s="51"/>
      <c r="S25" s="51"/>
      <c r="T25" s="50"/>
      <c r="U25" s="51"/>
      <c r="V25" s="51"/>
      <c r="W25" s="51"/>
      <c r="X25" s="50"/>
      <c r="Y25" s="51"/>
      <c r="Z25" s="51"/>
      <c r="AA25" s="51"/>
      <c r="AB25" s="74">
        <v>46166</v>
      </c>
      <c r="AC25" s="50"/>
      <c r="AD25" s="51"/>
      <c r="AE25" s="51"/>
      <c r="AF25" s="54"/>
      <c r="AG25" s="67">
        <v>46204</v>
      </c>
      <c r="AH25" s="51"/>
      <c r="AI25" s="51"/>
      <c r="AJ25" s="51"/>
      <c r="AK25" s="52"/>
      <c r="AL25" s="50"/>
      <c r="AM25" s="51"/>
      <c r="AN25" s="51"/>
      <c r="AO25" s="52"/>
      <c r="AP25" s="50"/>
      <c r="AQ25" s="51"/>
      <c r="AR25" s="51"/>
      <c r="AS25" s="52"/>
      <c r="AT25" s="50"/>
      <c r="AU25" s="51"/>
      <c r="AV25" s="51"/>
      <c r="AW25" s="51"/>
      <c r="AX25" s="52"/>
      <c r="AY25" s="50"/>
      <c r="AZ25" s="51"/>
      <c r="BA25" s="51"/>
      <c r="BB25" s="52"/>
      <c r="BC25" s="50"/>
      <c r="BD25" s="51"/>
      <c r="BE25" s="51"/>
      <c r="BF25" s="52"/>
      <c r="BG25" s="50"/>
      <c r="BH25" s="51"/>
      <c r="BI25" s="51"/>
      <c r="BJ25" s="51"/>
      <c r="BK25" s="52"/>
      <c r="BL25" s="13"/>
    </row>
    <row r="26" spans="1:64" s="9" customFormat="1" x14ac:dyDescent="0.2">
      <c r="A26" s="14" t="str">
        <f>data!A26</f>
        <v>4700635176</v>
      </c>
      <c r="B26" s="6" t="str">
        <f>data!C26</f>
        <v>Wolverine</v>
      </c>
      <c r="C26" s="24" t="str">
        <f>data!D26</f>
        <v>W260098
Waterproof</v>
      </c>
      <c r="D26" s="15">
        <f>data!E26</f>
        <v>1218</v>
      </c>
      <c r="E26" s="40">
        <f>data!F26</f>
        <v>46150</v>
      </c>
      <c r="F26" s="40">
        <f>data!I26</f>
        <v>46208</v>
      </c>
      <c r="G26" s="50"/>
      <c r="H26" s="51"/>
      <c r="I26" s="51"/>
      <c r="J26" s="51"/>
      <c r="K26" s="52"/>
      <c r="L26" s="53"/>
      <c r="M26" s="51"/>
      <c r="N26" s="51"/>
      <c r="O26" s="52"/>
      <c r="P26" s="50"/>
      <c r="Q26" s="51"/>
      <c r="R26" s="51"/>
      <c r="S26" s="51"/>
      <c r="T26" s="50"/>
      <c r="U26" s="51"/>
      <c r="V26" s="51"/>
      <c r="W26" s="51"/>
      <c r="X26" s="50"/>
      <c r="Y26" s="73">
        <v>46150</v>
      </c>
      <c r="Z26" s="51"/>
      <c r="AA26" s="51"/>
      <c r="AB26" s="52"/>
      <c r="AC26" s="50"/>
      <c r="AD26" s="51"/>
      <c r="AE26" s="51"/>
      <c r="AF26" s="54"/>
      <c r="AG26" s="50"/>
      <c r="AH26" s="66">
        <v>46208</v>
      </c>
      <c r="AI26" s="51"/>
      <c r="AJ26" s="51"/>
      <c r="AK26" s="52"/>
      <c r="AL26" s="50"/>
      <c r="AM26" s="51"/>
      <c r="AN26" s="51"/>
      <c r="AO26" s="52"/>
      <c r="AP26" s="50"/>
      <c r="AQ26" s="51"/>
      <c r="AR26" s="51"/>
      <c r="AS26" s="52"/>
      <c r="AT26" s="50"/>
      <c r="AU26" s="51"/>
      <c r="AV26" s="51"/>
      <c r="AW26" s="51"/>
      <c r="AX26" s="52"/>
      <c r="AY26" s="50"/>
      <c r="AZ26" s="51"/>
      <c r="BA26" s="51"/>
      <c r="BB26" s="52"/>
      <c r="BC26" s="50"/>
      <c r="BD26" s="51"/>
      <c r="BE26" s="51"/>
      <c r="BF26" s="52"/>
      <c r="BG26" s="50"/>
      <c r="BH26" s="51"/>
      <c r="BI26" s="51"/>
      <c r="BJ26" s="51"/>
      <c r="BK26" s="52"/>
      <c r="BL26" s="13"/>
    </row>
    <row r="27" spans="1:64" s="9" customFormat="1" x14ac:dyDescent="0.2">
      <c r="A27" s="14" t="str">
        <f>data!A27</f>
        <v>4700635176</v>
      </c>
      <c r="B27" s="6" t="str">
        <f>data!C27</f>
        <v>Wolverine</v>
      </c>
      <c r="C27" s="24" t="str">
        <f>data!D27</f>
        <v>W261123
Waterproof</v>
      </c>
      <c r="D27" s="15">
        <f>data!E27</f>
        <v>636</v>
      </c>
      <c r="E27" s="40">
        <f>data!F27</f>
        <v>46150</v>
      </c>
      <c r="F27" s="40">
        <f>data!I27</f>
        <v>46208</v>
      </c>
      <c r="G27" s="50"/>
      <c r="H27" s="51"/>
      <c r="I27" s="51"/>
      <c r="J27" s="51"/>
      <c r="K27" s="52"/>
      <c r="L27" s="53"/>
      <c r="M27" s="51"/>
      <c r="N27" s="51"/>
      <c r="O27" s="52"/>
      <c r="P27" s="50"/>
      <c r="Q27" s="51"/>
      <c r="R27" s="51"/>
      <c r="S27" s="51"/>
      <c r="T27" s="50"/>
      <c r="U27" s="51"/>
      <c r="V27" s="51"/>
      <c r="W27" s="51"/>
      <c r="X27" s="50"/>
      <c r="Y27" s="73">
        <v>46150</v>
      </c>
      <c r="Z27" s="51"/>
      <c r="AA27" s="51"/>
      <c r="AB27" s="52"/>
      <c r="AC27" s="50"/>
      <c r="AD27" s="51"/>
      <c r="AE27" s="51"/>
      <c r="AF27" s="54"/>
      <c r="AG27" s="50"/>
      <c r="AH27" s="66">
        <v>46208</v>
      </c>
      <c r="AI27" s="51"/>
      <c r="AJ27" s="51"/>
      <c r="AK27" s="52"/>
      <c r="AL27" s="50"/>
      <c r="AM27" s="51"/>
      <c r="AN27" s="51"/>
      <c r="AO27" s="52"/>
      <c r="AP27" s="50"/>
      <c r="AQ27" s="51"/>
      <c r="AR27" s="51"/>
      <c r="AS27" s="52"/>
      <c r="AT27" s="50"/>
      <c r="AU27" s="51"/>
      <c r="AV27" s="51"/>
      <c r="AW27" s="51"/>
      <c r="AX27" s="52"/>
      <c r="AY27" s="50"/>
      <c r="AZ27" s="51"/>
      <c r="BA27" s="51"/>
      <c r="BB27" s="52"/>
      <c r="BC27" s="50"/>
      <c r="BD27" s="51"/>
      <c r="BE27" s="51"/>
      <c r="BF27" s="52"/>
      <c r="BG27" s="50"/>
      <c r="BH27" s="51"/>
      <c r="BI27" s="51"/>
      <c r="BJ27" s="51"/>
      <c r="BK27" s="52"/>
      <c r="BL27" s="13"/>
    </row>
    <row r="28" spans="1:64" s="9" customFormat="1" x14ac:dyDescent="0.2">
      <c r="A28" s="14" t="str">
        <f>data!A28</f>
        <v>4700635198</v>
      </c>
      <c r="B28" s="6" t="str">
        <f>data!C28</f>
        <v>CAT</v>
      </c>
      <c r="C28" s="24" t="str">
        <f>data!D28</f>
        <v>P91875
Waterproof</v>
      </c>
      <c r="D28" s="15">
        <f>data!E28</f>
        <v>1800</v>
      </c>
      <c r="E28" s="40">
        <f>data!F28</f>
        <v>46150</v>
      </c>
      <c r="F28" s="40">
        <f>data!I28</f>
        <v>46208</v>
      </c>
      <c r="G28" s="50"/>
      <c r="H28" s="51"/>
      <c r="I28" s="51"/>
      <c r="J28" s="51"/>
      <c r="K28" s="52"/>
      <c r="L28" s="53"/>
      <c r="M28" s="51"/>
      <c r="N28" s="51"/>
      <c r="O28" s="52"/>
      <c r="P28" s="50"/>
      <c r="Q28" s="51"/>
      <c r="R28" s="51"/>
      <c r="S28" s="51"/>
      <c r="T28" s="50"/>
      <c r="U28" s="51"/>
      <c r="V28" s="51"/>
      <c r="W28" s="51"/>
      <c r="X28" s="50"/>
      <c r="Y28" s="73">
        <v>46150</v>
      </c>
      <c r="Z28" s="51"/>
      <c r="AA28" s="51"/>
      <c r="AB28" s="52"/>
      <c r="AC28" s="50"/>
      <c r="AD28" s="51"/>
      <c r="AE28" s="51"/>
      <c r="AF28" s="54"/>
      <c r="AG28" s="50"/>
      <c r="AH28" s="66">
        <v>46208</v>
      </c>
      <c r="AI28" s="51"/>
      <c r="AJ28" s="51"/>
      <c r="AK28" s="52"/>
      <c r="AL28" s="50"/>
      <c r="AM28" s="51"/>
      <c r="AN28" s="51"/>
      <c r="AO28" s="52"/>
      <c r="AP28" s="50"/>
      <c r="AQ28" s="51"/>
      <c r="AR28" s="51"/>
      <c r="AS28" s="52"/>
      <c r="AT28" s="50"/>
      <c r="AU28" s="51"/>
      <c r="AV28" s="51"/>
      <c r="AW28" s="51"/>
      <c r="AX28" s="52"/>
      <c r="AY28" s="50"/>
      <c r="AZ28" s="51"/>
      <c r="BA28" s="51"/>
      <c r="BB28" s="52"/>
      <c r="BC28" s="50"/>
      <c r="BD28" s="51"/>
      <c r="BE28" s="51"/>
      <c r="BF28" s="52"/>
      <c r="BG28" s="50"/>
      <c r="BH28" s="51"/>
      <c r="BI28" s="51"/>
      <c r="BJ28" s="51"/>
      <c r="BK28" s="52"/>
      <c r="BL28" s="13"/>
    </row>
    <row r="29" spans="1:64" s="9" customFormat="1" x14ac:dyDescent="0.2">
      <c r="A29" s="14" t="str">
        <f>data!A29</f>
        <v>4500233920</v>
      </c>
      <c r="B29" s="6" t="str">
        <f>data!C29</f>
        <v>Chippewa</v>
      </c>
      <c r="C29" s="24" t="str">
        <f>data!D29</f>
        <v>SL5405E</v>
      </c>
      <c r="D29" s="15">
        <f>data!E29</f>
        <v>2550</v>
      </c>
      <c r="E29" s="40">
        <f>data!F29</f>
        <v>46171</v>
      </c>
      <c r="F29" s="40">
        <f>data!I29</f>
        <v>46209</v>
      </c>
      <c r="G29" s="50"/>
      <c r="H29" s="51"/>
      <c r="I29" s="51"/>
      <c r="J29" s="51"/>
      <c r="K29" s="52"/>
      <c r="L29" s="53"/>
      <c r="M29" s="51"/>
      <c r="N29" s="51"/>
      <c r="O29" s="52"/>
      <c r="P29" s="50"/>
      <c r="Q29" s="51"/>
      <c r="R29" s="51"/>
      <c r="S29" s="51"/>
      <c r="T29" s="50"/>
      <c r="U29" s="51"/>
      <c r="V29" s="51"/>
      <c r="W29" s="51"/>
      <c r="X29" s="50"/>
      <c r="Y29" s="51"/>
      <c r="Z29" s="51"/>
      <c r="AA29" s="51"/>
      <c r="AB29" s="74">
        <v>46171</v>
      </c>
      <c r="AC29" s="50"/>
      <c r="AD29" s="51"/>
      <c r="AE29" s="51"/>
      <c r="AF29" s="54"/>
      <c r="AG29" s="50"/>
      <c r="AH29" s="66">
        <v>46209</v>
      </c>
      <c r="AI29" s="51"/>
      <c r="AJ29" s="51"/>
      <c r="AK29" s="52"/>
      <c r="AL29" s="50"/>
      <c r="AM29" s="51"/>
      <c r="AN29" s="51"/>
      <c r="AO29" s="52"/>
      <c r="AP29" s="50"/>
      <c r="AQ29" s="51"/>
      <c r="AR29" s="51"/>
      <c r="AS29" s="52"/>
      <c r="AT29" s="50"/>
      <c r="AU29" s="51"/>
      <c r="AV29" s="51"/>
      <c r="AW29" s="51"/>
      <c r="AX29" s="52"/>
      <c r="AY29" s="50"/>
      <c r="AZ29" s="51"/>
      <c r="BA29" s="51"/>
      <c r="BB29" s="52"/>
      <c r="BC29" s="50"/>
      <c r="BD29" s="51"/>
      <c r="BE29" s="51"/>
      <c r="BF29" s="52"/>
      <c r="BG29" s="50"/>
      <c r="BH29" s="51"/>
      <c r="BI29" s="51"/>
      <c r="BJ29" s="51"/>
      <c r="BK29" s="52"/>
      <c r="BL29" s="13"/>
    </row>
    <row r="30" spans="1:64" s="9" customFormat="1" x14ac:dyDescent="0.2">
      <c r="A30" s="14" t="str">
        <f>data!A30</f>
        <v>4500233921</v>
      </c>
      <c r="B30" s="6" t="str">
        <f>data!C30</f>
        <v>Chippewa</v>
      </c>
      <c r="C30" s="24" t="str">
        <f>data!D30</f>
        <v>SL5405EEE</v>
      </c>
      <c r="D30" s="15">
        <f>data!E30</f>
        <v>858</v>
      </c>
      <c r="E30" s="40">
        <f>data!F30</f>
        <v>46171</v>
      </c>
      <c r="F30" s="40">
        <f>data!I30</f>
        <v>46209</v>
      </c>
      <c r="G30" s="50"/>
      <c r="H30" s="51"/>
      <c r="I30" s="51"/>
      <c r="J30" s="51"/>
      <c r="K30" s="52"/>
      <c r="L30" s="53"/>
      <c r="M30" s="51"/>
      <c r="N30" s="51"/>
      <c r="O30" s="52"/>
      <c r="P30" s="50"/>
      <c r="Q30" s="51"/>
      <c r="R30" s="51"/>
      <c r="S30" s="51"/>
      <c r="T30" s="50"/>
      <c r="U30" s="51"/>
      <c r="V30" s="51"/>
      <c r="W30" s="51"/>
      <c r="X30" s="50"/>
      <c r="Y30" s="51"/>
      <c r="Z30" s="51"/>
      <c r="AA30" s="51"/>
      <c r="AB30" s="74">
        <v>46171</v>
      </c>
      <c r="AC30" s="50"/>
      <c r="AD30" s="51"/>
      <c r="AE30" s="51"/>
      <c r="AF30" s="54"/>
      <c r="AG30" s="50"/>
      <c r="AH30" s="66">
        <v>46209</v>
      </c>
      <c r="AI30" s="51"/>
      <c r="AJ30" s="51"/>
      <c r="AK30" s="52"/>
      <c r="AL30" s="50"/>
      <c r="AM30" s="51"/>
      <c r="AN30" s="51"/>
      <c r="AO30" s="52"/>
      <c r="AP30" s="50"/>
      <c r="AQ30" s="51"/>
      <c r="AR30" s="51"/>
      <c r="AS30" s="52"/>
      <c r="AT30" s="50"/>
      <c r="AU30" s="51"/>
      <c r="AV30" s="51"/>
      <c r="AW30" s="51"/>
      <c r="AX30" s="52"/>
      <c r="AY30" s="50"/>
      <c r="AZ30" s="51"/>
      <c r="BA30" s="51"/>
      <c r="BB30" s="52"/>
      <c r="BC30" s="50"/>
      <c r="BD30" s="51"/>
      <c r="BE30" s="51"/>
      <c r="BF30" s="52"/>
      <c r="BG30" s="50"/>
      <c r="BH30" s="51"/>
      <c r="BI30" s="51"/>
      <c r="BJ30" s="51"/>
      <c r="BK30" s="52"/>
      <c r="BL30" s="13"/>
    </row>
    <row r="31" spans="1:64" s="9" customFormat="1" x14ac:dyDescent="0.2">
      <c r="A31" s="14" t="str">
        <f>data!A31</f>
        <v>4500233922</v>
      </c>
      <c r="B31" s="6" t="str">
        <f>data!C31</f>
        <v>Chippewa</v>
      </c>
      <c r="C31" s="24" t="str">
        <f>data!D31</f>
        <v>SL5410E</v>
      </c>
      <c r="D31" s="15">
        <f>data!E31</f>
        <v>1008</v>
      </c>
      <c r="E31" s="40">
        <f>data!F31</f>
        <v>46171</v>
      </c>
      <c r="F31" s="40">
        <f>data!I31</f>
        <v>46209</v>
      </c>
      <c r="G31" s="50"/>
      <c r="H31" s="51"/>
      <c r="I31" s="51"/>
      <c r="J31" s="51"/>
      <c r="K31" s="52"/>
      <c r="L31" s="53"/>
      <c r="M31" s="51"/>
      <c r="N31" s="51"/>
      <c r="O31" s="52"/>
      <c r="P31" s="50"/>
      <c r="Q31" s="51"/>
      <c r="R31" s="51"/>
      <c r="S31" s="51"/>
      <c r="T31" s="50"/>
      <c r="U31" s="51"/>
      <c r="V31" s="51"/>
      <c r="W31" s="51"/>
      <c r="X31" s="50"/>
      <c r="Y31" s="51"/>
      <c r="Z31" s="51"/>
      <c r="AA31" s="51"/>
      <c r="AB31" s="74">
        <v>46171</v>
      </c>
      <c r="AC31" s="50"/>
      <c r="AD31" s="51"/>
      <c r="AE31" s="51"/>
      <c r="AF31" s="54"/>
      <c r="AG31" s="50"/>
      <c r="AH31" s="66">
        <v>46209</v>
      </c>
      <c r="AI31" s="51"/>
      <c r="AJ31" s="51"/>
      <c r="AK31" s="52"/>
      <c r="AL31" s="50"/>
      <c r="AM31" s="51"/>
      <c r="AN31" s="51"/>
      <c r="AO31" s="52"/>
      <c r="AP31" s="50"/>
      <c r="AQ31" s="51"/>
      <c r="AR31" s="51"/>
      <c r="AS31" s="52"/>
      <c r="AT31" s="50"/>
      <c r="AU31" s="51"/>
      <c r="AV31" s="51"/>
      <c r="AW31" s="51"/>
      <c r="AX31" s="52"/>
      <c r="AY31" s="50"/>
      <c r="AZ31" s="51"/>
      <c r="BA31" s="51"/>
      <c r="BB31" s="52"/>
      <c r="BC31" s="50"/>
      <c r="BD31" s="51"/>
      <c r="BE31" s="51"/>
      <c r="BF31" s="52"/>
      <c r="BG31" s="50"/>
      <c r="BH31" s="51"/>
      <c r="BI31" s="51"/>
      <c r="BJ31" s="51"/>
      <c r="BK31" s="52"/>
      <c r="BL31" s="13"/>
    </row>
    <row r="32" spans="1:64" s="9" customFormat="1" x14ac:dyDescent="0.2">
      <c r="A32" s="14" t="str">
        <f>data!A32</f>
        <v>4500233923</v>
      </c>
      <c r="B32" s="6" t="str">
        <f>data!C32</f>
        <v>Chippewa</v>
      </c>
      <c r="C32" s="24" t="str">
        <f>data!D32</f>
        <v>SL5410EEE</v>
      </c>
      <c r="D32" s="15">
        <f>data!E32</f>
        <v>684</v>
      </c>
      <c r="E32" s="40">
        <f>data!F32</f>
        <v>46171</v>
      </c>
      <c r="F32" s="40">
        <f>data!I32</f>
        <v>46209</v>
      </c>
      <c r="G32" s="50"/>
      <c r="H32" s="51"/>
      <c r="I32" s="51"/>
      <c r="J32" s="51"/>
      <c r="K32" s="52"/>
      <c r="L32" s="53"/>
      <c r="M32" s="51"/>
      <c r="N32" s="51"/>
      <c r="O32" s="52"/>
      <c r="P32" s="50"/>
      <c r="Q32" s="51"/>
      <c r="R32" s="51"/>
      <c r="S32" s="51"/>
      <c r="T32" s="50"/>
      <c r="U32" s="51"/>
      <c r="V32" s="51"/>
      <c r="W32" s="51"/>
      <c r="X32" s="50"/>
      <c r="Y32" s="51"/>
      <c r="Z32" s="51"/>
      <c r="AA32" s="51"/>
      <c r="AB32" s="74">
        <v>46171</v>
      </c>
      <c r="AC32" s="50"/>
      <c r="AD32" s="51"/>
      <c r="AE32" s="51"/>
      <c r="AF32" s="54"/>
      <c r="AG32" s="50"/>
      <c r="AH32" s="66">
        <v>46209</v>
      </c>
      <c r="AI32" s="51"/>
      <c r="AJ32" s="51"/>
      <c r="AK32" s="52"/>
      <c r="AL32" s="50"/>
      <c r="AM32" s="51"/>
      <c r="AN32" s="51"/>
      <c r="AO32" s="52"/>
      <c r="AP32" s="50"/>
      <c r="AQ32" s="51"/>
      <c r="AR32" s="51"/>
      <c r="AS32" s="52"/>
      <c r="AT32" s="50"/>
      <c r="AU32" s="51"/>
      <c r="AV32" s="51"/>
      <c r="AW32" s="51"/>
      <c r="AX32" s="52"/>
      <c r="AY32" s="50"/>
      <c r="AZ32" s="51"/>
      <c r="BA32" s="51"/>
      <c r="BB32" s="52"/>
      <c r="BC32" s="50"/>
      <c r="BD32" s="51"/>
      <c r="BE32" s="51"/>
      <c r="BF32" s="52"/>
      <c r="BG32" s="50"/>
      <c r="BH32" s="51"/>
      <c r="BI32" s="51"/>
      <c r="BJ32" s="51"/>
      <c r="BK32" s="52"/>
      <c r="BL32" s="13"/>
    </row>
    <row r="33" spans="1:64" s="9" customFormat="1" x14ac:dyDescent="0.2">
      <c r="A33" s="14" t="str">
        <f>data!A33</f>
        <v>PO1229</v>
      </c>
      <c r="B33" s="6" t="str">
        <f>data!C33</f>
        <v>BRUNT</v>
      </c>
      <c r="C33" s="24" t="str">
        <f>data!D33</f>
        <v>Marin Welted USA (Soft Toe)
Waterproof</v>
      </c>
      <c r="D33" s="15">
        <f>data!E33</f>
        <v>600</v>
      </c>
      <c r="E33" s="40">
        <f>data!F33</f>
        <v>46172</v>
      </c>
      <c r="F33" s="40">
        <f>data!I33</f>
        <v>46210</v>
      </c>
      <c r="G33" s="50"/>
      <c r="H33" s="51"/>
      <c r="I33" s="51"/>
      <c r="J33" s="51"/>
      <c r="K33" s="52"/>
      <c r="L33" s="53"/>
      <c r="M33" s="51"/>
      <c r="N33" s="51"/>
      <c r="O33" s="52"/>
      <c r="P33" s="50"/>
      <c r="Q33" s="51"/>
      <c r="R33" s="51"/>
      <c r="S33" s="51"/>
      <c r="T33" s="50"/>
      <c r="U33" s="51"/>
      <c r="V33" s="51"/>
      <c r="W33" s="51"/>
      <c r="X33" s="50"/>
      <c r="Y33" s="51"/>
      <c r="Z33" s="51"/>
      <c r="AA33" s="51"/>
      <c r="AB33" s="52"/>
      <c r="AC33" s="72">
        <v>46172</v>
      </c>
      <c r="AD33" s="51"/>
      <c r="AE33" s="51"/>
      <c r="AF33" s="54"/>
      <c r="AG33" s="50"/>
      <c r="AH33" s="66">
        <v>46210</v>
      </c>
      <c r="AI33" s="51"/>
      <c r="AJ33" s="51"/>
      <c r="AK33" s="52"/>
      <c r="AL33" s="50"/>
      <c r="AM33" s="51"/>
      <c r="AN33" s="51"/>
      <c r="AO33" s="52"/>
      <c r="AP33" s="50"/>
      <c r="AQ33" s="51"/>
      <c r="AR33" s="51"/>
      <c r="AS33" s="52"/>
      <c r="AT33" s="50"/>
      <c r="AU33" s="51"/>
      <c r="AV33" s="51"/>
      <c r="AW33" s="51"/>
      <c r="AX33" s="52"/>
      <c r="AY33" s="50"/>
      <c r="AZ33" s="51"/>
      <c r="BA33" s="51"/>
      <c r="BB33" s="52"/>
      <c r="BC33" s="50"/>
      <c r="BD33" s="51"/>
      <c r="BE33" s="51"/>
      <c r="BF33" s="52"/>
      <c r="BG33" s="50"/>
      <c r="BH33" s="51"/>
      <c r="BI33" s="51"/>
      <c r="BJ33" s="51"/>
      <c r="BK33" s="52"/>
      <c r="BL33" s="13"/>
    </row>
    <row r="34" spans="1:64" s="9" customFormat="1" x14ac:dyDescent="0.2">
      <c r="A34" s="14" t="str">
        <f>data!A34</f>
        <v>PO1229</v>
      </c>
      <c r="B34" s="6" t="str">
        <f>data!C34</f>
        <v>BRUNT</v>
      </c>
      <c r="C34" s="24" t="str">
        <f>data!D34</f>
        <v>Marin Unlined Welted USA (Comp Toe)
Dark BRN</v>
      </c>
      <c r="D34" s="15">
        <f>data!E34</f>
        <v>600</v>
      </c>
      <c r="E34" s="40">
        <f>data!F34</f>
        <v>46172</v>
      </c>
      <c r="F34" s="40">
        <f>data!I34</f>
        <v>46210</v>
      </c>
      <c r="G34" s="50"/>
      <c r="H34" s="51"/>
      <c r="I34" s="51"/>
      <c r="J34" s="51"/>
      <c r="K34" s="52"/>
      <c r="L34" s="53"/>
      <c r="M34" s="51"/>
      <c r="N34" s="51"/>
      <c r="O34" s="52"/>
      <c r="P34" s="50"/>
      <c r="Q34" s="51"/>
      <c r="R34" s="51"/>
      <c r="S34" s="51"/>
      <c r="T34" s="50"/>
      <c r="U34" s="51"/>
      <c r="V34" s="51"/>
      <c r="W34" s="51"/>
      <c r="X34" s="50"/>
      <c r="Y34" s="51"/>
      <c r="Z34" s="51"/>
      <c r="AA34" s="51"/>
      <c r="AB34" s="52"/>
      <c r="AC34" s="72">
        <v>46172</v>
      </c>
      <c r="AD34" s="51"/>
      <c r="AE34" s="51"/>
      <c r="AF34" s="54"/>
      <c r="AG34" s="50"/>
      <c r="AH34" s="66">
        <v>46210</v>
      </c>
      <c r="AI34" s="51"/>
      <c r="AJ34" s="51"/>
      <c r="AK34" s="52"/>
      <c r="AL34" s="50"/>
      <c r="AM34" s="51"/>
      <c r="AN34" s="51"/>
      <c r="AO34" s="52"/>
      <c r="AP34" s="50"/>
      <c r="AQ34" s="51"/>
      <c r="AR34" s="51"/>
      <c r="AS34" s="52"/>
      <c r="AT34" s="50"/>
      <c r="AU34" s="51"/>
      <c r="AV34" s="51"/>
      <c r="AW34" s="51"/>
      <c r="AX34" s="52"/>
      <c r="AY34" s="50"/>
      <c r="AZ34" s="51"/>
      <c r="BA34" s="51"/>
      <c r="BB34" s="52"/>
      <c r="BC34" s="50"/>
      <c r="BD34" s="51"/>
      <c r="BE34" s="51"/>
      <c r="BF34" s="52"/>
      <c r="BG34" s="50"/>
      <c r="BH34" s="51"/>
      <c r="BI34" s="51"/>
      <c r="BJ34" s="51"/>
      <c r="BK34" s="52"/>
      <c r="BL34" s="13"/>
    </row>
    <row r="35" spans="1:64" s="9" customFormat="1" x14ac:dyDescent="0.2">
      <c r="A35" s="14" t="str">
        <f>data!A35</f>
        <v>PO1230</v>
      </c>
      <c r="B35" s="6" t="str">
        <f>data!C35</f>
        <v>BRUNT</v>
      </c>
      <c r="C35" s="24" t="str">
        <f>data!D35</f>
        <v>Marin Welted USA 8"(Comp Toe)  
Waterproof</v>
      </c>
      <c r="D35" s="15">
        <f>data!E35</f>
        <v>600</v>
      </c>
      <c r="E35" s="40">
        <f>data!F35</f>
        <v>46172</v>
      </c>
      <c r="F35" s="40">
        <f>data!I35</f>
        <v>46210</v>
      </c>
      <c r="G35" s="50"/>
      <c r="H35" s="51"/>
      <c r="I35" s="51"/>
      <c r="J35" s="51"/>
      <c r="K35" s="52"/>
      <c r="L35" s="53"/>
      <c r="M35" s="51"/>
      <c r="N35" s="51"/>
      <c r="O35" s="52"/>
      <c r="P35" s="50"/>
      <c r="Q35" s="51"/>
      <c r="R35" s="51"/>
      <c r="S35" s="51"/>
      <c r="T35" s="50"/>
      <c r="U35" s="51"/>
      <c r="V35" s="51"/>
      <c r="W35" s="51"/>
      <c r="X35" s="50"/>
      <c r="Y35" s="51"/>
      <c r="Z35" s="51"/>
      <c r="AA35" s="51"/>
      <c r="AB35" s="52"/>
      <c r="AC35" s="72">
        <v>46172</v>
      </c>
      <c r="AD35" s="51"/>
      <c r="AE35" s="51"/>
      <c r="AF35" s="54"/>
      <c r="AG35" s="50"/>
      <c r="AH35" s="66">
        <v>46210</v>
      </c>
      <c r="AI35" s="51"/>
      <c r="AJ35" s="51"/>
      <c r="AK35" s="52"/>
      <c r="AL35" s="50"/>
      <c r="AM35" s="51"/>
      <c r="AN35" s="51"/>
      <c r="AO35" s="52"/>
      <c r="AP35" s="50"/>
      <c r="AQ35" s="51"/>
      <c r="AR35" s="51"/>
      <c r="AS35" s="52"/>
      <c r="AT35" s="50"/>
      <c r="AU35" s="51"/>
      <c r="AV35" s="51"/>
      <c r="AW35" s="51"/>
      <c r="AX35" s="52"/>
      <c r="AY35" s="50"/>
      <c r="AZ35" s="51"/>
      <c r="BA35" s="51"/>
      <c r="BB35" s="52"/>
      <c r="BC35" s="50"/>
      <c r="BD35" s="51"/>
      <c r="BE35" s="51"/>
      <c r="BF35" s="52"/>
      <c r="BG35" s="50"/>
      <c r="BH35" s="51"/>
      <c r="BI35" s="51"/>
      <c r="BJ35" s="51"/>
      <c r="BK35" s="52"/>
      <c r="BL35" s="13"/>
    </row>
    <row r="36" spans="1:64" s="9" customFormat="1" x14ac:dyDescent="0.2">
      <c r="A36" s="14" t="str">
        <f>data!A36</f>
        <v>PO1231</v>
      </c>
      <c r="B36" s="6" t="str">
        <f>data!C36</f>
        <v>BRUNT</v>
      </c>
      <c r="C36" s="24" t="str">
        <f>data!D36</f>
        <v xml:space="preserve">Marin Unlined Welted USA (Soft Toe)
 </v>
      </c>
      <c r="D36" s="15">
        <f>data!E36</f>
        <v>600</v>
      </c>
      <c r="E36" s="40">
        <f>data!F36</f>
        <v>46172</v>
      </c>
      <c r="F36" s="40">
        <f>data!I36</f>
        <v>46210</v>
      </c>
      <c r="G36" s="50"/>
      <c r="H36" s="51"/>
      <c r="I36" s="51"/>
      <c r="J36" s="51"/>
      <c r="K36" s="52"/>
      <c r="L36" s="53"/>
      <c r="M36" s="51"/>
      <c r="N36" s="51"/>
      <c r="O36" s="52"/>
      <c r="P36" s="50"/>
      <c r="Q36" s="51"/>
      <c r="R36" s="51"/>
      <c r="S36" s="51"/>
      <c r="T36" s="50"/>
      <c r="U36" s="51"/>
      <c r="V36" s="51"/>
      <c r="W36" s="51"/>
      <c r="X36" s="50"/>
      <c r="Y36" s="51"/>
      <c r="Z36" s="51"/>
      <c r="AA36" s="51"/>
      <c r="AB36" s="52"/>
      <c r="AC36" s="72">
        <v>46172</v>
      </c>
      <c r="AD36" s="51"/>
      <c r="AE36" s="51"/>
      <c r="AF36" s="54"/>
      <c r="AG36" s="50"/>
      <c r="AH36" s="66">
        <v>46210</v>
      </c>
      <c r="AI36" s="51"/>
      <c r="AJ36" s="51"/>
      <c r="AK36" s="52"/>
      <c r="AL36" s="50"/>
      <c r="AM36" s="51"/>
      <c r="AN36" s="51"/>
      <c r="AO36" s="52"/>
      <c r="AP36" s="50"/>
      <c r="AQ36" s="51"/>
      <c r="AR36" s="51"/>
      <c r="AS36" s="52"/>
      <c r="AT36" s="50"/>
      <c r="AU36" s="51"/>
      <c r="AV36" s="51"/>
      <c r="AW36" s="51"/>
      <c r="AX36" s="52"/>
      <c r="AY36" s="50"/>
      <c r="AZ36" s="51"/>
      <c r="BA36" s="51"/>
      <c r="BB36" s="52"/>
      <c r="BC36" s="50"/>
      <c r="BD36" s="51"/>
      <c r="BE36" s="51"/>
      <c r="BF36" s="52"/>
      <c r="BG36" s="50"/>
      <c r="BH36" s="51"/>
      <c r="BI36" s="51"/>
      <c r="BJ36" s="51"/>
      <c r="BK36" s="52"/>
      <c r="BL36" s="13"/>
    </row>
    <row r="37" spans="1:64" s="9" customFormat="1" x14ac:dyDescent="0.2">
      <c r="A37" s="14" t="str">
        <f>data!A37</f>
        <v>PO1231</v>
      </c>
      <c r="B37" s="6" t="str">
        <f>data!C37</f>
        <v>BRUNT</v>
      </c>
      <c r="C37" s="24" t="str">
        <f>data!D37</f>
        <v xml:space="preserve">Marin Unlined Welted USA (Comp Toe)
 </v>
      </c>
      <c r="D37" s="15">
        <f>data!E37</f>
        <v>600</v>
      </c>
      <c r="E37" s="40">
        <f>data!F37</f>
        <v>46172</v>
      </c>
      <c r="F37" s="40">
        <f>data!I37</f>
        <v>46210</v>
      </c>
      <c r="G37" s="50"/>
      <c r="H37" s="51"/>
      <c r="I37" s="51"/>
      <c r="J37" s="51"/>
      <c r="K37" s="52"/>
      <c r="L37" s="53"/>
      <c r="M37" s="51"/>
      <c r="N37" s="51"/>
      <c r="O37" s="52"/>
      <c r="P37" s="50"/>
      <c r="Q37" s="51"/>
      <c r="R37" s="51"/>
      <c r="S37" s="51"/>
      <c r="T37" s="50"/>
      <c r="U37" s="51"/>
      <c r="V37" s="51"/>
      <c r="W37" s="51"/>
      <c r="X37" s="50"/>
      <c r="Y37" s="51"/>
      <c r="Z37" s="51"/>
      <c r="AA37" s="51"/>
      <c r="AB37" s="52"/>
      <c r="AC37" s="72">
        <v>46172</v>
      </c>
      <c r="AD37" s="51"/>
      <c r="AE37" s="51"/>
      <c r="AF37" s="54"/>
      <c r="AG37" s="50"/>
      <c r="AH37" s="66">
        <v>46210</v>
      </c>
      <c r="AI37" s="51"/>
      <c r="AJ37" s="51"/>
      <c r="AK37" s="52"/>
      <c r="AL37" s="50"/>
      <c r="AM37" s="51"/>
      <c r="AN37" s="51"/>
      <c r="AO37" s="52"/>
      <c r="AP37" s="50"/>
      <c r="AQ37" s="51"/>
      <c r="AR37" s="51"/>
      <c r="AS37" s="52"/>
      <c r="AT37" s="50"/>
      <c r="AU37" s="51"/>
      <c r="AV37" s="51"/>
      <c r="AW37" s="51"/>
      <c r="AX37" s="52"/>
      <c r="AY37" s="50"/>
      <c r="AZ37" s="51"/>
      <c r="BA37" s="51"/>
      <c r="BB37" s="52"/>
      <c r="BC37" s="50"/>
      <c r="BD37" s="51"/>
      <c r="BE37" s="51"/>
      <c r="BF37" s="52"/>
      <c r="BG37" s="50"/>
      <c r="BH37" s="51"/>
      <c r="BI37" s="51"/>
      <c r="BJ37" s="51"/>
      <c r="BK37" s="52"/>
      <c r="BL37" s="13"/>
    </row>
    <row r="38" spans="1:64" s="9" customFormat="1" x14ac:dyDescent="0.2">
      <c r="A38" s="14" t="str">
        <f>data!A38</f>
        <v>4700641372</v>
      </c>
      <c r="B38" s="6" t="str">
        <f>data!C38</f>
        <v>Wolverine</v>
      </c>
      <c r="C38" s="24" t="str">
        <f>data!D38</f>
        <v>W261123
Waterproof</v>
      </c>
      <c r="D38" s="15">
        <f>data!E38</f>
        <v>2202</v>
      </c>
      <c r="E38" s="40">
        <f>data!F38</f>
        <v>46157</v>
      </c>
      <c r="F38" s="40">
        <f>data!I38</f>
        <v>46215</v>
      </c>
      <c r="G38" s="50"/>
      <c r="H38" s="51"/>
      <c r="I38" s="51"/>
      <c r="J38" s="51"/>
      <c r="K38" s="52"/>
      <c r="L38" s="53"/>
      <c r="M38" s="51"/>
      <c r="N38" s="51"/>
      <c r="O38" s="52"/>
      <c r="P38" s="50"/>
      <c r="Q38" s="51"/>
      <c r="R38" s="51"/>
      <c r="S38" s="51"/>
      <c r="T38" s="50"/>
      <c r="U38" s="51"/>
      <c r="V38" s="51"/>
      <c r="W38" s="51"/>
      <c r="X38" s="50"/>
      <c r="Y38" s="51"/>
      <c r="Z38" s="73">
        <v>46157</v>
      </c>
      <c r="AA38" s="51"/>
      <c r="AB38" s="52"/>
      <c r="AC38" s="50"/>
      <c r="AD38" s="51"/>
      <c r="AE38" s="51"/>
      <c r="AF38" s="54"/>
      <c r="AG38" s="50"/>
      <c r="AH38" s="51"/>
      <c r="AI38" s="66">
        <v>46215</v>
      </c>
      <c r="AJ38" s="51"/>
      <c r="AK38" s="52"/>
      <c r="AL38" s="50"/>
      <c r="AM38" s="51"/>
      <c r="AN38" s="51"/>
      <c r="AO38" s="52"/>
      <c r="AP38" s="50"/>
      <c r="AQ38" s="51"/>
      <c r="AR38" s="51"/>
      <c r="AS38" s="52"/>
      <c r="AT38" s="50"/>
      <c r="AU38" s="51"/>
      <c r="AV38" s="51"/>
      <c r="AW38" s="51"/>
      <c r="AX38" s="52"/>
      <c r="AY38" s="50"/>
      <c r="AZ38" s="51"/>
      <c r="BA38" s="51"/>
      <c r="BB38" s="52"/>
      <c r="BC38" s="50"/>
      <c r="BD38" s="51"/>
      <c r="BE38" s="51"/>
      <c r="BF38" s="52"/>
      <c r="BG38" s="50"/>
      <c r="BH38" s="51"/>
      <c r="BI38" s="51"/>
      <c r="BJ38" s="51"/>
      <c r="BK38" s="52"/>
      <c r="BL38" s="13"/>
    </row>
    <row r="39" spans="1:64" s="9" customFormat="1" x14ac:dyDescent="0.2">
      <c r="A39" s="14" t="str">
        <f>data!A39</f>
        <v>340057-00</v>
      </c>
      <c r="B39" s="6" t="str">
        <f>data!C39</f>
        <v>Fire-Dex</v>
      </c>
      <c r="C39" s="24" t="str">
        <f>data!D39</f>
        <v>FDXL200
Waterproof</v>
      </c>
      <c r="D39" s="15">
        <f>data!E39</f>
        <v>1560</v>
      </c>
      <c r="E39" s="40">
        <f>data!F39</f>
        <v>46188</v>
      </c>
      <c r="F39" s="40">
        <f>data!I39</f>
        <v>46226</v>
      </c>
      <c r="G39" s="50"/>
      <c r="H39" s="51"/>
      <c r="I39" s="51"/>
      <c r="J39" s="51"/>
      <c r="K39" s="52"/>
      <c r="L39" s="53"/>
      <c r="M39" s="51"/>
      <c r="N39" s="51"/>
      <c r="O39" s="52"/>
      <c r="P39" s="50"/>
      <c r="Q39" s="51"/>
      <c r="R39" s="51"/>
      <c r="S39" s="51"/>
      <c r="T39" s="50"/>
      <c r="U39" s="51"/>
      <c r="V39" s="51"/>
      <c r="W39" s="51"/>
      <c r="X39" s="50"/>
      <c r="Y39" s="51"/>
      <c r="Z39" s="51"/>
      <c r="AA39" s="51"/>
      <c r="AB39" s="52"/>
      <c r="AC39" s="50"/>
      <c r="AD39" s="51"/>
      <c r="AE39" s="73">
        <v>46188</v>
      </c>
      <c r="AF39" s="54"/>
      <c r="AG39" s="50"/>
      <c r="AH39" s="51"/>
      <c r="AI39" s="51"/>
      <c r="AJ39" s="66">
        <v>46226</v>
      </c>
      <c r="AK39" s="52"/>
      <c r="AL39" s="50"/>
      <c r="AM39" s="51"/>
      <c r="AN39" s="51"/>
      <c r="AO39" s="52"/>
      <c r="AP39" s="50"/>
      <c r="AQ39" s="51"/>
      <c r="AR39" s="51"/>
      <c r="AS39" s="52"/>
      <c r="AT39" s="50"/>
      <c r="AU39" s="51"/>
      <c r="AV39" s="51"/>
      <c r="AW39" s="51"/>
      <c r="AX39" s="52"/>
      <c r="AY39" s="50"/>
      <c r="AZ39" s="51"/>
      <c r="BA39" s="51"/>
      <c r="BB39" s="52"/>
      <c r="BC39" s="50"/>
      <c r="BD39" s="51"/>
      <c r="BE39" s="51"/>
      <c r="BF39" s="52"/>
      <c r="BG39" s="50"/>
      <c r="BH39" s="51"/>
      <c r="BI39" s="51"/>
      <c r="BJ39" s="51"/>
      <c r="BK39" s="52"/>
      <c r="BL39" s="13"/>
    </row>
    <row r="40" spans="1:64" s="9" customFormat="1" x14ac:dyDescent="0.2">
      <c r="A40" s="14" t="str">
        <f>data!A40</f>
        <v>340244-00</v>
      </c>
      <c r="B40" s="6" t="str">
        <f>data!C40</f>
        <v>Fire-Dex</v>
      </c>
      <c r="C40" s="24" t="str">
        <f>data!D40</f>
        <v>FDXL90 
Waterproof</v>
      </c>
      <c r="D40" s="15">
        <f>data!E40</f>
        <v>564</v>
      </c>
      <c r="E40" s="40">
        <f>data!F40</f>
        <v>46193</v>
      </c>
      <c r="F40" s="40">
        <f>data!I40</f>
        <v>46231</v>
      </c>
      <c r="G40" s="50"/>
      <c r="H40" s="51"/>
      <c r="I40" s="51"/>
      <c r="J40" s="51"/>
      <c r="K40" s="52"/>
      <c r="L40" s="53"/>
      <c r="M40" s="51"/>
      <c r="N40" s="51"/>
      <c r="O40" s="52"/>
      <c r="P40" s="50"/>
      <c r="Q40" s="51"/>
      <c r="R40" s="51"/>
      <c r="S40" s="51"/>
      <c r="T40" s="50"/>
      <c r="U40" s="51"/>
      <c r="V40" s="51"/>
      <c r="W40" s="51"/>
      <c r="X40" s="50"/>
      <c r="Y40" s="51"/>
      <c r="Z40" s="51"/>
      <c r="AA40" s="51"/>
      <c r="AB40" s="52"/>
      <c r="AC40" s="50"/>
      <c r="AD40" s="51"/>
      <c r="AE40" s="51"/>
      <c r="AF40" s="75">
        <v>46193</v>
      </c>
      <c r="AG40" s="50"/>
      <c r="AH40" s="51"/>
      <c r="AI40" s="51"/>
      <c r="AJ40" s="51"/>
      <c r="AK40" s="68">
        <v>46231</v>
      </c>
      <c r="AL40" s="50"/>
      <c r="AM40" s="51"/>
      <c r="AN40" s="51"/>
      <c r="AO40" s="52"/>
      <c r="AP40" s="50"/>
      <c r="AQ40" s="51"/>
      <c r="AR40" s="51"/>
      <c r="AS40" s="52"/>
      <c r="AT40" s="50"/>
      <c r="AU40" s="51"/>
      <c r="AV40" s="51"/>
      <c r="AW40" s="51"/>
      <c r="AX40" s="52"/>
      <c r="AY40" s="50"/>
      <c r="AZ40" s="51"/>
      <c r="BA40" s="51"/>
      <c r="BB40" s="52"/>
      <c r="BC40" s="50"/>
      <c r="BD40" s="51"/>
      <c r="BE40" s="51"/>
      <c r="BF40" s="52"/>
      <c r="BG40" s="50"/>
      <c r="BH40" s="51"/>
      <c r="BI40" s="51"/>
      <c r="BJ40" s="51"/>
      <c r="BK40" s="52"/>
      <c r="BL40" s="13"/>
    </row>
    <row r="41" spans="1:64" s="9" customFormat="1" x14ac:dyDescent="0.2">
      <c r="A41" s="14" t="str">
        <f>data!A41</f>
        <v>340420-00</v>
      </c>
      <c r="B41" s="6" t="str">
        <f>data!C41</f>
        <v>Fire-Dex</v>
      </c>
      <c r="C41" s="24" t="str">
        <f>data!D41</f>
        <v>FDXL90 
Waterproof</v>
      </c>
      <c r="D41" s="15">
        <f>data!E41</f>
        <v>474</v>
      </c>
      <c r="E41" s="40">
        <f>data!F41</f>
        <v>46193</v>
      </c>
      <c r="F41" s="40">
        <f>data!I41</f>
        <v>46231</v>
      </c>
      <c r="G41" s="50"/>
      <c r="H41" s="51"/>
      <c r="I41" s="51"/>
      <c r="J41" s="51"/>
      <c r="K41" s="52"/>
      <c r="L41" s="53"/>
      <c r="M41" s="51"/>
      <c r="N41" s="51"/>
      <c r="O41" s="52"/>
      <c r="P41" s="50"/>
      <c r="Q41" s="51"/>
      <c r="R41" s="51"/>
      <c r="S41" s="51"/>
      <c r="T41" s="50"/>
      <c r="U41" s="51"/>
      <c r="V41" s="51"/>
      <c r="W41" s="51"/>
      <c r="X41" s="50"/>
      <c r="Y41" s="51"/>
      <c r="Z41" s="51"/>
      <c r="AA41" s="51"/>
      <c r="AB41" s="52"/>
      <c r="AC41" s="50"/>
      <c r="AD41" s="51"/>
      <c r="AE41" s="51"/>
      <c r="AF41" s="75">
        <v>46193</v>
      </c>
      <c r="AG41" s="50"/>
      <c r="AH41" s="51"/>
      <c r="AI41" s="51"/>
      <c r="AJ41" s="51"/>
      <c r="AK41" s="68">
        <v>46231</v>
      </c>
      <c r="AL41" s="50"/>
      <c r="AM41" s="51"/>
      <c r="AN41" s="51"/>
      <c r="AO41" s="52"/>
      <c r="AP41" s="50"/>
      <c r="AQ41" s="51"/>
      <c r="AR41" s="51"/>
      <c r="AS41" s="52"/>
      <c r="AT41" s="50"/>
      <c r="AU41" s="51"/>
      <c r="AV41" s="51"/>
      <c r="AW41" s="51"/>
      <c r="AX41" s="52"/>
      <c r="AY41" s="50"/>
      <c r="AZ41" s="51"/>
      <c r="BA41" s="51"/>
      <c r="BB41" s="52"/>
      <c r="BC41" s="50"/>
      <c r="BD41" s="51"/>
      <c r="BE41" s="51"/>
      <c r="BF41" s="52"/>
      <c r="BG41" s="50"/>
      <c r="BH41" s="51"/>
      <c r="BI41" s="51"/>
      <c r="BJ41" s="51"/>
      <c r="BK41" s="52"/>
      <c r="BL41" s="13"/>
    </row>
    <row r="42" spans="1:64" s="9" customFormat="1" x14ac:dyDescent="0.2">
      <c r="A42" s="14" t="str">
        <f>data!A42</f>
        <v>340386-00</v>
      </c>
      <c r="B42" s="6" t="str">
        <f>data!C42</f>
        <v>Fire-Dex</v>
      </c>
      <c r="C42" s="24" t="str">
        <f>data!D42</f>
        <v>FDXL200
Waterproof</v>
      </c>
      <c r="D42" s="15">
        <f>data!E42</f>
        <v>1548</v>
      </c>
      <c r="E42" s="40">
        <f>data!F42</f>
        <v>46198</v>
      </c>
      <c r="F42" s="40">
        <f>data!I42</f>
        <v>46236</v>
      </c>
      <c r="G42" s="50"/>
      <c r="H42" s="51"/>
      <c r="I42" s="51"/>
      <c r="J42" s="51"/>
      <c r="K42" s="52"/>
      <c r="L42" s="53"/>
      <c r="M42" s="51"/>
      <c r="N42" s="51"/>
      <c r="O42" s="52"/>
      <c r="P42" s="50"/>
      <c r="Q42" s="51"/>
      <c r="R42" s="51"/>
      <c r="S42" s="51"/>
      <c r="T42" s="50"/>
      <c r="U42" s="51"/>
      <c r="V42" s="51"/>
      <c r="W42" s="51"/>
      <c r="X42" s="50"/>
      <c r="Y42" s="51"/>
      <c r="Z42" s="51"/>
      <c r="AA42" s="51"/>
      <c r="AB42" s="52"/>
      <c r="AC42" s="50"/>
      <c r="AD42" s="51"/>
      <c r="AE42" s="51"/>
      <c r="AF42" s="75">
        <v>46198</v>
      </c>
      <c r="AG42" s="50"/>
      <c r="AH42" s="51"/>
      <c r="AI42" s="51"/>
      <c r="AJ42" s="51"/>
      <c r="AK42" s="52"/>
      <c r="AL42" s="67">
        <v>46236</v>
      </c>
      <c r="AM42" s="51"/>
      <c r="AN42" s="51"/>
      <c r="AO42" s="52"/>
      <c r="AP42" s="50"/>
      <c r="AQ42" s="51"/>
      <c r="AR42" s="51"/>
      <c r="AS42" s="52"/>
      <c r="AT42" s="50"/>
      <c r="AU42" s="51"/>
      <c r="AV42" s="51"/>
      <c r="AW42" s="51"/>
      <c r="AX42" s="52"/>
      <c r="AY42" s="50"/>
      <c r="AZ42" s="51"/>
      <c r="BA42" s="51"/>
      <c r="BB42" s="52"/>
      <c r="BC42" s="50"/>
      <c r="BD42" s="51"/>
      <c r="BE42" s="51"/>
      <c r="BF42" s="52"/>
      <c r="BG42" s="50"/>
      <c r="BH42" s="51"/>
      <c r="BI42" s="51"/>
      <c r="BJ42" s="51"/>
      <c r="BK42" s="52"/>
      <c r="BL42" s="13"/>
    </row>
    <row r="43" spans="1:64" s="9" customFormat="1" x14ac:dyDescent="0.2">
      <c r="A43" s="14" t="str">
        <f>data!A43</f>
        <v>PO1333</v>
      </c>
      <c r="B43" s="6" t="str">
        <f>data!C43</f>
        <v>BRUNT</v>
      </c>
      <c r="C43" s="24" t="str">
        <f>data!D43</f>
        <v>Marin Unlined Welted USA (Comp Toe)
Dark BRN</v>
      </c>
      <c r="D43" s="15">
        <f>data!E43</f>
        <v>996</v>
      </c>
      <c r="E43" s="40">
        <f>data!F43</f>
        <v>46203</v>
      </c>
      <c r="F43" s="40">
        <f>data!I43</f>
        <v>46241</v>
      </c>
      <c r="G43" s="50"/>
      <c r="H43" s="51"/>
      <c r="I43" s="51"/>
      <c r="J43" s="51"/>
      <c r="K43" s="52"/>
      <c r="L43" s="53"/>
      <c r="M43" s="51"/>
      <c r="N43" s="51"/>
      <c r="O43" s="52"/>
      <c r="P43" s="50"/>
      <c r="Q43" s="51"/>
      <c r="R43" s="51"/>
      <c r="S43" s="51"/>
      <c r="T43" s="50"/>
      <c r="U43" s="51"/>
      <c r="V43" s="51"/>
      <c r="W43" s="51"/>
      <c r="X43" s="50"/>
      <c r="Y43" s="51"/>
      <c r="Z43" s="51"/>
      <c r="AA43" s="51"/>
      <c r="AB43" s="52"/>
      <c r="AC43" s="50"/>
      <c r="AD43" s="51"/>
      <c r="AE43" s="51"/>
      <c r="AF43" s="54"/>
      <c r="AG43" s="72">
        <v>46203</v>
      </c>
      <c r="AH43" s="51"/>
      <c r="AI43" s="51"/>
      <c r="AJ43" s="51"/>
      <c r="AK43" s="52"/>
      <c r="AL43" s="67">
        <v>46241</v>
      </c>
      <c r="AM43" s="51"/>
      <c r="AN43" s="51"/>
      <c r="AO43" s="52"/>
      <c r="AP43" s="50"/>
      <c r="AQ43" s="51"/>
      <c r="AR43" s="51"/>
      <c r="AS43" s="52"/>
      <c r="AT43" s="50"/>
      <c r="AU43" s="51"/>
      <c r="AV43" s="51"/>
      <c r="AW43" s="51"/>
      <c r="AX43" s="52"/>
      <c r="AY43" s="50"/>
      <c r="AZ43" s="51"/>
      <c r="BA43" s="51"/>
      <c r="BB43" s="52"/>
      <c r="BC43" s="50"/>
      <c r="BD43" s="51"/>
      <c r="BE43" s="51"/>
      <c r="BF43" s="52"/>
      <c r="BG43" s="50"/>
      <c r="BH43" s="51"/>
      <c r="BI43" s="51"/>
      <c r="BJ43" s="51"/>
      <c r="BK43" s="52"/>
      <c r="BL43" s="13"/>
    </row>
    <row r="44" spans="1:64" s="9" customFormat="1" x14ac:dyDescent="0.2">
      <c r="A44" s="14" t="str">
        <f>data!A44</f>
        <v>PO1333</v>
      </c>
      <c r="B44" s="6" t="str">
        <f>data!C44</f>
        <v>BRUNT</v>
      </c>
      <c r="C44" s="24" t="str">
        <f>data!D44</f>
        <v>Marin Unlined Welted USA (Soft Toe)
Dark BRN</v>
      </c>
      <c r="D44" s="15">
        <f>data!E44</f>
        <v>600</v>
      </c>
      <c r="E44" s="40">
        <f>data!F44</f>
        <v>46203</v>
      </c>
      <c r="F44" s="40">
        <f>data!I44</f>
        <v>46241</v>
      </c>
      <c r="G44" s="50"/>
      <c r="H44" s="51"/>
      <c r="I44" s="51"/>
      <c r="J44" s="51"/>
      <c r="K44" s="52"/>
      <c r="L44" s="53"/>
      <c r="M44" s="51"/>
      <c r="N44" s="51"/>
      <c r="O44" s="52"/>
      <c r="P44" s="50"/>
      <c r="Q44" s="51"/>
      <c r="R44" s="51"/>
      <c r="S44" s="51"/>
      <c r="T44" s="50"/>
      <c r="U44" s="51"/>
      <c r="V44" s="51"/>
      <c r="W44" s="51"/>
      <c r="X44" s="50"/>
      <c r="Y44" s="51"/>
      <c r="Z44" s="51"/>
      <c r="AA44" s="51"/>
      <c r="AB44" s="52"/>
      <c r="AC44" s="50"/>
      <c r="AD44" s="51"/>
      <c r="AE44" s="51"/>
      <c r="AF44" s="54"/>
      <c r="AG44" s="72">
        <v>46203</v>
      </c>
      <c r="AH44" s="51"/>
      <c r="AI44" s="51"/>
      <c r="AJ44" s="51"/>
      <c r="AK44" s="52"/>
      <c r="AL44" s="67">
        <v>46241</v>
      </c>
      <c r="AM44" s="51"/>
      <c r="AN44" s="51"/>
      <c r="AO44" s="52"/>
      <c r="AP44" s="50"/>
      <c r="AQ44" s="51"/>
      <c r="AR44" s="51"/>
      <c r="AS44" s="52"/>
      <c r="AT44" s="50"/>
      <c r="AU44" s="51"/>
      <c r="AV44" s="51"/>
      <c r="AW44" s="51"/>
      <c r="AX44" s="52"/>
      <c r="AY44" s="50"/>
      <c r="AZ44" s="51"/>
      <c r="BA44" s="51"/>
      <c r="BB44" s="52"/>
      <c r="BC44" s="50"/>
      <c r="BD44" s="51"/>
      <c r="BE44" s="51"/>
      <c r="BF44" s="52"/>
      <c r="BG44" s="50"/>
      <c r="BH44" s="51"/>
      <c r="BI44" s="51"/>
      <c r="BJ44" s="51"/>
      <c r="BK44" s="52"/>
      <c r="BL44" s="13"/>
    </row>
    <row r="45" spans="1:64" s="9" customFormat="1" x14ac:dyDescent="0.2">
      <c r="A45" s="14" t="str">
        <f>data!A45</f>
        <v>PO1334</v>
      </c>
      <c r="B45" s="6" t="str">
        <f>data!C45</f>
        <v>BRUNT</v>
      </c>
      <c r="C45" s="24" t="str">
        <f>data!D45</f>
        <v xml:space="preserve">Marin Welted USA (Soft Toe)  </v>
      </c>
      <c r="D45" s="15">
        <f>data!E45</f>
        <v>600</v>
      </c>
      <c r="E45" s="40">
        <f>data!F45</f>
        <v>46203</v>
      </c>
      <c r="F45" s="40">
        <f>data!I45</f>
        <v>46241</v>
      </c>
      <c r="G45" s="50"/>
      <c r="H45" s="51"/>
      <c r="I45" s="51"/>
      <c r="J45" s="51"/>
      <c r="K45" s="52"/>
      <c r="L45" s="53"/>
      <c r="M45" s="51"/>
      <c r="N45" s="51"/>
      <c r="O45" s="52"/>
      <c r="P45" s="50"/>
      <c r="Q45" s="51"/>
      <c r="R45" s="51"/>
      <c r="S45" s="51"/>
      <c r="T45" s="50"/>
      <c r="U45" s="51"/>
      <c r="V45" s="51"/>
      <c r="W45" s="51"/>
      <c r="X45" s="50"/>
      <c r="Y45" s="51"/>
      <c r="Z45" s="51"/>
      <c r="AA45" s="51"/>
      <c r="AB45" s="52"/>
      <c r="AC45" s="50"/>
      <c r="AD45" s="51"/>
      <c r="AE45" s="51"/>
      <c r="AF45" s="54"/>
      <c r="AG45" s="72">
        <v>46203</v>
      </c>
      <c r="AH45" s="51"/>
      <c r="AI45" s="51"/>
      <c r="AJ45" s="51"/>
      <c r="AK45" s="52"/>
      <c r="AL45" s="67">
        <v>46241</v>
      </c>
      <c r="AM45" s="51"/>
      <c r="AN45" s="51"/>
      <c r="AO45" s="52"/>
      <c r="AP45" s="50"/>
      <c r="AQ45" s="51"/>
      <c r="AR45" s="51"/>
      <c r="AS45" s="52"/>
      <c r="AT45" s="50"/>
      <c r="AU45" s="51"/>
      <c r="AV45" s="51"/>
      <c r="AW45" s="51"/>
      <c r="AX45" s="52"/>
      <c r="AY45" s="50"/>
      <c r="AZ45" s="51"/>
      <c r="BA45" s="51"/>
      <c r="BB45" s="52"/>
      <c r="BC45" s="50"/>
      <c r="BD45" s="51"/>
      <c r="BE45" s="51"/>
      <c r="BF45" s="52"/>
      <c r="BG45" s="50"/>
      <c r="BH45" s="51"/>
      <c r="BI45" s="51"/>
      <c r="BJ45" s="51"/>
      <c r="BK45" s="52"/>
      <c r="BL45" s="13"/>
    </row>
    <row r="46" spans="1:64" s="9" customFormat="1" x14ac:dyDescent="0.2">
      <c r="A46" s="14" t="str">
        <f>data!A46</f>
        <v>PO1335</v>
      </c>
      <c r="B46" s="6" t="str">
        <f>data!C46</f>
        <v>BRUNT</v>
      </c>
      <c r="C46" s="24" t="str">
        <f>data!D46</f>
        <v>Marin Welted USA 8"(Comp Toe)</v>
      </c>
      <c r="D46" s="15">
        <f>data!E46</f>
        <v>600</v>
      </c>
      <c r="E46" s="40">
        <f>data!F46</f>
        <v>46203</v>
      </c>
      <c r="F46" s="40">
        <f>data!I46</f>
        <v>46241</v>
      </c>
      <c r="G46" s="50"/>
      <c r="H46" s="51"/>
      <c r="I46" s="51"/>
      <c r="J46" s="51"/>
      <c r="K46" s="52"/>
      <c r="L46" s="53"/>
      <c r="M46" s="51"/>
      <c r="N46" s="51"/>
      <c r="O46" s="52"/>
      <c r="P46" s="50"/>
      <c r="Q46" s="51"/>
      <c r="R46" s="51"/>
      <c r="S46" s="51"/>
      <c r="T46" s="50"/>
      <c r="U46" s="51"/>
      <c r="V46" s="51"/>
      <c r="W46" s="51"/>
      <c r="X46" s="50"/>
      <c r="Y46" s="51"/>
      <c r="Z46" s="51"/>
      <c r="AA46" s="51"/>
      <c r="AB46" s="52"/>
      <c r="AC46" s="50"/>
      <c r="AD46" s="51"/>
      <c r="AE46" s="51"/>
      <c r="AF46" s="54"/>
      <c r="AG46" s="72">
        <v>46203</v>
      </c>
      <c r="AH46" s="51"/>
      <c r="AI46" s="51"/>
      <c r="AJ46" s="51"/>
      <c r="AK46" s="52"/>
      <c r="AL46" s="67">
        <v>46241</v>
      </c>
      <c r="AM46" s="51"/>
      <c r="AN46" s="51"/>
      <c r="AO46" s="52"/>
      <c r="AP46" s="50"/>
      <c r="AQ46" s="51"/>
      <c r="AR46" s="51"/>
      <c r="AS46" s="52"/>
      <c r="AT46" s="50"/>
      <c r="AU46" s="51"/>
      <c r="AV46" s="51"/>
      <c r="AW46" s="51"/>
      <c r="AX46" s="52"/>
      <c r="AY46" s="50"/>
      <c r="AZ46" s="51"/>
      <c r="BA46" s="51"/>
      <c r="BB46" s="52"/>
      <c r="BC46" s="50"/>
      <c r="BD46" s="51"/>
      <c r="BE46" s="51"/>
      <c r="BF46" s="52"/>
      <c r="BG46" s="50"/>
      <c r="BH46" s="51"/>
      <c r="BI46" s="51"/>
      <c r="BJ46" s="51"/>
      <c r="BK46" s="52"/>
      <c r="BL46" s="13"/>
    </row>
    <row r="47" spans="1:64" s="9" customFormat="1" x14ac:dyDescent="0.2">
      <c r="A47" s="14" t="str">
        <f>data!A47</f>
        <v>PO1336</v>
      </c>
      <c r="B47" s="6" t="str">
        <f>data!C47</f>
        <v>BRUNT</v>
      </c>
      <c r="C47" s="24" t="str">
        <f>data!D47</f>
        <v xml:space="preserve"> Ohman Welted USA (Comp Toe)</v>
      </c>
      <c r="D47" s="15">
        <f>data!E47</f>
        <v>1662</v>
      </c>
      <c r="E47" s="40">
        <f>data!F47</f>
        <v>46203</v>
      </c>
      <c r="F47" s="40">
        <f>data!I47</f>
        <v>46241</v>
      </c>
      <c r="G47" s="50"/>
      <c r="H47" s="51"/>
      <c r="I47" s="51"/>
      <c r="J47" s="51"/>
      <c r="K47" s="52"/>
      <c r="L47" s="53"/>
      <c r="M47" s="51"/>
      <c r="N47" s="51"/>
      <c r="O47" s="52"/>
      <c r="P47" s="50"/>
      <c r="Q47" s="51"/>
      <c r="R47" s="51"/>
      <c r="S47" s="51"/>
      <c r="T47" s="50"/>
      <c r="U47" s="51"/>
      <c r="V47" s="51"/>
      <c r="W47" s="51"/>
      <c r="X47" s="50"/>
      <c r="Y47" s="51"/>
      <c r="Z47" s="51"/>
      <c r="AA47" s="51"/>
      <c r="AB47" s="52"/>
      <c r="AC47" s="50"/>
      <c r="AD47" s="51"/>
      <c r="AE47" s="51"/>
      <c r="AF47" s="54"/>
      <c r="AG47" s="72">
        <v>46203</v>
      </c>
      <c r="AH47" s="51"/>
      <c r="AI47" s="51"/>
      <c r="AJ47" s="51"/>
      <c r="AK47" s="52"/>
      <c r="AL47" s="67">
        <v>46241</v>
      </c>
      <c r="AM47" s="51"/>
      <c r="AN47" s="51"/>
      <c r="AO47" s="52"/>
      <c r="AP47" s="50"/>
      <c r="AQ47" s="51"/>
      <c r="AR47" s="51"/>
      <c r="AS47" s="52"/>
      <c r="AT47" s="50"/>
      <c r="AU47" s="51"/>
      <c r="AV47" s="51"/>
      <c r="AW47" s="51"/>
      <c r="AX47" s="52"/>
      <c r="AY47" s="50"/>
      <c r="AZ47" s="51"/>
      <c r="BA47" s="51"/>
      <c r="BB47" s="52"/>
      <c r="BC47" s="50"/>
      <c r="BD47" s="51"/>
      <c r="BE47" s="51"/>
      <c r="BF47" s="52"/>
      <c r="BG47" s="50"/>
      <c r="BH47" s="51"/>
      <c r="BI47" s="51"/>
      <c r="BJ47" s="51"/>
      <c r="BK47" s="52"/>
      <c r="BL47" s="13"/>
    </row>
    <row r="48" spans="1:64" s="9" customFormat="1" x14ac:dyDescent="0.2">
      <c r="A48" s="14" t="str">
        <f>data!A48</f>
        <v>PO1336</v>
      </c>
      <c r="B48" s="6" t="str">
        <f>data!C48</f>
        <v>BRUNT</v>
      </c>
      <c r="C48" s="24" t="str">
        <f>data!D48</f>
        <v xml:space="preserve"> Ohman Welted USA (Soft Toe)</v>
      </c>
      <c r="D48" s="15">
        <f>data!E48</f>
        <v>1458</v>
      </c>
      <c r="E48" s="40">
        <f>data!F48</f>
        <v>46203</v>
      </c>
      <c r="F48" s="40">
        <f>data!I48</f>
        <v>46241</v>
      </c>
      <c r="G48" s="50"/>
      <c r="H48" s="51"/>
      <c r="I48" s="51"/>
      <c r="J48" s="51"/>
      <c r="K48" s="52"/>
      <c r="L48" s="53"/>
      <c r="M48" s="51"/>
      <c r="N48" s="51"/>
      <c r="O48" s="52"/>
      <c r="P48" s="50"/>
      <c r="Q48" s="51"/>
      <c r="R48" s="51"/>
      <c r="S48" s="51"/>
      <c r="T48" s="50"/>
      <c r="U48" s="51"/>
      <c r="V48" s="51"/>
      <c r="W48" s="51"/>
      <c r="X48" s="50"/>
      <c r="Y48" s="51"/>
      <c r="Z48" s="51"/>
      <c r="AA48" s="51"/>
      <c r="AB48" s="52"/>
      <c r="AC48" s="50"/>
      <c r="AD48" s="51"/>
      <c r="AE48" s="51"/>
      <c r="AF48" s="54"/>
      <c r="AG48" s="72">
        <v>46203</v>
      </c>
      <c r="AH48" s="51"/>
      <c r="AI48" s="51"/>
      <c r="AJ48" s="51"/>
      <c r="AK48" s="52"/>
      <c r="AL48" s="67">
        <v>46241</v>
      </c>
      <c r="AM48" s="51"/>
      <c r="AN48" s="51"/>
      <c r="AO48" s="52"/>
      <c r="AP48" s="50"/>
      <c r="AQ48" s="51"/>
      <c r="AR48" s="51"/>
      <c r="AS48" s="52"/>
      <c r="AT48" s="50"/>
      <c r="AU48" s="51"/>
      <c r="AV48" s="51"/>
      <c r="AW48" s="51"/>
      <c r="AX48" s="52"/>
      <c r="AY48" s="50"/>
      <c r="AZ48" s="51"/>
      <c r="BA48" s="51"/>
      <c r="BB48" s="52"/>
      <c r="BC48" s="50"/>
      <c r="BD48" s="51"/>
      <c r="BE48" s="51"/>
      <c r="BF48" s="52"/>
      <c r="BG48" s="50"/>
      <c r="BH48" s="51"/>
      <c r="BI48" s="51"/>
      <c r="BJ48" s="51"/>
      <c r="BK48" s="52"/>
      <c r="BL48" s="13"/>
    </row>
    <row r="49" spans="1:64" s="9" customFormat="1" x14ac:dyDescent="0.2">
      <c r="A49" s="14" t="str">
        <f>data!A49</f>
        <v>PO1337</v>
      </c>
      <c r="B49" s="6" t="str">
        <f>data!C49</f>
        <v>BRUNT</v>
      </c>
      <c r="C49" s="24" t="str">
        <f>data!D49</f>
        <v>Marin Welted USA  Brunt Toe(Comp Toe)</v>
      </c>
      <c r="D49" s="15">
        <f>data!E49</f>
        <v>600</v>
      </c>
      <c r="E49" s="40">
        <f>data!F49</f>
        <v>46203</v>
      </c>
      <c r="F49" s="40">
        <f>data!I49</f>
        <v>46241</v>
      </c>
      <c r="G49" s="50"/>
      <c r="H49" s="51"/>
      <c r="I49" s="51"/>
      <c r="J49" s="51"/>
      <c r="K49" s="52"/>
      <c r="L49" s="53"/>
      <c r="M49" s="51"/>
      <c r="N49" s="51"/>
      <c r="O49" s="52"/>
      <c r="P49" s="50"/>
      <c r="Q49" s="51"/>
      <c r="R49" s="51"/>
      <c r="S49" s="51"/>
      <c r="T49" s="50"/>
      <c r="U49" s="51"/>
      <c r="V49" s="51"/>
      <c r="W49" s="51"/>
      <c r="X49" s="50"/>
      <c r="Y49" s="51"/>
      <c r="Z49" s="51"/>
      <c r="AA49" s="51"/>
      <c r="AB49" s="52"/>
      <c r="AC49" s="50"/>
      <c r="AD49" s="51"/>
      <c r="AE49" s="51"/>
      <c r="AF49" s="54"/>
      <c r="AG49" s="72">
        <v>46203</v>
      </c>
      <c r="AH49" s="51"/>
      <c r="AI49" s="51"/>
      <c r="AJ49" s="51"/>
      <c r="AK49" s="52"/>
      <c r="AL49" s="67">
        <v>46241</v>
      </c>
      <c r="AM49" s="51"/>
      <c r="AN49" s="51"/>
      <c r="AO49" s="52"/>
      <c r="AP49" s="50"/>
      <c r="AQ49" s="51"/>
      <c r="AR49" s="51"/>
      <c r="AS49" s="52"/>
      <c r="AT49" s="50"/>
      <c r="AU49" s="51"/>
      <c r="AV49" s="51"/>
      <c r="AW49" s="51"/>
      <c r="AX49" s="52"/>
      <c r="AY49" s="50"/>
      <c r="AZ49" s="51"/>
      <c r="BA49" s="51"/>
      <c r="BB49" s="52"/>
      <c r="BC49" s="50"/>
      <c r="BD49" s="51"/>
      <c r="BE49" s="51"/>
      <c r="BF49" s="52"/>
      <c r="BG49" s="50"/>
      <c r="BH49" s="51"/>
      <c r="BI49" s="51"/>
      <c r="BJ49" s="51"/>
      <c r="BK49" s="52"/>
      <c r="BL49" s="13"/>
    </row>
    <row r="50" spans="1:64" s="9" customFormat="1" x14ac:dyDescent="0.2">
      <c r="A50" s="14" t="str">
        <f>data!A50</f>
        <v>340390-00</v>
      </c>
      <c r="B50" s="6" t="str">
        <f>data!C50</f>
        <v>Fire-Dex</v>
      </c>
      <c r="C50" s="24" t="str">
        <f>data!D50</f>
        <v>FDXL200
Waterproof</v>
      </c>
      <c r="D50" s="15">
        <f>data!E50</f>
        <v>1110</v>
      </c>
      <c r="E50" s="40">
        <f>data!F50</f>
        <v>46220</v>
      </c>
      <c r="F50" s="40">
        <f>data!I50</f>
        <v>46258</v>
      </c>
      <c r="G50" s="50"/>
      <c r="H50" s="51"/>
      <c r="I50" s="51"/>
      <c r="J50" s="51"/>
      <c r="K50" s="52"/>
      <c r="L50" s="53"/>
      <c r="M50" s="51"/>
      <c r="N50" s="51"/>
      <c r="O50" s="52"/>
      <c r="P50" s="50"/>
      <c r="Q50" s="51"/>
      <c r="R50" s="51"/>
      <c r="S50" s="51"/>
      <c r="T50" s="50"/>
      <c r="U50" s="51"/>
      <c r="V50" s="51"/>
      <c r="W50" s="51"/>
      <c r="X50" s="50"/>
      <c r="Y50" s="51"/>
      <c r="Z50" s="51"/>
      <c r="AA50" s="51"/>
      <c r="AB50" s="52"/>
      <c r="AC50" s="50"/>
      <c r="AD50" s="51"/>
      <c r="AE50" s="51"/>
      <c r="AF50" s="54"/>
      <c r="AG50" s="50"/>
      <c r="AH50" s="51"/>
      <c r="AI50" s="73">
        <v>46220</v>
      </c>
      <c r="AJ50" s="51"/>
      <c r="AK50" s="52"/>
      <c r="AL50" s="50"/>
      <c r="AM50" s="51"/>
      <c r="AN50" s="51"/>
      <c r="AO50" s="68">
        <v>46258</v>
      </c>
      <c r="AP50" s="50"/>
      <c r="AQ50" s="51"/>
      <c r="AR50" s="51"/>
      <c r="AS50" s="52"/>
      <c r="AT50" s="50"/>
      <c r="AU50" s="51"/>
      <c r="AV50" s="51"/>
      <c r="AW50" s="51"/>
      <c r="AX50" s="52"/>
      <c r="AY50" s="50"/>
      <c r="AZ50" s="51"/>
      <c r="BA50" s="51"/>
      <c r="BB50" s="52"/>
      <c r="BC50" s="50"/>
      <c r="BD50" s="51"/>
      <c r="BE50" s="51"/>
      <c r="BF50" s="52"/>
      <c r="BG50" s="50"/>
      <c r="BH50" s="51"/>
      <c r="BI50" s="51"/>
      <c r="BJ50" s="51"/>
      <c r="BK50" s="52"/>
      <c r="BL50" s="13"/>
    </row>
    <row r="51" spans="1:64" s="9" customFormat="1" x14ac:dyDescent="0.2">
      <c r="A51" s="14" t="str">
        <f>data!A51</f>
        <v>4700641424</v>
      </c>
      <c r="B51" s="6" t="str">
        <f>data!C51</f>
        <v>Harley Davidson</v>
      </c>
      <c r="C51" s="24" t="str">
        <f>data!D51</f>
        <v>D96331</v>
      </c>
      <c r="D51" s="15">
        <f>data!E51</f>
        <v>300</v>
      </c>
      <c r="E51" s="40">
        <f>data!F51</f>
        <v>46234</v>
      </c>
      <c r="F51" s="40">
        <f>data!I51</f>
        <v>46272</v>
      </c>
      <c r="G51" s="50"/>
      <c r="H51" s="51"/>
      <c r="I51" s="51"/>
      <c r="J51" s="51"/>
      <c r="K51" s="52"/>
      <c r="L51" s="53"/>
      <c r="M51" s="51"/>
      <c r="N51" s="51"/>
      <c r="O51" s="52"/>
      <c r="P51" s="50"/>
      <c r="Q51" s="51"/>
      <c r="R51" s="51"/>
      <c r="S51" s="51"/>
      <c r="T51" s="50"/>
      <c r="U51" s="51"/>
      <c r="V51" s="51"/>
      <c r="W51" s="51"/>
      <c r="X51" s="50"/>
      <c r="Y51" s="51"/>
      <c r="Z51" s="51"/>
      <c r="AA51" s="51"/>
      <c r="AB51" s="52"/>
      <c r="AC51" s="50"/>
      <c r="AD51" s="51"/>
      <c r="AE51" s="51"/>
      <c r="AF51" s="54"/>
      <c r="AG51" s="50"/>
      <c r="AH51" s="51"/>
      <c r="AI51" s="51"/>
      <c r="AJ51" s="51"/>
      <c r="AK51" s="74">
        <v>46234</v>
      </c>
      <c r="AL51" s="50"/>
      <c r="AM51" s="51"/>
      <c r="AN51" s="51"/>
      <c r="AO51" s="52"/>
      <c r="AP51" s="50"/>
      <c r="AQ51" s="66">
        <v>46272</v>
      </c>
      <c r="AR51" s="51"/>
      <c r="AS51" s="52"/>
      <c r="AT51" s="50"/>
      <c r="AU51" s="51"/>
      <c r="AV51" s="51"/>
      <c r="AW51" s="51"/>
      <c r="AX51" s="52"/>
      <c r="AY51" s="50"/>
      <c r="AZ51" s="51"/>
      <c r="BA51" s="51"/>
      <c r="BB51" s="52"/>
      <c r="BC51" s="50"/>
      <c r="BD51" s="51"/>
      <c r="BE51" s="51"/>
      <c r="BF51" s="52"/>
      <c r="BG51" s="50"/>
      <c r="BH51" s="51"/>
      <c r="BI51" s="51"/>
      <c r="BJ51" s="51"/>
      <c r="BK51" s="52"/>
      <c r="BL51" s="13"/>
    </row>
    <row r="52" spans="1:64" s="9" customFormat="1" x14ac:dyDescent="0.2">
      <c r="A52" s="14" t="str">
        <f>data!A52</f>
        <v>676431</v>
      </c>
      <c r="B52" s="6" t="str">
        <f>data!C52</f>
        <v>Weinbrenner</v>
      </c>
      <c r="C52" s="24" t="str">
        <f>data!D52</f>
        <v>504/804-6301
Waterproof</v>
      </c>
      <c r="D52" s="15">
        <f>data!E52</f>
        <v>792</v>
      </c>
      <c r="E52" s="40">
        <f>data!F52</f>
        <v>46234</v>
      </c>
      <c r="F52" s="40">
        <f>data!I52</f>
        <v>46272</v>
      </c>
      <c r="G52" s="50"/>
      <c r="H52" s="51"/>
      <c r="I52" s="51"/>
      <c r="J52" s="51"/>
      <c r="K52" s="52"/>
      <c r="L52" s="53"/>
      <c r="M52" s="51"/>
      <c r="N52" s="51"/>
      <c r="O52" s="52"/>
      <c r="P52" s="50"/>
      <c r="Q52" s="51"/>
      <c r="R52" s="51"/>
      <c r="S52" s="51"/>
      <c r="T52" s="50"/>
      <c r="U52" s="51"/>
      <c r="V52" s="51"/>
      <c r="W52" s="51"/>
      <c r="X52" s="50"/>
      <c r="Y52" s="51"/>
      <c r="Z52" s="51"/>
      <c r="AA52" s="51"/>
      <c r="AB52" s="52"/>
      <c r="AC52" s="50"/>
      <c r="AD52" s="51"/>
      <c r="AE52" s="51"/>
      <c r="AF52" s="54"/>
      <c r="AG52" s="50"/>
      <c r="AH52" s="51"/>
      <c r="AI52" s="51"/>
      <c r="AJ52" s="51"/>
      <c r="AK52" s="74">
        <v>46234</v>
      </c>
      <c r="AL52" s="50"/>
      <c r="AM52" s="51"/>
      <c r="AN52" s="51"/>
      <c r="AO52" s="52"/>
      <c r="AP52" s="50"/>
      <c r="AQ52" s="66">
        <v>46272</v>
      </c>
      <c r="AR52" s="51"/>
      <c r="AS52" s="52"/>
      <c r="AT52" s="50"/>
      <c r="AU52" s="51"/>
      <c r="AV52" s="51"/>
      <c r="AW52" s="51"/>
      <c r="AX52" s="52"/>
      <c r="AY52" s="50"/>
      <c r="AZ52" s="51"/>
      <c r="BA52" s="51"/>
      <c r="BB52" s="52"/>
      <c r="BC52" s="50"/>
      <c r="BD52" s="51"/>
      <c r="BE52" s="51"/>
      <c r="BF52" s="52"/>
      <c r="BG52" s="50"/>
      <c r="BH52" s="51"/>
      <c r="BI52" s="51"/>
      <c r="BJ52" s="51"/>
      <c r="BK52" s="52"/>
      <c r="BL52" s="13"/>
    </row>
    <row r="53" spans="1:64" s="9" customFormat="1" x14ac:dyDescent="0.2">
      <c r="A53" s="14" t="str">
        <f>data!A53</f>
        <v>676997</v>
      </c>
      <c r="B53" s="6" t="str">
        <f>data!C53</f>
        <v>Weinbrenner</v>
      </c>
      <c r="C53" s="24" t="str">
        <f>data!D53</f>
        <v>504/804-6301
Waterproof</v>
      </c>
      <c r="D53" s="15">
        <f>data!E53</f>
        <v>436</v>
      </c>
      <c r="E53" s="40">
        <f>data!F53</f>
        <v>46241</v>
      </c>
      <c r="F53" s="40">
        <f>data!I53</f>
        <v>46279</v>
      </c>
      <c r="G53" s="50"/>
      <c r="H53" s="51"/>
      <c r="I53" s="51"/>
      <c r="J53" s="51"/>
      <c r="K53" s="52"/>
      <c r="L53" s="53"/>
      <c r="M53" s="51"/>
      <c r="N53" s="51"/>
      <c r="O53" s="52"/>
      <c r="P53" s="50"/>
      <c r="Q53" s="51"/>
      <c r="R53" s="51"/>
      <c r="S53" s="51"/>
      <c r="T53" s="50"/>
      <c r="U53" s="51"/>
      <c r="V53" s="51"/>
      <c r="W53" s="51"/>
      <c r="X53" s="50"/>
      <c r="Y53" s="51"/>
      <c r="Z53" s="51"/>
      <c r="AA53" s="51"/>
      <c r="AB53" s="52"/>
      <c r="AC53" s="50"/>
      <c r="AD53" s="51"/>
      <c r="AE53" s="51"/>
      <c r="AF53" s="54"/>
      <c r="AG53" s="50"/>
      <c r="AH53" s="51"/>
      <c r="AI53" s="51"/>
      <c r="AJ53" s="51"/>
      <c r="AK53" s="52"/>
      <c r="AL53" s="72">
        <v>46241</v>
      </c>
      <c r="AM53" s="51"/>
      <c r="AN53" s="51"/>
      <c r="AO53" s="52"/>
      <c r="AP53" s="50"/>
      <c r="AQ53" s="51"/>
      <c r="AR53" s="66">
        <v>46279</v>
      </c>
      <c r="AS53" s="52"/>
      <c r="AT53" s="50"/>
      <c r="AU53" s="51"/>
      <c r="AV53" s="51"/>
      <c r="AW53" s="51"/>
      <c r="AX53" s="52"/>
      <c r="AY53" s="50"/>
      <c r="AZ53" s="51"/>
      <c r="BA53" s="51"/>
      <c r="BB53" s="52"/>
      <c r="BC53" s="50"/>
      <c r="BD53" s="51"/>
      <c r="BE53" s="51"/>
      <c r="BF53" s="52"/>
      <c r="BG53" s="50"/>
      <c r="BH53" s="51"/>
      <c r="BI53" s="51"/>
      <c r="BJ53" s="51"/>
      <c r="BK53" s="52"/>
      <c r="BL53" s="13"/>
    </row>
    <row r="54" spans="1:64" s="9" customFormat="1" x14ac:dyDescent="0.2">
      <c r="A54" s="14" t="str">
        <f>data!A54</f>
        <v>676998</v>
      </c>
      <c r="B54" s="6" t="str">
        <f>data!C54</f>
        <v>Weinbrenner</v>
      </c>
      <c r="C54" s="24" t="str">
        <f>data!D54</f>
        <v>504/804-6301
Waterproof</v>
      </c>
      <c r="D54" s="15">
        <f>data!E54</f>
        <v>76</v>
      </c>
      <c r="E54" s="40">
        <f>data!F54</f>
        <v>46241</v>
      </c>
      <c r="F54" s="40">
        <f>data!I54</f>
        <v>46279</v>
      </c>
      <c r="G54" s="50"/>
      <c r="H54" s="51"/>
      <c r="I54" s="51"/>
      <c r="J54" s="51"/>
      <c r="K54" s="52"/>
      <c r="L54" s="53"/>
      <c r="M54" s="51"/>
      <c r="N54" s="51"/>
      <c r="O54" s="52"/>
      <c r="P54" s="50"/>
      <c r="Q54" s="51"/>
      <c r="R54" s="51"/>
      <c r="S54" s="51"/>
      <c r="T54" s="50"/>
      <c r="U54" s="51"/>
      <c r="V54" s="51"/>
      <c r="W54" s="51"/>
      <c r="X54" s="50"/>
      <c r="Y54" s="51"/>
      <c r="Z54" s="51"/>
      <c r="AA54" s="51"/>
      <c r="AB54" s="52"/>
      <c r="AC54" s="50"/>
      <c r="AD54" s="51"/>
      <c r="AE54" s="51"/>
      <c r="AF54" s="54"/>
      <c r="AG54" s="50"/>
      <c r="AH54" s="51"/>
      <c r="AI54" s="51"/>
      <c r="AJ54" s="51"/>
      <c r="AK54" s="52"/>
      <c r="AL54" s="72">
        <v>46241</v>
      </c>
      <c r="AM54" s="51"/>
      <c r="AN54" s="51"/>
      <c r="AO54" s="52"/>
      <c r="AP54" s="50"/>
      <c r="AQ54" s="51"/>
      <c r="AR54" s="66">
        <v>46279</v>
      </c>
      <c r="AS54" s="52"/>
      <c r="AT54" s="50"/>
      <c r="AU54" s="51"/>
      <c r="AV54" s="51"/>
      <c r="AW54" s="51"/>
      <c r="AX54" s="52"/>
      <c r="AY54" s="50"/>
      <c r="AZ54" s="51"/>
      <c r="BA54" s="51"/>
      <c r="BB54" s="52"/>
      <c r="BC54" s="50"/>
      <c r="BD54" s="51"/>
      <c r="BE54" s="51"/>
      <c r="BF54" s="52"/>
      <c r="BG54" s="50"/>
      <c r="BH54" s="51"/>
      <c r="BI54" s="51"/>
      <c r="BJ54" s="51"/>
      <c r="BK54" s="52"/>
      <c r="BL54" s="13"/>
    </row>
    <row r="55" spans="1:64" s="9" customFormat="1" x14ac:dyDescent="0.2">
      <c r="A55" s="14" t="str">
        <f>data!A55</f>
        <v>340644-00</v>
      </c>
      <c r="B55" s="6" t="str">
        <f>data!C55</f>
        <v>Fire-Dex</v>
      </c>
      <c r="C55" s="24" t="str">
        <f>data!D55</f>
        <v>FDXL200
Waterproof</v>
      </c>
      <c r="D55" s="15">
        <f>data!E55</f>
        <v>2964</v>
      </c>
      <c r="E55" s="40">
        <f>data!F55</f>
        <v>46288</v>
      </c>
      <c r="F55" s="40">
        <f>data!I55</f>
        <v>46326</v>
      </c>
      <c r="G55" s="50"/>
      <c r="H55" s="51"/>
      <c r="I55" s="51"/>
      <c r="J55" s="51"/>
      <c r="K55" s="52"/>
      <c r="L55" s="53"/>
      <c r="M55" s="51"/>
      <c r="N55" s="51"/>
      <c r="O55" s="52"/>
      <c r="P55" s="50"/>
      <c r="Q55" s="51"/>
      <c r="R55" s="51"/>
      <c r="S55" s="51"/>
      <c r="T55" s="50"/>
      <c r="U55" s="51"/>
      <c r="V55" s="51"/>
      <c r="W55" s="51"/>
      <c r="X55" s="50"/>
      <c r="Y55" s="51"/>
      <c r="Z55" s="51"/>
      <c r="AA55" s="51"/>
      <c r="AB55" s="52"/>
      <c r="AC55" s="50"/>
      <c r="AD55" s="51"/>
      <c r="AE55" s="51"/>
      <c r="AF55" s="54"/>
      <c r="AG55" s="50"/>
      <c r="AH55" s="51"/>
      <c r="AI55" s="51"/>
      <c r="AJ55" s="51"/>
      <c r="AK55" s="52"/>
      <c r="AL55" s="50"/>
      <c r="AM55" s="51"/>
      <c r="AN55" s="51"/>
      <c r="AO55" s="52"/>
      <c r="AP55" s="50"/>
      <c r="AQ55" s="51"/>
      <c r="AR55" s="51"/>
      <c r="AS55" s="74">
        <v>46288</v>
      </c>
      <c r="AT55" s="50"/>
      <c r="AU55" s="51"/>
      <c r="AV55" s="51"/>
      <c r="AW55" s="51"/>
      <c r="AX55" s="52"/>
      <c r="AY55" s="67">
        <v>46326</v>
      </c>
      <c r="AZ55" s="51"/>
      <c r="BA55" s="51"/>
      <c r="BB55" s="52"/>
      <c r="BC55" s="50"/>
      <c r="BD55" s="51"/>
      <c r="BE55" s="51"/>
      <c r="BF55" s="52"/>
      <c r="BG55" s="50"/>
      <c r="BH55" s="51"/>
      <c r="BI55" s="51"/>
      <c r="BJ55" s="51"/>
      <c r="BK55" s="52"/>
      <c r="BL55" s="13"/>
    </row>
    <row r="56" spans="1:64" s="9" customFormat="1" x14ac:dyDescent="0.2">
      <c r="A56" s="14"/>
      <c r="B56" s="6"/>
      <c r="C56" s="24"/>
      <c r="D56" s="15"/>
      <c r="E56" s="3"/>
      <c r="F56" s="3"/>
      <c r="G56" s="50"/>
      <c r="H56" s="51"/>
      <c r="I56" s="51"/>
      <c r="J56" s="51"/>
      <c r="K56" s="52"/>
      <c r="L56" s="53"/>
      <c r="M56" s="51"/>
      <c r="N56" s="51"/>
      <c r="O56" s="52"/>
      <c r="P56" s="50"/>
      <c r="Q56" s="51"/>
      <c r="R56" s="51"/>
      <c r="S56" s="51"/>
      <c r="T56" s="50"/>
      <c r="U56" s="51"/>
      <c r="V56" s="51"/>
      <c r="W56" s="51"/>
      <c r="X56" s="50"/>
      <c r="Y56" s="51"/>
      <c r="Z56" s="51"/>
      <c r="AA56" s="51"/>
      <c r="AB56" s="52"/>
      <c r="AC56" s="50"/>
      <c r="AD56" s="51"/>
      <c r="AE56" s="51"/>
      <c r="AF56" s="54"/>
      <c r="AG56" s="50"/>
      <c r="AH56" s="51"/>
      <c r="AI56" s="51"/>
      <c r="AJ56" s="51"/>
      <c r="AK56" s="52"/>
      <c r="AL56" s="50"/>
      <c r="AM56" s="51"/>
      <c r="AN56" s="51"/>
      <c r="AO56" s="52"/>
      <c r="AP56" s="50"/>
      <c r="AQ56" s="51"/>
      <c r="AR56" s="51"/>
      <c r="AS56" s="52"/>
      <c r="AT56" s="50"/>
      <c r="AU56" s="51"/>
      <c r="AV56" s="51"/>
      <c r="AW56" s="51"/>
      <c r="AX56" s="52"/>
      <c r="AY56" s="50"/>
      <c r="AZ56" s="51"/>
      <c r="BA56" s="51"/>
      <c r="BB56" s="52"/>
      <c r="BC56" s="50"/>
      <c r="BD56" s="51"/>
      <c r="BE56" s="51"/>
      <c r="BF56" s="52"/>
      <c r="BG56" s="50"/>
      <c r="BH56" s="51"/>
      <c r="BI56" s="51"/>
      <c r="BJ56" s="51"/>
      <c r="BK56" s="52"/>
      <c r="BL56" s="13"/>
    </row>
    <row r="57" spans="1:64" s="9" customFormat="1" x14ac:dyDescent="0.2">
      <c r="A57" s="33"/>
      <c r="B57" s="34"/>
      <c r="C57" s="35"/>
      <c r="D57" s="36"/>
      <c r="E57" s="38"/>
      <c r="F57" s="38"/>
      <c r="G57" s="50"/>
      <c r="H57" s="51"/>
      <c r="I57" s="51"/>
      <c r="J57" s="51"/>
      <c r="K57" s="52"/>
      <c r="L57" s="53"/>
      <c r="M57" s="51"/>
      <c r="N57" s="51"/>
      <c r="O57" s="52"/>
      <c r="P57" s="50"/>
      <c r="Q57" s="51"/>
      <c r="R57" s="51"/>
      <c r="S57" s="51"/>
      <c r="T57" s="50"/>
      <c r="U57" s="51"/>
      <c r="V57" s="51"/>
      <c r="W57" s="51"/>
      <c r="X57" s="50"/>
      <c r="Y57" s="51"/>
      <c r="Z57" s="51"/>
      <c r="AA57" s="51"/>
      <c r="AB57" s="52"/>
      <c r="AC57" s="50"/>
      <c r="AD57" s="51"/>
      <c r="AE57" s="51"/>
      <c r="AF57" s="54"/>
      <c r="AG57" s="50"/>
      <c r="AH57" s="51"/>
      <c r="AI57" s="51"/>
      <c r="AJ57" s="51"/>
      <c r="AK57" s="52"/>
      <c r="AL57" s="50"/>
      <c r="AM57" s="51"/>
      <c r="AN57" s="51"/>
      <c r="AO57" s="52"/>
      <c r="AP57" s="50"/>
      <c r="AQ57" s="51"/>
      <c r="AR57" s="51"/>
      <c r="AS57" s="52"/>
      <c r="AT57" s="50"/>
      <c r="AU57" s="51"/>
      <c r="AV57" s="51"/>
      <c r="AW57" s="51"/>
      <c r="AX57" s="52"/>
      <c r="AY57" s="50"/>
      <c r="AZ57" s="51"/>
      <c r="BA57" s="51"/>
      <c r="BB57" s="52"/>
      <c r="BC57" s="50"/>
      <c r="BD57" s="51"/>
      <c r="BE57" s="51"/>
      <c r="BF57" s="52"/>
      <c r="BG57" s="50"/>
      <c r="BH57" s="51"/>
      <c r="BI57" s="51"/>
      <c r="BJ57" s="51"/>
      <c r="BK57" s="52"/>
      <c r="BL57" s="13"/>
    </row>
    <row r="58" spans="1:64" s="9" customFormat="1" ht="16" thickBot="1" x14ac:dyDescent="0.25">
      <c r="A58" s="16"/>
      <c r="B58" s="17"/>
      <c r="C58" s="25"/>
      <c r="D58" s="18"/>
      <c r="E58" s="39"/>
      <c r="F58" s="39"/>
      <c r="G58" s="55"/>
      <c r="H58" s="56"/>
      <c r="I58" s="56"/>
      <c r="J58" s="56"/>
      <c r="K58" s="57"/>
      <c r="L58" s="58"/>
      <c r="M58" s="56"/>
      <c r="N58" s="56"/>
      <c r="O58" s="57"/>
      <c r="P58" s="55"/>
      <c r="Q58" s="56"/>
      <c r="R58" s="56"/>
      <c r="S58" s="56"/>
      <c r="T58" s="55"/>
      <c r="U58" s="56"/>
      <c r="V58" s="56"/>
      <c r="W58" s="56"/>
      <c r="X58" s="55"/>
      <c r="Y58" s="56"/>
      <c r="Z58" s="56"/>
      <c r="AA58" s="56"/>
      <c r="AB58" s="57"/>
      <c r="AC58" s="55"/>
      <c r="AD58" s="56"/>
      <c r="AE58" s="56"/>
      <c r="AF58" s="59"/>
      <c r="AG58" s="55"/>
      <c r="AH58" s="56"/>
      <c r="AI58" s="56"/>
      <c r="AJ58" s="56"/>
      <c r="AK58" s="57"/>
      <c r="AL58" s="55"/>
      <c r="AM58" s="56"/>
      <c r="AN58" s="56"/>
      <c r="AO58" s="57"/>
      <c r="AP58" s="55"/>
      <c r="AQ58" s="56"/>
      <c r="AR58" s="56"/>
      <c r="AS58" s="57"/>
      <c r="AT58" s="55"/>
      <c r="AU58" s="56"/>
      <c r="AV58" s="56"/>
      <c r="AW58" s="56"/>
      <c r="AX58" s="57"/>
      <c r="AY58" s="55"/>
      <c r="AZ58" s="56"/>
      <c r="BA58" s="56"/>
      <c r="BB58" s="57"/>
      <c r="BC58" s="55"/>
      <c r="BD58" s="56"/>
      <c r="BE58" s="56"/>
      <c r="BF58" s="57"/>
      <c r="BG58" s="55"/>
      <c r="BH58" s="56"/>
      <c r="BI58" s="56"/>
      <c r="BJ58" s="56"/>
      <c r="BK58" s="57"/>
      <c r="BL58" s="13"/>
    </row>
    <row r="60" spans="1:64" x14ac:dyDescent="0.2">
      <c r="A60" s="8" t="s">
        <v>1</v>
      </c>
    </row>
    <row r="61" spans="1:64" x14ac:dyDescent="0.2">
      <c r="A61" s="2" t="s">
        <v>2</v>
      </c>
    </row>
    <row r="62" spans="1:64" x14ac:dyDescent="0.2">
      <c r="A62" s="1" t="s">
        <v>3</v>
      </c>
    </row>
  </sheetData>
  <pageMargins left="0.25" right="0.25" top="0.75" bottom="0.75" header="0.3" footer="0.3"/>
  <pageSetup paperSize="9" scale="1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setting</vt:lpstr>
      <vt:lpstr>data</vt:lpstr>
      <vt:lpstr>GanttChart</vt:lpstr>
      <vt:lpstr>data_dest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Clyde | American Sole</dc:creator>
  <cp:lastModifiedBy>Clyde | American Sole</cp:lastModifiedBy>
  <dcterms:created xsi:type="dcterms:W3CDTF">2026-04-03T03:46:31Z</dcterms:created>
  <dcterms:modified xsi:type="dcterms:W3CDTF">2026-04-04T06:34:50Z</dcterms:modified>
</cp:coreProperties>
</file>