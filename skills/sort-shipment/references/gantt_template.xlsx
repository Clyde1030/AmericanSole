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yu-shenglee/Desktop/dev/AmericanSole/skills/sort-shipment/references/"/>
    </mc:Choice>
  </mc:AlternateContent>
  <xr:revisionPtr revIDLastSave="0" documentId="13_ncr:1_{C750D319-A59A-2A44-9139-4C45C4D9FBC8}" xr6:coauthVersionLast="47" xr6:coauthVersionMax="47" xr10:uidLastSave="{00000000-0000-0000-0000-000000000000}"/>
  <bookViews>
    <workbookView xWindow="39820" yWindow="2960" windowWidth="45440" windowHeight="23460" activeTab="1" xr2:uid="{8303FF77-CD89-BF41-B4DA-8F46A9B8E22B}"/>
  </bookViews>
  <sheets>
    <sheet name="setting" sheetId="2" r:id="rId1"/>
    <sheet name="data" sheetId="3" r:id="rId2"/>
    <sheet name="Gantt Chart Update " sheetId="1" r:id="rId3"/>
  </sheets>
  <definedNames>
    <definedName name="_xlnm._FilterDatabase" localSheetId="0" hidden="1">data!$A$1:$M$1</definedName>
    <definedName name="data_dest">data!$A$2</definedName>
    <definedName name="year">setting!$B$1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</calcChain>
</file>

<file path=xl/sharedStrings.xml><?xml version="1.0" encoding="utf-8"?>
<sst xmlns="http://schemas.openxmlformats.org/spreadsheetml/2006/main" count="720" uniqueCount="254">
  <si>
    <t xml:space="preserve">PO # </t>
  </si>
  <si>
    <t>Legends:</t>
  </si>
  <si>
    <t>LH Ex-Factory Date</t>
  </si>
  <si>
    <t>ETA to American Sole</t>
  </si>
  <si>
    <t>Brand</t>
  </si>
  <si>
    <t>Style</t>
  </si>
  <si>
    <t>Pairs</t>
  </si>
  <si>
    <t>po_number</t>
  </si>
  <si>
    <t>shipment_idx</t>
  </si>
  <si>
    <t>brand</t>
  </si>
  <si>
    <t>style</t>
  </si>
  <si>
    <t>pairs</t>
  </si>
  <si>
    <t>lh_xf</t>
  </si>
  <si>
    <t>etd_port</t>
  </si>
  <si>
    <t>eta_sa</t>
  </si>
  <si>
    <t>eta_fac</t>
  </si>
  <si>
    <t>customer_requested_xf</t>
  </si>
  <si>
    <t>container_type</t>
  </si>
  <si>
    <t>container_number</t>
  </si>
  <si>
    <t>remark</t>
  </si>
  <si>
    <t>Year</t>
  </si>
  <si>
    <t>First Friday Date</t>
  </si>
  <si>
    <t>339840-00</t>
  </si>
  <si>
    <t>Fire-Dex</t>
  </si>
  <si>
    <t>FDXL200 Waterproof</t>
  </si>
  <si>
    <t>339842-00</t>
  </si>
  <si>
    <t>PO175</t>
  </si>
  <si>
    <t>USBOOT</t>
  </si>
  <si>
    <t>6'' Driftlock (Bravo Soft toe ) Waterproof</t>
  </si>
  <si>
    <t>Condor Wellington Waterproof</t>
  </si>
  <si>
    <t>Western Steel Toe Waterproof</t>
  </si>
  <si>
    <t>Need change outsole
Waiting for outsole testing result  , after pass ,we can order Size Label</t>
  </si>
  <si>
    <t>PO1173</t>
  </si>
  <si>
    <t>BRUNT</t>
  </si>
  <si>
    <t>Ohman Welted USA (Comp Toe)</t>
  </si>
  <si>
    <t>Customer Required XF 2026/ 6/8</t>
  </si>
  <si>
    <t>Ohman Welted USA (Soft Toe)</t>
  </si>
  <si>
    <t>PO1172</t>
  </si>
  <si>
    <t>Marin Welted USA 8"(Comp Toe)</t>
  </si>
  <si>
    <t>Customer Required XF 2026/ 6/5</t>
  </si>
  <si>
    <t>PO1225</t>
  </si>
  <si>
    <t>Marin Welted USA 8"(Comp Toe) Waterproof</t>
  </si>
  <si>
    <t>Customer Required XF 2026/6/19</t>
  </si>
  <si>
    <t>PO1226</t>
  </si>
  <si>
    <t>Marin Unlined Welted USA (Soft Toe)</t>
  </si>
  <si>
    <t>Marin Unlined Welted USA (Comp Toe)</t>
  </si>
  <si>
    <t>PO1224</t>
  </si>
  <si>
    <t>Marin Welted USA (Soft Toe) Waterproof</t>
  </si>
  <si>
    <t>Marin Unlined Welted USA (Comp Toe) Dark BRN</t>
  </si>
  <si>
    <t>PO1227</t>
  </si>
  <si>
    <t>Marin Welted USA (Comp Toe) Brunt Toe</t>
  </si>
  <si>
    <t>340055-00</t>
  </si>
  <si>
    <t>Cusomter request XF at 2026/5/1</t>
  </si>
  <si>
    <t>PO1228</t>
  </si>
  <si>
    <t>6' Ironmaster-Black</t>
  </si>
  <si>
    <t>Made In Cambodia</t>
  </si>
  <si>
    <t>6' Ironmaster-Copper</t>
  </si>
  <si>
    <t>CAT</t>
  </si>
  <si>
    <t>P91875 Waterproof</t>
  </si>
  <si>
    <t>Customer Required XF 2026/6/1</t>
  </si>
  <si>
    <t>Wolverine</t>
  </si>
  <si>
    <t>W260098 Waterproof</t>
  </si>
  <si>
    <t>W261123 Waterproof</t>
  </si>
  <si>
    <t>Repeat order</t>
  </si>
  <si>
    <t>PO1232</t>
  </si>
  <si>
    <t>Customer Required XF 2026/7/15</t>
  </si>
  <si>
    <t>PO1233</t>
  </si>
  <si>
    <t>Weinbrenner</t>
  </si>
  <si>
    <t>504/804-6301 Waterproof</t>
  </si>
  <si>
    <t>Customer Required XF 2026/7/3</t>
  </si>
  <si>
    <t>PO1229</t>
  </si>
  <si>
    <t>PO1230</t>
  </si>
  <si>
    <t>PO1231</t>
  </si>
  <si>
    <t>340057-00</t>
  </si>
  <si>
    <t>Cusomter request XF at 2026/6/1</t>
  </si>
  <si>
    <t>340244-00</t>
  </si>
  <si>
    <t>FDXL90 Waterproof</t>
  </si>
  <si>
    <t>New Style</t>
  </si>
  <si>
    <t>340420-00</t>
  </si>
  <si>
    <t>340386-00</t>
  </si>
  <si>
    <t>Customer Required XF 2026/7/1</t>
  </si>
  <si>
    <t>PO1333</t>
  </si>
  <si>
    <t>Customer Required XF 2026/8/21</t>
  </si>
  <si>
    <t>Marin Unlined Welted USA (Soft Toe) Dark BRN</t>
  </si>
  <si>
    <t>PO1334</t>
  </si>
  <si>
    <t>Marin Welted USA (Soft Toe)</t>
  </si>
  <si>
    <t>PO1335</t>
  </si>
  <si>
    <t>PO1336</t>
  </si>
  <si>
    <t>PO1337</t>
  </si>
  <si>
    <t>Marin Welted USA Brunt Toe(Comp Toe)</t>
  </si>
  <si>
    <t>340390-00</t>
  </si>
  <si>
    <t>Customer Required XF 2026/9/1</t>
  </si>
  <si>
    <t>Customer Required XF 2026/9/14</t>
  </si>
  <si>
    <t>Harley Davidson</t>
  </si>
  <si>
    <t>D96331</t>
  </si>
  <si>
    <t>New received on 3/24
Customer required XF is 7/6</t>
  </si>
  <si>
    <t>New order received on 3/4. Request LH XF at 7/1 and AS XF at 9/21</t>
  </si>
  <si>
    <t>340644-00</t>
  </si>
  <si>
    <t>Customer Required XF 2026/11/16</t>
  </si>
  <si>
    <t>Chippewa</t>
  </si>
  <si>
    <t>SL5405E</t>
  </si>
  <si>
    <t>SL5405EEE</t>
  </si>
  <si>
    <t>SL5410E</t>
  </si>
  <si>
    <t>SL5410EEE</t>
  </si>
  <si>
    <t>PO/2026/0013</t>
  </si>
  <si>
    <t>for Size 7-8.5# only
waiting for official PO ,order leahter only</t>
  </si>
  <si>
    <t>US BOOT</t>
  </si>
  <si>
    <t>6" JAMES - Chelsea Soft Toe</t>
  </si>
  <si>
    <t>Air Shipment</t>
  </si>
  <si>
    <t>DANE</t>
  </si>
  <si>
    <t>PO/2026/0014</t>
  </si>
  <si>
    <t>PO/2026/0015</t>
  </si>
  <si>
    <t>TBD</t>
  </si>
  <si>
    <t>8‚Äò‚Äô Bravo</t>
  </si>
  <si>
    <t>FADE</t>
  </si>
  <si>
    <t>1x40 HQ</t>
  </si>
  <si>
    <t>Shipped on 5/22
Already arrived at AS</t>
  </si>
  <si>
    <t>VANISH</t>
  </si>
  <si>
    <t>40'  with other components  ,Shipped on 6/17</t>
  </si>
  <si>
    <t>PO181</t>
  </si>
  <si>
    <t>Shipped on 6/13
Already arrived at AS on 7/22</t>
  </si>
  <si>
    <t>Marin Welted USA (Comp Toe)</t>
  </si>
  <si>
    <t>PO226</t>
  </si>
  <si>
    <t>Shipped on 7/23</t>
  </si>
  <si>
    <t>BRAVO</t>
  </si>
  <si>
    <t>1*40 HQ</t>
  </si>
  <si>
    <t>Shipped on 7/11</t>
  </si>
  <si>
    <t>Air</t>
  </si>
  <si>
    <t>1X20</t>
  </si>
  <si>
    <t>Shipped on 9/11</t>
  </si>
  <si>
    <t>PO314</t>
  </si>
  <si>
    <t>Shipped on 10/8</t>
  </si>
  <si>
    <t>ECHO</t>
  </si>
  <si>
    <t>PO367</t>
  </si>
  <si>
    <t>1x40</t>
  </si>
  <si>
    <t>Shipped on 10/17</t>
  </si>
  <si>
    <t>Shipped on 11/2</t>
  </si>
  <si>
    <t>PO416</t>
  </si>
  <si>
    <t>1*40''</t>
  </si>
  <si>
    <t>Shipped on 11/19</t>
  </si>
  <si>
    <t>1*40HQ</t>
  </si>
  <si>
    <t>Shipped on 12/12</t>
  </si>
  <si>
    <t>PO502</t>
  </si>
  <si>
    <t>PO511</t>
  </si>
  <si>
    <t>Shipped on 1/10</t>
  </si>
  <si>
    <t>PO509</t>
  </si>
  <si>
    <t>Marin Unlinde Welted USA (Comp Toe)</t>
  </si>
  <si>
    <t>2X40 HQ</t>
  </si>
  <si>
    <t>Shipped on 1/23</t>
  </si>
  <si>
    <t>Marin Unlinde Welted USA (Soft Toe)</t>
  </si>
  <si>
    <t>PO519</t>
  </si>
  <si>
    <t>1X40GP</t>
  </si>
  <si>
    <t>Shipped on 2/28</t>
  </si>
  <si>
    <t>PO617</t>
  </si>
  <si>
    <t>1x40HQ</t>
  </si>
  <si>
    <t>Shipped on 3/13</t>
  </si>
  <si>
    <t>Shipped on 3/26</t>
  </si>
  <si>
    <t>Shipped on 4/03</t>
  </si>
  <si>
    <t>PO620</t>
  </si>
  <si>
    <t>DEWALT</t>
  </si>
  <si>
    <t>DXWP99990M</t>
  </si>
  <si>
    <t>Shipped on 5/23</t>
  </si>
  <si>
    <t>PO636</t>
  </si>
  <si>
    <t>WOLVERINE</t>
  </si>
  <si>
    <t>W261060</t>
  </si>
  <si>
    <t>change to Woverrine LogoÔºå Ship via Express</t>
  </si>
  <si>
    <t>On Water</t>
  </si>
  <si>
    <t>PO636-New PO# is PO817</t>
  </si>
  <si>
    <t>Marin Welted USA (Comp Toe) Waterproof</t>
  </si>
  <si>
    <t>On Water
(Container Inspecting by Customs)</t>
  </si>
  <si>
    <t>PO639-New PO# is PO818</t>
  </si>
  <si>
    <t>Marin Welted USA 8'' (Comp Toe) Waterproof</t>
  </si>
  <si>
    <t>2*40HQ</t>
  </si>
  <si>
    <t>7/12Âá∫ÂØåÁôª</t>
  </si>
  <si>
    <t>SL5405 Waterproof</t>
  </si>
  <si>
    <t>7/14Âá∫ÂØåÁôª</t>
  </si>
  <si>
    <t>7/19Âá∫ÂØåÁôª</t>
  </si>
  <si>
    <t>SL5410 Waterproof</t>
  </si>
  <si>
    <t>7/31Âá∫ÂØåÁôª</t>
  </si>
  <si>
    <t>8/11Âá∫ÂØåÁôª</t>
  </si>
  <si>
    <t>4500230405
4500230406</t>
  </si>
  <si>
    <t>SL5407 Waterproof</t>
  </si>
  <si>
    <t>SL5408 Waterproof</t>
  </si>
  <si>
    <t>PO721-New PO# is PO819</t>
  </si>
  <si>
    <t>4500230407
4500230408</t>
  </si>
  <si>
    <t>1X40HQ</t>
  </si>
  <si>
    <t>8/30Âá∫ÂØåÁôª</t>
  </si>
  <si>
    <t>PO105</t>
  </si>
  <si>
    <t>PO950</t>
  </si>
  <si>
    <t>10/16Âá∫ÂØåÁôª</t>
  </si>
  <si>
    <t>PO949</t>
  </si>
  <si>
    <t>671564 etc</t>
  </si>
  <si>
    <t>Air
Already arrived at AS on 10/31</t>
  </si>
  <si>
    <t>10/23 Âá∫ÂØåÁôª</t>
  </si>
  <si>
    <t>PO160</t>
  </si>
  <si>
    <t>6'' Driftlock (Bravo Soft Toe) Waterproof</t>
  </si>
  <si>
    <t>10/31Âá∫ÂØåÁôª</t>
  </si>
  <si>
    <t>PO161</t>
  </si>
  <si>
    <t>PO979</t>
  </si>
  <si>
    <t>11/10Âá∫ÂØåÁôª</t>
  </si>
  <si>
    <t>339265-00</t>
  </si>
  <si>
    <t>PO163</t>
  </si>
  <si>
    <t>6" Handler Comp Toe Waterproof</t>
  </si>
  <si>
    <t>PO164</t>
  </si>
  <si>
    <t>6'' Alpha</t>
  </si>
  <si>
    <t>11/12Âá∫ÂØåÁôª</t>
  </si>
  <si>
    <t>11/15Âá∫ÂØåÁôª</t>
  </si>
  <si>
    <t>11/18Âá∫ÂØåÁôª</t>
  </si>
  <si>
    <t>339472-00</t>
  </si>
  <si>
    <t>11/21Âá∫ÂØåÁôª</t>
  </si>
  <si>
    <t>1X45''</t>
  </si>
  <si>
    <t>11/26Âá∫ÂØåÁôª</t>
  </si>
  <si>
    <t>PO174</t>
  </si>
  <si>
    <t>Barebones</t>
  </si>
  <si>
    <t>BBWDKB Waterproof</t>
  </si>
  <si>
    <t>11/28Âá∫ÂØåÁôª</t>
  </si>
  <si>
    <t>PO162</t>
  </si>
  <si>
    <t>12/17Âá∫ÂØåÁôª</t>
  </si>
  <si>
    <t>PO170</t>
  </si>
  <si>
    <t>12/18Âá∫ÂØåÁôª</t>
  </si>
  <si>
    <t>12/27Âá∫ÂØåÁôª</t>
  </si>
  <si>
    <t>12/29Âá∫ÂØåÁôª</t>
  </si>
  <si>
    <t>PO171</t>
  </si>
  <si>
    <t>6" LOGAN - Chelsea Comp Toe</t>
  </si>
  <si>
    <t>12/31Âá∫ÂØåÁôª</t>
  </si>
  <si>
    <t>PO171 / PO171 LOSS</t>
  </si>
  <si>
    <t>1/12Âá∫ÂØåÁôª</t>
  </si>
  <si>
    <t>PO1047</t>
  </si>
  <si>
    <t>1/14Âá∫ÂØåÁôª</t>
  </si>
  <si>
    <t>1/40HQ</t>
  </si>
  <si>
    <t>1/26Âá∫ÂØåÁôª</t>
  </si>
  <si>
    <t>PO1048</t>
  </si>
  <si>
    <t>PO1049</t>
  </si>
  <si>
    <t>PO1082</t>
  </si>
  <si>
    <t>1x40HQ+1x20GP</t>
  </si>
  <si>
    <t>2/4Âá∫ÂØåÁôª</t>
  </si>
  <si>
    <t>D87321</t>
  </si>
  <si>
    <t>2/5Âá∫ÂØåÁôª</t>
  </si>
  <si>
    <t>PO1081</t>
  </si>
  <si>
    <t>PO1080</t>
  </si>
  <si>
    <t>PO1083</t>
  </si>
  <si>
    <t>Marin Welted USA Brunt Toe(Comp Toe) Waterproof</t>
  </si>
  <si>
    <t>1X40 HQ</t>
  </si>
  <si>
    <t>2/11Âá∫ÂØåÁôª</t>
  </si>
  <si>
    <t>PO1123</t>
  </si>
  <si>
    <t>PO1124</t>
  </si>
  <si>
    <t>3/12Âá∫ÂØåÁôª</t>
  </si>
  <si>
    <t>PO1125</t>
  </si>
  <si>
    <t>PO1126</t>
  </si>
  <si>
    <t>EGHU9231394</t>
  </si>
  <si>
    <t>3/26Âá∫ÂØåÁôª</t>
  </si>
  <si>
    <t>TLLU4252054</t>
  </si>
  <si>
    <t>3/27Âá∫ÂØåÁôª</t>
  </si>
  <si>
    <t>3/30Âá∫ÂØåÁôª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</si>
</sst>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yyyy\-mm\-dd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3" fillId="3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3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2" xfId="0" applyBorder="1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4" xfId="0" applyBorder="1"/>
    <xf numFmtId="0" fontId="0" fillId="0" borderId="15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16" fontId="2" fillId="0" borderId="12" xfId="0" applyNumberFormat="1" applyFont="1" applyBorder="1" applyAlignment="1">
      <alignment horizontal="center" vertical="center"/>
    </xf>
    <xf numFmtId="16" fontId="2" fillId="0" borderId="13" xfId="0" applyNumberFormat="1" applyFont="1" applyBorder="1" applyAlignment="1">
      <alignment horizontal="center" vertical="center"/>
    </xf>
    <xf numFmtId="16" fontId="2" fillId="0" borderId="14" xfId="0" applyNumberFormat="1" applyFont="1" applyBorder="1" applyAlignment="1">
      <alignment horizontal="center" vertical="center"/>
    </xf>
    <xf numFmtId="16" fontId="2" fillId="0" borderId="16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3" xfId="0" applyBorder="1"/>
    <xf numFmtId="0" fontId="0" fillId="0" borderId="18" xfId="0" applyBorder="1"/>
    <xf numFmtId="0" fontId="1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5" borderId="0" xfId="0" applyNumberFormat="1" applyFill="1"/>
    <xf numFmtId="0" fontId="4" fillId="0" borderId="2" xfId="0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5" fontId="4" fillId="0" borderId="2" xfId="0" applyNumberFormat="1" applyFont="1" applyBorder="1" applyAlignment="1">
      <alignment horizont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BB93-D39F-E84B-A272-001183970695}">
  <dimension ref="A1:L3"/>
  <sheetViews>
    <sheetView zoomScale="130" zoomScaleNormal="130" workbookViewId="0">
      <selection activeCell="A2" sqref="A2"/>
    </sheetView>
  </sheetViews>
  <sheetFormatPr baseColWidth="10" defaultRowHeight="15" x14ac:dyDescent="0.2"/>
  <cols>
    <col min="1" max="1" width="16.83203125" bestFit="1" customWidth="1"/>
    <col min="3" max="3" width="9.83203125" bestFit="1" customWidth="1"/>
    <col min="4" max="7" width="11" bestFit="1" customWidth="1"/>
    <col min="8" max="11" width="11" style="50" bestFit="1" customWidth="1"/>
    <col min="12" max="12" width="18.5" style="50" customWidth="1"/>
    <col min="13" max="13" width="14.33203125" customWidth="1"/>
    <col min="14" max="14" width="15.6640625" customWidth="1"/>
    <col min="15" max="15" width="11" bestFit="1" customWidth="1"/>
  </cols>
  <sheetData>
    <row r="1" spans="1:2" x14ac:dyDescent="0.2">
      <c r="A1" s="10" t="s">
        <v>20</v>
      </c>
      <c r="B1" s="6">
        <v>2026</v>
      </c>
    </row>
    <row r="2" spans="1:2" x14ac:dyDescent="0.2">
      <c r="A2" s="10" t="s">
        <v>21</v>
      </c>
      <c r="B2" s="46">
        <f>CEILING(DATE(year,1,1)-6,7)+6</f>
        <v>46024</v>
      </c>
    </row>
    <row r="3" spans="1:2" x14ac:dyDescent="0.2">
      <c r="A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5636-111E-7142-A82C-8212A4BF819C}">
  <dimension ref="A1:M192"/>
  <sheetViews>
    <sheetView tabSelected="1" workbookViewId="0">
      <selection activeCell="A186" sqref="A180:O186"/>
    </sheetView>
  </sheetViews>
  <sheetFormatPr baseColWidth="10" defaultRowHeight="15" x14ac:dyDescent="0.2"/>
  <cols>
    <col min="1" max="1" width="22.5" customWidth="1"/>
  </cols>
  <sheetData>
    <row r="1" spans="1:13" x14ac:dyDescent="0.2">
      <c r="A1" s="47" t="s">
        <v>7</v>
      </c>
      <c r="B1" s="47" t="s">
        <v>8</v>
      </c>
      <c r="C1" s="47" t="s">
        <v>9</v>
      </c>
      <c r="D1" s="47" t="s">
        <v>10</v>
      </c>
      <c r="E1" s="47" t="s">
        <v>11</v>
      </c>
      <c r="F1" s="51" t="s">
        <v>12</v>
      </c>
      <c r="G1" s="51" t="s">
        <v>13</v>
      </c>
      <c r="H1" s="51" t="s">
        <v>14</v>
      </c>
      <c r="I1" s="51" t="s">
        <v>15</v>
      </c>
      <c r="J1" s="51" t="s">
        <v>16</v>
      </c>
      <c r="K1" s="47" t="s">
        <v>17</v>
      </c>
      <c r="L1" s="47" t="s">
        <v>18</v>
      </c>
      <c r="M1" s="47" t="s">
        <v>19</v>
      </c>
    </row>
    <row r="2" spans="1:13" x14ac:dyDescent="0.2">
      <c r="A2" t="s">
        <v>22</v>
      </c>
      <c r="B2">
        <v>1</v>
      </c>
      <c r="C2" t="s">
        <v>23</v>
      </c>
      <c r="D2" t="s">
        <v>24</v>
      </c>
      <c r="E2">
        <v>1314</v>
      </c>
      <c r="F2" s="48">
        <v>46113</v>
      </c>
      <c r="H2" s="48">
        <v>46142</v>
      </c>
      <c r="I2" s="48">
        <v>46145</v>
      </c>
    </row>
    <row r="3" spans="1:13" x14ac:dyDescent="0.2">
      <c r="A3" t="s">
        <v>25</v>
      </c>
      <c r="B3">
        <v>1</v>
      </c>
      <c r="C3" t="s">
        <v>23</v>
      </c>
      <c r="D3" t="s">
        <v>24</v>
      </c>
      <c r="E3">
        <v>660</v>
      </c>
      <c r="F3" s="48">
        <v>46113</v>
      </c>
      <c r="H3" s="48">
        <v>45783</v>
      </c>
      <c r="I3" s="48">
        <v>45786</v>
      </c>
    </row>
    <row r="4" spans="1:13" x14ac:dyDescent="0.2">
      <c r="A4" t="s">
        <v>25</v>
      </c>
      <c r="B4">
        <v>2</v>
      </c>
      <c r="C4" t="s">
        <v>23</v>
      </c>
      <c r="D4" t="s">
        <v>24</v>
      </c>
      <c r="E4">
        <v>1278</v>
      </c>
      <c r="F4" s="48">
        <v>46121</v>
      </c>
      <c r="H4" s="48">
        <v>45783</v>
      </c>
      <c r="I4" s="48">
        <v>45786</v>
      </c>
    </row>
    <row r="5" spans="1:13" x14ac:dyDescent="0.2">
      <c r="A5" t="s">
        <v>26</v>
      </c>
      <c r="B5">
        <v>1</v>
      </c>
      <c r="C5" t="s">
        <v>27</v>
      </c>
      <c r="D5" t="s">
        <v>28</v>
      </c>
      <c r="E5">
        <v>522</v>
      </c>
      <c r="F5" s="48">
        <v>46121</v>
      </c>
      <c r="H5" s="48">
        <v>46156</v>
      </c>
      <c r="I5" s="48">
        <v>46159</v>
      </c>
    </row>
    <row r="6" spans="1:13" x14ac:dyDescent="0.2">
      <c r="A6" t="s">
        <v>26</v>
      </c>
      <c r="B6">
        <v>1</v>
      </c>
      <c r="C6" t="s">
        <v>27</v>
      </c>
      <c r="D6" t="s">
        <v>29</v>
      </c>
      <c r="E6">
        <v>552</v>
      </c>
      <c r="F6" s="48">
        <v>46121</v>
      </c>
      <c r="H6" s="48">
        <v>46156</v>
      </c>
      <c r="I6" s="48">
        <v>46159</v>
      </c>
    </row>
    <row r="7" spans="1:13" ht="128" x14ac:dyDescent="0.2">
      <c r="A7" t="s">
        <v>26</v>
      </c>
      <c r="B7">
        <v>1</v>
      </c>
      <c r="C7" t="s">
        <v>27</v>
      </c>
      <c r="D7" t="s">
        <v>30</v>
      </c>
      <c r="E7">
        <v>600</v>
      </c>
      <c r="M7" s="49" t="s">
        <v>31</v>
      </c>
    </row>
    <row r="8" spans="1:13" x14ac:dyDescent="0.2">
      <c r="A8" t="s">
        <v>32</v>
      </c>
      <c r="B8">
        <v>1</v>
      </c>
      <c r="C8" t="s">
        <v>33</v>
      </c>
      <c r="D8" t="s">
        <v>34</v>
      </c>
      <c r="E8">
        <v>1806</v>
      </c>
      <c r="F8" s="48">
        <v>46128</v>
      </c>
      <c r="H8" s="48">
        <v>46163</v>
      </c>
      <c r="I8" s="48">
        <v>46166</v>
      </c>
      <c r="M8" t="s">
        <v>35</v>
      </c>
    </row>
    <row r="9" spans="1:13" x14ac:dyDescent="0.2">
      <c r="A9" t="s">
        <v>32</v>
      </c>
      <c r="B9">
        <v>1</v>
      </c>
      <c r="C9" t="s">
        <v>33</v>
      </c>
      <c r="D9" t="s">
        <v>36</v>
      </c>
      <c r="E9">
        <v>1440</v>
      </c>
      <c r="F9" s="48">
        <v>46132</v>
      </c>
      <c r="H9" s="48">
        <v>46167</v>
      </c>
      <c r="I9" s="48">
        <v>46170</v>
      </c>
      <c r="M9" t="s">
        <v>35</v>
      </c>
    </row>
    <row r="10" spans="1:13" x14ac:dyDescent="0.2">
      <c r="A10" t="s">
        <v>37</v>
      </c>
      <c r="B10">
        <v>1</v>
      </c>
      <c r="C10" t="s">
        <v>33</v>
      </c>
      <c r="D10" t="s">
        <v>38</v>
      </c>
      <c r="E10">
        <v>600</v>
      </c>
      <c r="F10" s="48">
        <v>46132</v>
      </c>
      <c r="H10" s="48">
        <v>46167</v>
      </c>
      <c r="I10" s="48">
        <v>46170</v>
      </c>
      <c r="M10" t="s">
        <v>39</v>
      </c>
    </row>
    <row r="11" spans="1:13" x14ac:dyDescent="0.2">
      <c r="A11" t="s">
        <v>40</v>
      </c>
      <c r="B11">
        <v>1</v>
      </c>
      <c r="C11" t="s">
        <v>33</v>
      </c>
      <c r="D11" t="s">
        <v>41</v>
      </c>
      <c r="E11">
        <v>600</v>
      </c>
      <c r="F11" s="48">
        <v>46136</v>
      </c>
      <c r="H11" s="48">
        <v>46171</v>
      </c>
      <c r="I11" s="48">
        <v>46174</v>
      </c>
      <c r="J11" s="48">
        <v>46192</v>
      </c>
      <c r="M11" t="s">
        <v>42</v>
      </c>
    </row>
    <row r="12" spans="1:13" x14ac:dyDescent="0.2">
      <c r="A12" t="s">
        <v>43</v>
      </c>
      <c r="B12">
        <v>1</v>
      </c>
      <c r="C12" t="s">
        <v>33</v>
      </c>
      <c r="D12" t="s">
        <v>44</v>
      </c>
      <c r="E12">
        <v>600</v>
      </c>
      <c r="F12" s="48">
        <v>46136</v>
      </c>
      <c r="H12" s="48">
        <v>46171</v>
      </c>
      <c r="I12" s="48">
        <v>46174</v>
      </c>
      <c r="J12" s="48">
        <v>46192</v>
      </c>
      <c r="M12" t="s">
        <v>42</v>
      </c>
    </row>
    <row r="13" spans="1:13" x14ac:dyDescent="0.2">
      <c r="A13" t="s">
        <v>43</v>
      </c>
      <c r="B13">
        <v>1</v>
      </c>
      <c r="C13" t="s">
        <v>33</v>
      </c>
      <c r="D13" t="s">
        <v>45</v>
      </c>
      <c r="E13">
        <v>600</v>
      </c>
      <c r="F13" s="48">
        <v>46136</v>
      </c>
      <c r="H13" s="48">
        <v>46171</v>
      </c>
      <c r="I13" s="48">
        <v>46174</v>
      </c>
      <c r="J13" s="48">
        <v>46192</v>
      </c>
      <c r="M13" t="s">
        <v>42</v>
      </c>
    </row>
    <row r="14" spans="1:13" x14ac:dyDescent="0.2">
      <c r="A14" t="s">
        <v>46</v>
      </c>
      <c r="B14">
        <v>1</v>
      </c>
      <c r="C14" t="s">
        <v>33</v>
      </c>
      <c r="D14" t="s">
        <v>47</v>
      </c>
      <c r="E14">
        <v>600</v>
      </c>
      <c r="F14" s="48">
        <v>46136</v>
      </c>
      <c r="H14" s="48">
        <v>46171</v>
      </c>
      <c r="I14" s="48">
        <v>46174</v>
      </c>
      <c r="J14" s="48">
        <v>46192</v>
      </c>
      <c r="M14" t="s">
        <v>42</v>
      </c>
    </row>
    <row r="15" spans="1:13" x14ac:dyDescent="0.2">
      <c r="A15" t="s">
        <v>46</v>
      </c>
      <c r="B15">
        <v>1</v>
      </c>
      <c r="C15" t="s">
        <v>33</v>
      </c>
      <c r="D15" t="s">
        <v>48</v>
      </c>
      <c r="E15">
        <v>600</v>
      </c>
      <c r="F15" s="48">
        <v>46136</v>
      </c>
      <c r="H15" s="48">
        <v>46171</v>
      </c>
      <c r="I15" s="48">
        <v>46174</v>
      </c>
      <c r="J15" s="48">
        <v>46192</v>
      </c>
      <c r="M15" t="s">
        <v>42</v>
      </c>
    </row>
    <row r="16" spans="1:13" x14ac:dyDescent="0.2">
      <c r="A16" t="s">
        <v>49</v>
      </c>
      <c r="B16">
        <v>1</v>
      </c>
      <c r="C16" t="s">
        <v>33</v>
      </c>
      <c r="D16" t="s">
        <v>50</v>
      </c>
      <c r="E16">
        <v>600</v>
      </c>
      <c r="F16" s="48">
        <v>46136</v>
      </c>
      <c r="H16" s="48">
        <v>46171</v>
      </c>
      <c r="I16" s="48">
        <v>46174</v>
      </c>
      <c r="J16" s="48">
        <v>46192</v>
      </c>
      <c r="M16" t="s">
        <v>42</v>
      </c>
    </row>
    <row r="17" spans="1:13" x14ac:dyDescent="0.2">
      <c r="A17" t="s">
        <v>51</v>
      </c>
      <c r="B17">
        <v>1</v>
      </c>
      <c r="C17" t="s">
        <v>23</v>
      </c>
      <c r="D17" t="s">
        <v>24</v>
      </c>
      <c r="E17">
        <v>1572</v>
      </c>
      <c r="F17" s="48">
        <v>46140</v>
      </c>
      <c r="H17" s="48">
        <v>46175</v>
      </c>
      <c r="I17" s="48">
        <v>46178</v>
      </c>
      <c r="J17" s="48">
        <v>46143</v>
      </c>
      <c r="M17" t="s">
        <v>52</v>
      </c>
    </row>
    <row r="18" spans="1:13" x14ac:dyDescent="0.2">
      <c r="A18" t="s">
        <v>53</v>
      </c>
      <c r="B18">
        <v>1</v>
      </c>
      <c r="C18" t="s">
        <v>33</v>
      </c>
      <c r="D18" t="s">
        <v>34</v>
      </c>
      <c r="E18">
        <v>1800</v>
      </c>
      <c r="F18" s="48">
        <v>46142</v>
      </c>
      <c r="H18" s="48">
        <v>46177</v>
      </c>
      <c r="I18" s="48">
        <v>46180</v>
      </c>
      <c r="J18" s="48">
        <v>46192</v>
      </c>
      <c r="M18" t="s">
        <v>42</v>
      </c>
    </row>
    <row r="19" spans="1:13" x14ac:dyDescent="0.2">
      <c r="A19" t="s">
        <v>53</v>
      </c>
      <c r="B19">
        <v>1</v>
      </c>
      <c r="C19" t="s">
        <v>33</v>
      </c>
      <c r="D19" t="s">
        <v>36</v>
      </c>
      <c r="E19">
        <v>600</v>
      </c>
      <c r="F19" s="48">
        <v>46142</v>
      </c>
      <c r="H19" s="48">
        <v>46177</v>
      </c>
      <c r="I19" s="48">
        <v>46180</v>
      </c>
      <c r="J19" s="48">
        <v>46192</v>
      </c>
      <c r="M19" t="s">
        <v>42</v>
      </c>
    </row>
    <row r="20" spans="1:13" x14ac:dyDescent="0.2">
      <c r="A20" t="s">
        <v>26</v>
      </c>
      <c r="B20">
        <v>1</v>
      </c>
      <c r="C20" t="s">
        <v>27</v>
      </c>
      <c r="D20" t="s">
        <v>54</v>
      </c>
      <c r="E20">
        <v>900</v>
      </c>
      <c r="F20" s="48">
        <v>46146</v>
      </c>
      <c r="H20" s="48">
        <v>46201</v>
      </c>
      <c r="I20" s="48">
        <v>46204</v>
      </c>
      <c r="M20" t="s">
        <v>55</v>
      </c>
    </row>
    <row r="21" spans="1:13" x14ac:dyDescent="0.2">
      <c r="A21" t="s">
        <v>26</v>
      </c>
      <c r="B21">
        <v>1</v>
      </c>
      <c r="C21" t="s">
        <v>27</v>
      </c>
      <c r="D21" t="s">
        <v>56</v>
      </c>
      <c r="E21">
        <v>1500</v>
      </c>
      <c r="F21" s="48">
        <v>46146</v>
      </c>
      <c r="H21" s="48">
        <v>46201</v>
      </c>
      <c r="I21" s="48">
        <v>46204</v>
      </c>
      <c r="M21" t="s">
        <v>55</v>
      </c>
    </row>
    <row r="22" spans="1:13" x14ac:dyDescent="0.2">
      <c r="A22">
        <v>4700635198</v>
      </c>
      <c r="B22">
        <v>1</v>
      </c>
      <c r="C22" t="s">
        <v>57</v>
      </c>
      <c r="D22" t="s">
        <v>58</v>
      </c>
      <c r="E22">
        <v>1800</v>
      </c>
      <c r="F22" s="48">
        <v>46150</v>
      </c>
      <c r="H22" s="48">
        <v>46185</v>
      </c>
      <c r="I22" s="48">
        <v>46188</v>
      </c>
      <c r="J22" s="48">
        <v>46174</v>
      </c>
      <c r="M22" t="s">
        <v>59</v>
      </c>
    </row>
    <row r="23" spans="1:13" x14ac:dyDescent="0.2">
      <c r="A23">
        <v>4700635176</v>
      </c>
      <c r="B23">
        <v>1</v>
      </c>
      <c r="C23" t="s">
        <v>60</v>
      </c>
      <c r="D23" t="s">
        <v>61</v>
      </c>
      <c r="E23">
        <v>1218</v>
      </c>
      <c r="F23" s="48">
        <v>46150</v>
      </c>
      <c r="H23" s="48">
        <v>46185</v>
      </c>
      <c r="I23" s="48">
        <v>46188</v>
      </c>
      <c r="J23" s="48">
        <v>46174</v>
      </c>
      <c r="M23" t="s">
        <v>59</v>
      </c>
    </row>
    <row r="24" spans="1:13" x14ac:dyDescent="0.2">
      <c r="A24">
        <v>4700635176</v>
      </c>
      <c r="B24">
        <v>1</v>
      </c>
      <c r="C24" t="s">
        <v>60</v>
      </c>
      <c r="D24" t="s">
        <v>62</v>
      </c>
      <c r="E24">
        <v>636</v>
      </c>
      <c r="F24" s="48">
        <v>46150</v>
      </c>
      <c r="H24" s="48">
        <v>46185</v>
      </c>
      <c r="I24" s="48">
        <v>46188</v>
      </c>
      <c r="J24" s="48">
        <v>46174</v>
      </c>
      <c r="M24" t="s">
        <v>59</v>
      </c>
    </row>
    <row r="25" spans="1:13" x14ac:dyDescent="0.2">
      <c r="A25">
        <v>4700641372</v>
      </c>
      <c r="B25">
        <v>1</v>
      </c>
      <c r="C25" t="s">
        <v>60</v>
      </c>
      <c r="D25" t="s">
        <v>62</v>
      </c>
      <c r="E25">
        <v>2202</v>
      </c>
      <c r="F25" s="48">
        <v>46157</v>
      </c>
      <c r="H25" s="48">
        <v>46192</v>
      </c>
      <c r="I25" s="48">
        <v>46195</v>
      </c>
      <c r="M25" t="s">
        <v>63</v>
      </c>
    </row>
    <row r="26" spans="1:13" x14ac:dyDescent="0.2">
      <c r="A26" t="s">
        <v>64</v>
      </c>
      <c r="B26">
        <v>1</v>
      </c>
      <c r="C26" t="s">
        <v>33</v>
      </c>
      <c r="D26" t="s">
        <v>50</v>
      </c>
      <c r="E26">
        <v>600</v>
      </c>
      <c r="F26" s="48">
        <v>46166</v>
      </c>
      <c r="H26" s="48">
        <v>46201</v>
      </c>
      <c r="I26" s="48">
        <v>46204</v>
      </c>
      <c r="J26" s="48">
        <v>46218</v>
      </c>
      <c r="M26" t="s">
        <v>65</v>
      </c>
    </row>
    <row r="27" spans="1:13" x14ac:dyDescent="0.2">
      <c r="A27" t="s">
        <v>66</v>
      </c>
      <c r="B27">
        <v>1</v>
      </c>
      <c r="C27" t="s">
        <v>33</v>
      </c>
      <c r="D27" t="s">
        <v>36</v>
      </c>
      <c r="E27">
        <v>600</v>
      </c>
      <c r="F27" s="48">
        <v>46166</v>
      </c>
      <c r="H27" s="48">
        <v>46201</v>
      </c>
      <c r="I27" s="48">
        <v>46204</v>
      </c>
      <c r="J27" s="48">
        <v>46218</v>
      </c>
      <c r="M27" t="s">
        <v>65</v>
      </c>
    </row>
    <row r="28" spans="1:13" x14ac:dyDescent="0.2">
      <c r="A28" t="s">
        <v>66</v>
      </c>
      <c r="B28">
        <v>1</v>
      </c>
      <c r="C28" t="s">
        <v>33</v>
      </c>
      <c r="D28" t="s">
        <v>34</v>
      </c>
      <c r="E28">
        <v>1800</v>
      </c>
      <c r="F28" s="48">
        <v>46166</v>
      </c>
      <c r="H28" s="48">
        <v>46201</v>
      </c>
      <c r="I28" s="48">
        <v>46204</v>
      </c>
      <c r="J28" s="48">
        <v>46218</v>
      </c>
      <c r="M28" t="s">
        <v>65</v>
      </c>
    </row>
    <row r="29" spans="1:13" x14ac:dyDescent="0.2">
      <c r="A29">
        <v>674703</v>
      </c>
      <c r="B29">
        <v>1</v>
      </c>
      <c r="C29" t="s">
        <v>67</v>
      </c>
      <c r="D29" t="s">
        <v>68</v>
      </c>
      <c r="E29">
        <v>2052</v>
      </c>
      <c r="F29" s="48">
        <v>46166</v>
      </c>
      <c r="H29" s="48">
        <v>46201</v>
      </c>
      <c r="I29" s="48">
        <v>46204</v>
      </c>
      <c r="J29" s="48">
        <v>46206</v>
      </c>
      <c r="M29" t="s">
        <v>69</v>
      </c>
    </row>
    <row r="30" spans="1:13" x14ac:dyDescent="0.2">
      <c r="A30">
        <v>674705</v>
      </c>
      <c r="B30">
        <v>1</v>
      </c>
      <c r="C30" t="s">
        <v>67</v>
      </c>
      <c r="D30" t="s">
        <v>68</v>
      </c>
      <c r="E30">
        <v>100</v>
      </c>
      <c r="F30" s="48">
        <v>46166</v>
      </c>
      <c r="H30" s="48">
        <v>46201</v>
      </c>
      <c r="I30" s="48">
        <v>46204</v>
      </c>
      <c r="J30" s="48">
        <v>46206</v>
      </c>
      <c r="M30" t="s">
        <v>69</v>
      </c>
    </row>
    <row r="31" spans="1:13" x14ac:dyDescent="0.2">
      <c r="A31" t="s">
        <v>70</v>
      </c>
      <c r="B31">
        <v>1</v>
      </c>
      <c r="C31" t="s">
        <v>33</v>
      </c>
      <c r="D31" t="s">
        <v>47</v>
      </c>
      <c r="E31">
        <v>600</v>
      </c>
      <c r="F31" s="48">
        <v>46172</v>
      </c>
      <c r="H31" s="48">
        <v>46207</v>
      </c>
      <c r="I31" s="48">
        <v>46210</v>
      </c>
      <c r="J31" s="48">
        <v>46218</v>
      </c>
      <c r="M31" t="s">
        <v>65</v>
      </c>
    </row>
    <row r="32" spans="1:13" x14ac:dyDescent="0.2">
      <c r="A32" t="s">
        <v>70</v>
      </c>
      <c r="B32">
        <v>1</v>
      </c>
      <c r="C32" t="s">
        <v>33</v>
      </c>
      <c r="D32" t="s">
        <v>48</v>
      </c>
      <c r="E32">
        <v>600</v>
      </c>
      <c r="F32" s="48">
        <v>46172</v>
      </c>
      <c r="H32" s="48">
        <v>46207</v>
      </c>
      <c r="I32" s="48">
        <v>46210</v>
      </c>
      <c r="J32" s="48">
        <v>46218</v>
      </c>
      <c r="M32" t="s">
        <v>65</v>
      </c>
    </row>
    <row r="33" spans="1:13" x14ac:dyDescent="0.2">
      <c r="A33" t="s">
        <v>71</v>
      </c>
      <c r="B33">
        <v>1</v>
      </c>
      <c r="C33" t="s">
        <v>33</v>
      </c>
      <c r="D33" t="s">
        <v>41</v>
      </c>
      <c r="E33">
        <v>600</v>
      </c>
      <c r="F33" s="48">
        <v>46172</v>
      </c>
      <c r="H33" s="48">
        <v>46207</v>
      </c>
      <c r="I33" s="48">
        <v>46210</v>
      </c>
      <c r="J33" s="48">
        <v>46218</v>
      </c>
      <c r="M33" t="s">
        <v>65</v>
      </c>
    </row>
    <row r="34" spans="1:13" x14ac:dyDescent="0.2">
      <c r="A34" t="s">
        <v>72</v>
      </c>
      <c r="B34">
        <v>1</v>
      </c>
      <c r="C34" t="s">
        <v>33</v>
      </c>
      <c r="D34" t="s">
        <v>44</v>
      </c>
      <c r="E34">
        <v>600</v>
      </c>
      <c r="F34" s="48">
        <v>46172</v>
      </c>
      <c r="H34" s="48">
        <v>46207</v>
      </c>
      <c r="I34" s="48">
        <v>46210</v>
      </c>
      <c r="J34" s="48">
        <v>46218</v>
      </c>
      <c r="M34" t="s">
        <v>65</v>
      </c>
    </row>
    <row r="35" spans="1:13" x14ac:dyDescent="0.2">
      <c r="A35" t="s">
        <v>72</v>
      </c>
      <c r="B35">
        <v>1</v>
      </c>
      <c r="C35" t="s">
        <v>33</v>
      </c>
      <c r="D35" t="s">
        <v>45</v>
      </c>
      <c r="E35">
        <v>600</v>
      </c>
      <c r="F35" s="48">
        <v>46172</v>
      </c>
      <c r="H35" s="48">
        <v>46207</v>
      </c>
      <c r="I35" s="48">
        <v>46210</v>
      </c>
      <c r="J35" s="48">
        <v>46218</v>
      </c>
      <c r="M35" t="s">
        <v>65</v>
      </c>
    </row>
    <row r="36" spans="1:13" x14ac:dyDescent="0.2">
      <c r="A36" t="s">
        <v>73</v>
      </c>
      <c r="B36">
        <v>1</v>
      </c>
      <c r="C36" t="s">
        <v>23</v>
      </c>
      <c r="D36" t="s">
        <v>24</v>
      </c>
      <c r="E36">
        <v>1560</v>
      </c>
      <c r="F36" s="48">
        <v>46188</v>
      </c>
      <c r="H36" s="48">
        <v>46223</v>
      </c>
      <c r="I36" s="48">
        <v>46226</v>
      </c>
      <c r="J36" s="48">
        <v>46174</v>
      </c>
      <c r="M36" t="s">
        <v>74</v>
      </c>
    </row>
    <row r="37" spans="1:13" x14ac:dyDescent="0.2">
      <c r="A37" t="s">
        <v>75</v>
      </c>
      <c r="B37">
        <v>1</v>
      </c>
      <c r="C37" t="s">
        <v>23</v>
      </c>
      <c r="D37" t="s">
        <v>76</v>
      </c>
      <c r="E37">
        <v>564</v>
      </c>
      <c r="F37" s="48">
        <v>46193</v>
      </c>
      <c r="H37" s="48">
        <v>46228</v>
      </c>
      <c r="I37" s="48">
        <v>46231</v>
      </c>
      <c r="M37" t="s">
        <v>77</v>
      </c>
    </row>
    <row r="38" spans="1:13" x14ac:dyDescent="0.2">
      <c r="A38" t="s">
        <v>78</v>
      </c>
      <c r="B38">
        <v>1</v>
      </c>
      <c r="C38" t="s">
        <v>23</v>
      </c>
      <c r="D38" t="s">
        <v>76</v>
      </c>
      <c r="E38">
        <v>474</v>
      </c>
      <c r="F38" s="48">
        <v>46193</v>
      </c>
      <c r="H38" s="48">
        <v>46228</v>
      </c>
      <c r="I38" s="48">
        <v>46231</v>
      </c>
      <c r="M38" t="s">
        <v>77</v>
      </c>
    </row>
    <row r="39" spans="1:13" x14ac:dyDescent="0.2">
      <c r="A39" t="s">
        <v>79</v>
      </c>
      <c r="B39">
        <v>1</v>
      </c>
      <c r="C39" t="s">
        <v>23</v>
      </c>
      <c r="D39" t="s">
        <v>24</v>
      </c>
      <c r="E39">
        <v>1548</v>
      </c>
      <c r="F39" s="48">
        <v>46198</v>
      </c>
      <c r="H39" s="48">
        <v>46233</v>
      </c>
      <c r="I39" s="48">
        <v>46236</v>
      </c>
      <c r="J39" s="48">
        <v>46204</v>
      </c>
      <c r="M39" t="s">
        <v>80</v>
      </c>
    </row>
    <row r="40" spans="1:13" x14ac:dyDescent="0.2">
      <c r="A40" t="s">
        <v>81</v>
      </c>
      <c r="B40">
        <v>1</v>
      </c>
      <c r="C40" t="s">
        <v>33</v>
      </c>
      <c r="D40" t="s">
        <v>48</v>
      </c>
      <c r="E40">
        <v>996</v>
      </c>
      <c r="F40" s="48">
        <v>46203</v>
      </c>
      <c r="H40" s="48">
        <v>46238</v>
      </c>
      <c r="I40" s="48">
        <v>46241</v>
      </c>
      <c r="J40" s="48">
        <v>46255</v>
      </c>
      <c r="M40" t="s">
        <v>82</v>
      </c>
    </row>
    <row r="41" spans="1:13" x14ac:dyDescent="0.2">
      <c r="A41" t="s">
        <v>81</v>
      </c>
      <c r="B41">
        <v>1</v>
      </c>
      <c r="C41" t="s">
        <v>33</v>
      </c>
      <c r="D41" t="s">
        <v>83</v>
      </c>
      <c r="E41">
        <v>600</v>
      </c>
      <c r="F41" s="48">
        <v>46203</v>
      </c>
      <c r="H41" s="48">
        <v>46238</v>
      </c>
      <c r="I41" s="48">
        <v>46241</v>
      </c>
      <c r="J41" s="48">
        <v>46255</v>
      </c>
      <c r="M41" t="s">
        <v>82</v>
      </c>
    </row>
    <row r="42" spans="1:13" x14ac:dyDescent="0.2">
      <c r="A42" t="s">
        <v>84</v>
      </c>
      <c r="B42">
        <v>1</v>
      </c>
      <c r="C42" t="s">
        <v>33</v>
      </c>
      <c r="D42" t="s">
        <v>85</v>
      </c>
      <c r="E42">
        <v>600</v>
      </c>
      <c r="F42" s="48">
        <v>46203</v>
      </c>
      <c r="H42" s="48">
        <v>46238</v>
      </c>
      <c r="I42" s="48">
        <v>46241</v>
      </c>
      <c r="J42" s="48">
        <v>46255</v>
      </c>
      <c r="M42" t="s">
        <v>82</v>
      </c>
    </row>
    <row r="43" spans="1:13" x14ac:dyDescent="0.2">
      <c r="A43" t="s">
        <v>86</v>
      </c>
      <c r="B43">
        <v>1</v>
      </c>
      <c r="C43" t="s">
        <v>33</v>
      </c>
      <c r="D43" t="s">
        <v>38</v>
      </c>
      <c r="E43">
        <v>600</v>
      </c>
      <c r="F43" s="48">
        <v>46203</v>
      </c>
      <c r="H43" s="48">
        <v>46238</v>
      </c>
      <c r="I43" s="48">
        <v>46241</v>
      </c>
      <c r="J43" s="48">
        <v>46255</v>
      </c>
      <c r="M43" t="s">
        <v>82</v>
      </c>
    </row>
    <row r="44" spans="1:13" x14ac:dyDescent="0.2">
      <c r="A44" t="s">
        <v>87</v>
      </c>
      <c r="B44">
        <v>1</v>
      </c>
      <c r="C44" t="s">
        <v>33</v>
      </c>
      <c r="D44" t="s">
        <v>34</v>
      </c>
      <c r="E44">
        <v>1662</v>
      </c>
      <c r="F44" s="48">
        <v>46203</v>
      </c>
      <c r="H44" s="48">
        <v>46238</v>
      </c>
      <c r="I44" s="48">
        <v>46241</v>
      </c>
      <c r="J44" s="48">
        <v>46255</v>
      </c>
      <c r="M44" t="s">
        <v>82</v>
      </c>
    </row>
    <row r="45" spans="1:13" x14ac:dyDescent="0.2">
      <c r="A45" t="s">
        <v>87</v>
      </c>
      <c r="B45">
        <v>1</v>
      </c>
      <c r="C45" t="s">
        <v>33</v>
      </c>
      <c r="D45" t="s">
        <v>36</v>
      </c>
      <c r="E45">
        <v>1458</v>
      </c>
      <c r="F45" s="48">
        <v>46203</v>
      </c>
      <c r="H45" s="48">
        <v>46238</v>
      </c>
      <c r="I45" s="48">
        <v>46241</v>
      </c>
      <c r="J45" s="48">
        <v>46255</v>
      </c>
      <c r="M45" t="s">
        <v>82</v>
      </c>
    </row>
    <row r="46" spans="1:13" x14ac:dyDescent="0.2">
      <c r="A46" t="s">
        <v>88</v>
      </c>
      <c r="B46">
        <v>1</v>
      </c>
      <c r="C46" t="s">
        <v>33</v>
      </c>
      <c r="D46" t="s">
        <v>89</v>
      </c>
      <c r="E46">
        <v>600</v>
      </c>
      <c r="F46" s="48">
        <v>46203</v>
      </c>
      <c r="H46" s="48">
        <v>46238</v>
      </c>
      <c r="I46" s="48">
        <v>46241</v>
      </c>
      <c r="J46" s="48">
        <v>46255</v>
      </c>
      <c r="M46" t="s">
        <v>82</v>
      </c>
    </row>
    <row r="47" spans="1:13" x14ac:dyDescent="0.2">
      <c r="A47" t="s">
        <v>90</v>
      </c>
      <c r="B47">
        <v>1</v>
      </c>
      <c r="C47" t="s">
        <v>23</v>
      </c>
      <c r="D47" t="s">
        <v>24</v>
      </c>
      <c r="E47">
        <v>1110</v>
      </c>
      <c r="F47" s="48">
        <v>46220</v>
      </c>
      <c r="H47" s="48">
        <v>46255</v>
      </c>
      <c r="I47" s="48">
        <v>46258</v>
      </c>
      <c r="J47" s="48">
        <v>46266</v>
      </c>
      <c r="M47" t="s">
        <v>91</v>
      </c>
    </row>
    <row r="48" spans="1:13" x14ac:dyDescent="0.2">
      <c r="A48">
        <v>676431</v>
      </c>
      <c r="B48">
        <v>1</v>
      </c>
      <c r="C48" t="s">
        <v>67</v>
      </c>
      <c r="D48" t="s">
        <v>68</v>
      </c>
      <c r="E48">
        <v>792</v>
      </c>
      <c r="F48" s="48">
        <v>46234</v>
      </c>
      <c r="H48" s="48">
        <v>46269</v>
      </c>
      <c r="I48" s="48">
        <v>46272</v>
      </c>
      <c r="J48" s="48">
        <v>46279</v>
      </c>
      <c r="M48" t="s">
        <v>92</v>
      </c>
    </row>
    <row r="49" spans="1:13" ht="80" x14ac:dyDescent="0.2">
      <c r="A49">
        <v>4700641424</v>
      </c>
      <c r="B49">
        <v>1</v>
      </c>
      <c r="C49" t="s">
        <v>93</v>
      </c>
      <c r="D49" t="s">
        <v>94</v>
      </c>
      <c r="E49">
        <v>300</v>
      </c>
      <c r="F49" s="48">
        <v>46234</v>
      </c>
      <c r="H49" s="48">
        <v>46269</v>
      </c>
      <c r="I49" s="48">
        <v>46272</v>
      </c>
      <c r="M49" s="49" t="s">
        <v>95</v>
      </c>
    </row>
    <row r="50" spans="1:13" x14ac:dyDescent="0.2">
      <c r="A50">
        <v>676997</v>
      </c>
      <c r="B50">
        <v>1</v>
      </c>
      <c r="C50" t="s">
        <v>67</v>
      </c>
      <c r="D50" t="s">
        <v>68</v>
      </c>
      <c r="E50">
        <v>436</v>
      </c>
      <c r="F50" s="48">
        <v>46241</v>
      </c>
      <c r="H50" s="48">
        <v>46276</v>
      </c>
      <c r="I50" s="48">
        <v>46279</v>
      </c>
      <c r="M50" t="s">
        <v>96</v>
      </c>
    </row>
    <row r="51" spans="1:13" x14ac:dyDescent="0.2">
      <c r="A51">
        <v>676998</v>
      </c>
      <c r="B51">
        <v>1</v>
      </c>
      <c r="C51" t="s">
        <v>67</v>
      </c>
      <c r="D51" t="s">
        <v>68</v>
      </c>
      <c r="E51">
        <v>76</v>
      </c>
      <c r="F51" s="48">
        <v>46241</v>
      </c>
      <c r="H51" s="48">
        <v>46276</v>
      </c>
      <c r="I51" s="48">
        <v>46279</v>
      </c>
      <c r="M51" t="s">
        <v>96</v>
      </c>
    </row>
    <row r="52" spans="1:13" x14ac:dyDescent="0.2">
      <c r="A52" t="s">
        <v>97</v>
      </c>
      <c r="B52">
        <v>1</v>
      </c>
      <c r="C52" t="s">
        <v>23</v>
      </c>
      <c r="D52" t="s">
        <v>24</v>
      </c>
      <c r="E52">
        <v>2964</v>
      </c>
      <c r="F52" s="48">
        <v>46288</v>
      </c>
      <c r="H52" s="48">
        <v>46323</v>
      </c>
      <c r="I52" s="48">
        <v>46326</v>
      </c>
      <c r="J52" s="48">
        <v>46342</v>
      </c>
      <c r="M52" t="s">
        <v>98</v>
      </c>
    </row>
    <row r="53" spans="1:13" x14ac:dyDescent="0.2">
      <c r="A53">
        <v>4500233920</v>
      </c>
      <c r="B53">
        <v>1</v>
      </c>
      <c r="C53" t="s">
        <v>99</v>
      </c>
      <c r="D53" t="s">
        <v>100</v>
      </c>
      <c r="E53">
        <v>2550</v>
      </c>
      <c r="F53" s="48">
        <v>46171</v>
      </c>
      <c r="H53" s="48">
        <v>46226</v>
      </c>
      <c r="I53" s="48">
        <v>46229</v>
      </c>
      <c r="M53" t="s">
        <v>55</v>
      </c>
    </row>
    <row r="54" spans="1:13" x14ac:dyDescent="0.2">
      <c r="A54">
        <v>4500233921</v>
      </c>
      <c r="B54">
        <v>1</v>
      </c>
      <c r="C54" t="s">
        <v>99</v>
      </c>
      <c r="D54" t="s">
        <v>101</v>
      </c>
      <c r="E54">
        <v>858</v>
      </c>
      <c r="F54" s="48">
        <v>46171</v>
      </c>
      <c r="H54" s="48">
        <v>46226</v>
      </c>
      <c r="I54" s="48">
        <v>46229</v>
      </c>
      <c r="M54" t="s">
        <v>55</v>
      </c>
    </row>
    <row r="55" spans="1:13" x14ac:dyDescent="0.2">
      <c r="A55">
        <v>4500233922</v>
      </c>
      <c r="B55">
        <v>1</v>
      </c>
      <c r="C55" t="s">
        <v>99</v>
      </c>
      <c r="D55" t="s">
        <v>102</v>
      </c>
      <c r="E55">
        <v>1008</v>
      </c>
      <c r="F55" s="48">
        <v>46171</v>
      </c>
      <c r="H55" s="48">
        <v>46226</v>
      </c>
      <c r="I55" s="48">
        <v>46229</v>
      </c>
      <c r="M55" t="s">
        <v>55</v>
      </c>
    </row>
    <row r="56" spans="1:13" x14ac:dyDescent="0.2">
      <c r="A56">
        <v>4500233923</v>
      </c>
      <c r="B56">
        <v>1</v>
      </c>
      <c r="C56" t="s">
        <v>99</v>
      </c>
      <c r="D56" t="s">
        <v>103</v>
      </c>
      <c r="E56">
        <v>684</v>
      </c>
      <c r="F56" s="48">
        <v>46171</v>
      </c>
      <c r="H56" s="48">
        <v>46226</v>
      </c>
      <c r="I56" s="48">
        <v>46229</v>
      </c>
      <c r="M56" t="s">
        <v>55</v>
      </c>
    </row>
    <row r="57" spans="1:13" ht="96" x14ac:dyDescent="0.2">
      <c r="A57" t="s">
        <v>104</v>
      </c>
      <c r="B57">
        <v>1</v>
      </c>
      <c r="C57" t="s">
        <v>27</v>
      </c>
      <c r="D57" t="s">
        <v>30</v>
      </c>
      <c r="E57">
        <v>48</v>
      </c>
      <c r="M57" s="49" t="s">
        <v>105</v>
      </c>
    </row>
    <row r="58" spans="1:13" ht="96" x14ac:dyDescent="0.2">
      <c r="A58" t="s">
        <v>104</v>
      </c>
      <c r="B58">
        <v>1</v>
      </c>
      <c r="C58" t="s">
        <v>27</v>
      </c>
      <c r="D58" t="s">
        <v>28</v>
      </c>
      <c r="E58">
        <v>54</v>
      </c>
      <c r="M58" s="49" t="s">
        <v>105</v>
      </c>
    </row>
    <row r="59" spans="1:13" ht="96" x14ac:dyDescent="0.2">
      <c r="A59" t="s">
        <v>104</v>
      </c>
      <c r="B59">
        <v>1</v>
      </c>
      <c r="C59" t="s">
        <v>27</v>
      </c>
      <c r="D59" t="s">
        <v>29</v>
      </c>
      <c r="E59">
        <v>48</v>
      </c>
      <c r="M59" s="49" t="s">
        <v>105</v>
      </c>
    </row>
    <row r="60" spans="1:13" x14ac:dyDescent="0.2">
      <c r="A60" t="s">
        <v>104</v>
      </c>
      <c r="B60">
        <v>1</v>
      </c>
      <c r="C60" t="s">
        <v>106</v>
      </c>
      <c r="D60" t="s">
        <v>107</v>
      </c>
      <c r="E60">
        <v>36</v>
      </c>
      <c r="M60" t="s">
        <v>108</v>
      </c>
    </row>
    <row r="61" spans="1:13" x14ac:dyDescent="0.2">
      <c r="A61" t="s">
        <v>104</v>
      </c>
      <c r="B61">
        <v>1</v>
      </c>
      <c r="C61" t="s">
        <v>27</v>
      </c>
      <c r="D61" t="s">
        <v>109</v>
      </c>
      <c r="E61">
        <v>600</v>
      </c>
    </row>
    <row r="62" spans="1:13" x14ac:dyDescent="0.2">
      <c r="A62" t="s">
        <v>110</v>
      </c>
      <c r="B62">
        <v>1</v>
      </c>
      <c r="C62" t="s">
        <v>27</v>
      </c>
      <c r="D62" t="s">
        <v>28</v>
      </c>
      <c r="E62">
        <v>600</v>
      </c>
    </row>
    <row r="63" spans="1:13" x14ac:dyDescent="0.2">
      <c r="A63" t="s">
        <v>110</v>
      </c>
      <c r="B63">
        <v>1</v>
      </c>
      <c r="C63" t="s">
        <v>106</v>
      </c>
      <c r="D63" t="s">
        <v>107</v>
      </c>
      <c r="E63">
        <v>300</v>
      </c>
    </row>
    <row r="64" spans="1:13" x14ac:dyDescent="0.2">
      <c r="A64" t="s">
        <v>110</v>
      </c>
      <c r="B64">
        <v>1</v>
      </c>
      <c r="C64" t="s">
        <v>27</v>
      </c>
      <c r="D64" t="s">
        <v>30</v>
      </c>
      <c r="E64">
        <v>300</v>
      </c>
    </row>
    <row r="65" spans="1:13" x14ac:dyDescent="0.2">
      <c r="A65" t="s">
        <v>111</v>
      </c>
      <c r="B65">
        <v>1</v>
      </c>
      <c r="C65" t="s">
        <v>106</v>
      </c>
      <c r="D65" t="s">
        <v>107</v>
      </c>
      <c r="E65">
        <v>300</v>
      </c>
    </row>
    <row r="66" spans="1:13" x14ac:dyDescent="0.2">
      <c r="A66" t="s">
        <v>111</v>
      </c>
      <c r="B66">
        <v>1</v>
      </c>
      <c r="C66" t="s">
        <v>27</v>
      </c>
      <c r="D66" t="s">
        <v>30</v>
      </c>
      <c r="E66">
        <v>300</v>
      </c>
    </row>
    <row r="67" spans="1:13" x14ac:dyDescent="0.2">
      <c r="A67" t="s">
        <v>112</v>
      </c>
      <c r="B67">
        <v>1</v>
      </c>
      <c r="C67" t="s">
        <v>27</v>
      </c>
      <c r="D67" t="s">
        <v>113</v>
      </c>
      <c r="E67">
        <v>600</v>
      </c>
    </row>
    <row r="68" spans="1:13" ht="64" x14ac:dyDescent="0.2">
      <c r="A68">
        <v>101</v>
      </c>
      <c r="B68">
        <v>1</v>
      </c>
      <c r="C68" t="s">
        <v>106</v>
      </c>
      <c r="D68" t="s">
        <v>114</v>
      </c>
      <c r="E68">
        <v>1392</v>
      </c>
      <c r="F68" s="48">
        <v>45433</v>
      </c>
      <c r="G68" s="48">
        <v>45451</v>
      </c>
      <c r="H68" s="48">
        <v>45482</v>
      </c>
      <c r="I68" s="48">
        <v>45485</v>
      </c>
      <c r="K68" t="s">
        <v>115</v>
      </c>
      <c r="M68" s="49" t="s">
        <v>116</v>
      </c>
    </row>
    <row r="69" spans="1:13" ht="64" x14ac:dyDescent="0.2">
      <c r="A69">
        <v>101</v>
      </c>
      <c r="B69">
        <v>1</v>
      </c>
      <c r="C69" t="s">
        <v>106</v>
      </c>
      <c r="D69" t="s">
        <v>117</v>
      </c>
      <c r="E69">
        <v>1992</v>
      </c>
      <c r="F69" s="48">
        <v>45433</v>
      </c>
      <c r="G69" s="48">
        <v>45451</v>
      </c>
      <c r="H69" s="48">
        <v>45482</v>
      </c>
      <c r="I69" s="48">
        <v>45485</v>
      </c>
      <c r="M69" s="49" t="s">
        <v>116</v>
      </c>
    </row>
    <row r="70" spans="1:13" x14ac:dyDescent="0.2">
      <c r="A70">
        <v>101</v>
      </c>
      <c r="B70">
        <v>1</v>
      </c>
      <c r="C70" t="s">
        <v>106</v>
      </c>
      <c r="D70" t="s">
        <v>114</v>
      </c>
      <c r="E70">
        <v>444</v>
      </c>
      <c r="G70" s="48">
        <v>45475</v>
      </c>
      <c r="H70" s="48">
        <v>45502</v>
      </c>
      <c r="I70" s="48">
        <v>45505</v>
      </c>
      <c r="K70" t="s">
        <v>115</v>
      </c>
      <c r="M70" t="s">
        <v>118</v>
      </c>
    </row>
    <row r="71" spans="1:13" ht="80" x14ac:dyDescent="0.2">
      <c r="A71" t="s">
        <v>119</v>
      </c>
      <c r="B71">
        <v>1</v>
      </c>
      <c r="C71" t="s">
        <v>33</v>
      </c>
      <c r="D71" t="s">
        <v>85</v>
      </c>
      <c r="E71">
        <v>1542</v>
      </c>
      <c r="F71" s="48">
        <v>45458</v>
      </c>
      <c r="G71" s="48">
        <v>45466</v>
      </c>
      <c r="H71" s="48">
        <v>45491</v>
      </c>
      <c r="I71" s="48">
        <v>45494</v>
      </c>
      <c r="K71" t="s">
        <v>115</v>
      </c>
      <c r="M71" s="49" t="s">
        <v>120</v>
      </c>
    </row>
    <row r="72" spans="1:13" x14ac:dyDescent="0.2">
      <c r="A72" t="s">
        <v>119</v>
      </c>
      <c r="B72">
        <v>1</v>
      </c>
      <c r="C72" t="s">
        <v>33</v>
      </c>
      <c r="D72" t="s">
        <v>121</v>
      </c>
      <c r="E72">
        <v>1542</v>
      </c>
      <c r="F72" s="48">
        <v>45458</v>
      </c>
    </row>
    <row r="73" spans="1:13" x14ac:dyDescent="0.2">
      <c r="A73" t="s">
        <v>122</v>
      </c>
      <c r="B73">
        <v>1</v>
      </c>
      <c r="C73" t="s">
        <v>33</v>
      </c>
      <c r="D73" t="s">
        <v>85</v>
      </c>
      <c r="E73">
        <v>600</v>
      </c>
      <c r="F73" s="48">
        <v>45496</v>
      </c>
      <c r="G73" s="48">
        <v>45509</v>
      </c>
      <c r="H73" s="48">
        <v>45536</v>
      </c>
      <c r="I73" s="48">
        <v>45539</v>
      </c>
      <c r="K73" t="s">
        <v>115</v>
      </c>
      <c r="M73" t="s">
        <v>123</v>
      </c>
    </row>
    <row r="74" spans="1:13" x14ac:dyDescent="0.2">
      <c r="A74" t="s">
        <v>122</v>
      </c>
      <c r="B74">
        <v>1</v>
      </c>
      <c r="C74" t="s">
        <v>33</v>
      </c>
      <c r="D74" t="s">
        <v>121</v>
      </c>
      <c r="E74">
        <v>600</v>
      </c>
      <c r="F74" s="48">
        <v>45496</v>
      </c>
    </row>
    <row r="75" spans="1:13" x14ac:dyDescent="0.2">
      <c r="A75">
        <v>102</v>
      </c>
      <c r="B75">
        <v>1</v>
      </c>
      <c r="C75" t="s">
        <v>106</v>
      </c>
      <c r="D75" t="s">
        <v>124</v>
      </c>
      <c r="E75">
        <v>1354</v>
      </c>
      <c r="F75" s="48">
        <v>45496</v>
      </c>
    </row>
    <row r="76" spans="1:13" x14ac:dyDescent="0.2">
      <c r="A76">
        <v>102</v>
      </c>
      <c r="B76">
        <v>1</v>
      </c>
      <c r="C76" t="s">
        <v>106</v>
      </c>
      <c r="D76" t="s">
        <v>124</v>
      </c>
      <c r="E76">
        <v>2646</v>
      </c>
      <c r="F76" s="48">
        <v>45484</v>
      </c>
      <c r="G76" s="48">
        <v>45492</v>
      </c>
      <c r="H76" s="48">
        <v>45536</v>
      </c>
      <c r="I76" s="48">
        <v>45539</v>
      </c>
      <c r="K76" t="s">
        <v>125</v>
      </c>
      <c r="M76" t="s">
        <v>126</v>
      </c>
    </row>
    <row r="77" spans="1:13" x14ac:dyDescent="0.2">
      <c r="A77">
        <v>102</v>
      </c>
      <c r="B77">
        <v>1</v>
      </c>
      <c r="C77" t="s">
        <v>106</v>
      </c>
      <c r="D77" t="s">
        <v>124</v>
      </c>
      <c r="E77">
        <v>2</v>
      </c>
      <c r="F77" s="48">
        <v>45479</v>
      </c>
      <c r="K77" t="s">
        <v>127</v>
      </c>
    </row>
    <row r="78" spans="1:13" x14ac:dyDescent="0.2">
      <c r="A78">
        <v>103</v>
      </c>
      <c r="B78">
        <v>1</v>
      </c>
      <c r="C78" t="s">
        <v>106</v>
      </c>
      <c r="D78" t="s">
        <v>124</v>
      </c>
      <c r="E78">
        <v>1182</v>
      </c>
      <c r="F78" s="48">
        <v>45545</v>
      </c>
      <c r="G78" s="48">
        <v>45563</v>
      </c>
      <c r="H78" s="48">
        <v>45593</v>
      </c>
      <c r="I78" s="48">
        <v>45596</v>
      </c>
      <c r="K78" t="s">
        <v>128</v>
      </c>
      <c r="M78" t="s">
        <v>129</v>
      </c>
    </row>
    <row r="79" spans="1:13" x14ac:dyDescent="0.2">
      <c r="A79" t="s">
        <v>130</v>
      </c>
      <c r="B79">
        <v>1</v>
      </c>
      <c r="C79" t="s">
        <v>33</v>
      </c>
      <c r="D79" t="s">
        <v>85</v>
      </c>
      <c r="E79">
        <v>840</v>
      </c>
      <c r="F79" s="48">
        <v>45573</v>
      </c>
      <c r="G79" s="48">
        <v>45579</v>
      </c>
      <c r="H79" s="48">
        <v>45604</v>
      </c>
      <c r="I79" s="48">
        <v>45607</v>
      </c>
      <c r="K79" t="s">
        <v>125</v>
      </c>
      <c r="M79" t="s">
        <v>131</v>
      </c>
    </row>
    <row r="80" spans="1:13" x14ac:dyDescent="0.2">
      <c r="A80" t="s">
        <v>130</v>
      </c>
      <c r="B80">
        <v>1</v>
      </c>
      <c r="C80" t="s">
        <v>33</v>
      </c>
      <c r="D80" t="s">
        <v>121</v>
      </c>
      <c r="E80">
        <v>840</v>
      </c>
      <c r="F80" s="48">
        <v>45573</v>
      </c>
    </row>
    <row r="81" spans="1:13" x14ac:dyDescent="0.2">
      <c r="A81">
        <v>104</v>
      </c>
      <c r="B81">
        <v>1</v>
      </c>
      <c r="C81" t="s">
        <v>106</v>
      </c>
      <c r="D81" t="s">
        <v>132</v>
      </c>
      <c r="E81">
        <v>1170</v>
      </c>
      <c r="F81" s="48">
        <v>45573</v>
      </c>
    </row>
    <row r="82" spans="1:13" x14ac:dyDescent="0.2">
      <c r="A82" t="s">
        <v>133</v>
      </c>
      <c r="B82">
        <v>1</v>
      </c>
      <c r="C82" t="s">
        <v>33</v>
      </c>
      <c r="D82" t="s">
        <v>85</v>
      </c>
      <c r="E82">
        <v>2394</v>
      </c>
      <c r="F82" s="48">
        <v>45582</v>
      </c>
      <c r="G82" s="48">
        <v>45589</v>
      </c>
      <c r="H82" s="48">
        <v>45618</v>
      </c>
      <c r="I82" s="48">
        <v>45621</v>
      </c>
      <c r="K82" t="s">
        <v>134</v>
      </c>
      <c r="M82" t="s">
        <v>135</v>
      </c>
    </row>
    <row r="83" spans="1:13" x14ac:dyDescent="0.2">
      <c r="A83" t="s">
        <v>133</v>
      </c>
      <c r="B83">
        <v>1</v>
      </c>
      <c r="C83" t="s">
        <v>33</v>
      </c>
      <c r="D83" t="s">
        <v>121</v>
      </c>
      <c r="E83">
        <v>2394</v>
      </c>
      <c r="F83" s="48">
        <v>45598</v>
      </c>
      <c r="G83" s="48">
        <v>45607</v>
      </c>
      <c r="H83" s="48">
        <v>45642</v>
      </c>
      <c r="I83" s="48">
        <v>45645</v>
      </c>
      <c r="K83" t="s">
        <v>125</v>
      </c>
      <c r="M83" t="s">
        <v>136</v>
      </c>
    </row>
    <row r="84" spans="1:13" x14ac:dyDescent="0.2">
      <c r="A84">
        <v>103</v>
      </c>
      <c r="B84">
        <v>1</v>
      </c>
      <c r="C84" t="s">
        <v>106</v>
      </c>
      <c r="D84" t="s">
        <v>124</v>
      </c>
      <c r="E84">
        <v>810</v>
      </c>
    </row>
    <row r="85" spans="1:13" x14ac:dyDescent="0.2">
      <c r="A85" t="s">
        <v>137</v>
      </c>
      <c r="B85">
        <v>1</v>
      </c>
      <c r="C85" t="s">
        <v>33</v>
      </c>
      <c r="D85" t="s">
        <v>85</v>
      </c>
      <c r="E85">
        <v>1248</v>
      </c>
      <c r="F85" s="48">
        <v>45615</v>
      </c>
      <c r="G85" s="48">
        <v>45623</v>
      </c>
      <c r="H85" s="48">
        <v>45649</v>
      </c>
      <c r="I85" s="48">
        <v>45652</v>
      </c>
      <c r="K85" t="s">
        <v>138</v>
      </c>
      <c r="M85" t="s">
        <v>139</v>
      </c>
    </row>
    <row r="86" spans="1:13" x14ac:dyDescent="0.2">
      <c r="A86" t="s">
        <v>137</v>
      </c>
      <c r="B86">
        <v>1</v>
      </c>
      <c r="C86" t="s">
        <v>33</v>
      </c>
      <c r="D86" t="s">
        <v>121</v>
      </c>
      <c r="E86">
        <v>1398</v>
      </c>
      <c r="F86" s="48">
        <v>45615</v>
      </c>
    </row>
    <row r="87" spans="1:13" x14ac:dyDescent="0.2">
      <c r="A87">
        <v>104</v>
      </c>
      <c r="B87">
        <v>1</v>
      </c>
      <c r="C87" t="s">
        <v>106</v>
      </c>
      <c r="D87" t="s">
        <v>132</v>
      </c>
      <c r="E87">
        <v>1752</v>
      </c>
      <c r="F87" s="48">
        <v>45638</v>
      </c>
      <c r="G87" s="48">
        <v>45645</v>
      </c>
      <c r="K87" t="s">
        <v>140</v>
      </c>
      <c r="M87" t="s">
        <v>141</v>
      </c>
    </row>
    <row r="88" spans="1:13" x14ac:dyDescent="0.2">
      <c r="A88" t="s">
        <v>142</v>
      </c>
      <c r="B88">
        <v>1</v>
      </c>
      <c r="C88" t="s">
        <v>33</v>
      </c>
      <c r="D88" t="s">
        <v>121</v>
      </c>
      <c r="E88">
        <v>780</v>
      </c>
      <c r="F88" s="48">
        <v>45638</v>
      </c>
    </row>
    <row r="89" spans="1:13" x14ac:dyDescent="0.2">
      <c r="A89" t="s">
        <v>143</v>
      </c>
      <c r="B89">
        <v>1</v>
      </c>
      <c r="C89" t="s">
        <v>33</v>
      </c>
      <c r="D89" t="s">
        <v>85</v>
      </c>
      <c r="E89">
        <v>1272</v>
      </c>
      <c r="F89" s="48">
        <v>45667</v>
      </c>
      <c r="G89" s="48">
        <v>45670</v>
      </c>
      <c r="K89" t="s">
        <v>115</v>
      </c>
      <c r="M89" t="s">
        <v>144</v>
      </c>
    </row>
    <row r="90" spans="1:13" x14ac:dyDescent="0.2">
      <c r="A90" t="s">
        <v>143</v>
      </c>
      <c r="B90">
        <v>1</v>
      </c>
      <c r="C90" t="s">
        <v>33</v>
      </c>
      <c r="D90" t="s">
        <v>121</v>
      </c>
      <c r="E90">
        <v>1266</v>
      </c>
      <c r="F90" s="48">
        <v>45667</v>
      </c>
    </row>
    <row r="91" spans="1:13" x14ac:dyDescent="0.2">
      <c r="A91" t="s">
        <v>145</v>
      </c>
      <c r="B91">
        <v>1</v>
      </c>
      <c r="C91" t="s">
        <v>33</v>
      </c>
      <c r="D91" t="s">
        <v>146</v>
      </c>
      <c r="E91">
        <v>1800</v>
      </c>
      <c r="F91" s="48">
        <v>45680</v>
      </c>
      <c r="G91" s="48">
        <v>45692</v>
      </c>
      <c r="K91" t="s">
        <v>147</v>
      </c>
      <c r="M91" t="s">
        <v>148</v>
      </c>
    </row>
    <row r="92" spans="1:13" x14ac:dyDescent="0.2">
      <c r="A92" t="s">
        <v>145</v>
      </c>
      <c r="B92">
        <v>1</v>
      </c>
      <c r="C92" t="s">
        <v>33</v>
      </c>
      <c r="D92" t="s">
        <v>149</v>
      </c>
      <c r="E92">
        <v>1476</v>
      </c>
      <c r="F92" s="48">
        <v>45680</v>
      </c>
    </row>
    <row r="93" spans="1:13" x14ac:dyDescent="0.2">
      <c r="A93" t="s">
        <v>150</v>
      </c>
      <c r="B93">
        <v>1</v>
      </c>
      <c r="C93" t="s">
        <v>33</v>
      </c>
      <c r="D93" t="s">
        <v>121</v>
      </c>
      <c r="E93">
        <v>1224</v>
      </c>
      <c r="F93" s="48">
        <v>45680</v>
      </c>
    </row>
    <row r="94" spans="1:13" x14ac:dyDescent="0.2">
      <c r="A94" t="s">
        <v>150</v>
      </c>
      <c r="B94">
        <v>1</v>
      </c>
      <c r="C94" t="s">
        <v>33</v>
      </c>
      <c r="D94" t="s">
        <v>121</v>
      </c>
      <c r="E94">
        <v>480</v>
      </c>
      <c r="F94" s="48">
        <v>45716</v>
      </c>
      <c r="G94" s="48">
        <v>45726</v>
      </c>
      <c r="K94" t="s">
        <v>151</v>
      </c>
      <c r="M94" t="s">
        <v>152</v>
      </c>
    </row>
    <row r="95" spans="1:13" x14ac:dyDescent="0.2">
      <c r="A95" t="s">
        <v>150</v>
      </c>
      <c r="B95">
        <v>1</v>
      </c>
      <c r="C95" t="s">
        <v>33</v>
      </c>
      <c r="D95" t="s">
        <v>85</v>
      </c>
      <c r="E95">
        <v>954</v>
      </c>
      <c r="F95" s="48">
        <v>45716</v>
      </c>
    </row>
    <row r="96" spans="1:13" x14ac:dyDescent="0.2">
      <c r="A96">
        <v>104</v>
      </c>
      <c r="B96">
        <v>1</v>
      </c>
      <c r="C96" t="s">
        <v>106</v>
      </c>
      <c r="D96" t="s">
        <v>132</v>
      </c>
      <c r="E96">
        <v>1071</v>
      </c>
      <c r="F96" s="48">
        <v>45716</v>
      </c>
    </row>
    <row r="97" spans="1:13" x14ac:dyDescent="0.2">
      <c r="A97" t="s">
        <v>153</v>
      </c>
      <c r="B97">
        <v>1</v>
      </c>
      <c r="C97" t="s">
        <v>33</v>
      </c>
      <c r="D97" t="s">
        <v>85</v>
      </c>
      <c r="E97">
        <v>1530</v>
      </c>
      <c r="F97" s="48">
        <v>45729</v>
      </c>
      <c r="G97" s="48">
        <v>45740</v>
      </c>
      <c r="K97" t="s">
        <v>154</v>
      </c>
      <c r="M97" t="s">
        <v>155</v>
      </c>
    </row>
    <row r="98" spans="1:13" x14ac:dyDescent="0.2">
      <c r="A98" t="s">
        <v>153</v>
      </c>
      <c r="B98">
        <v>1</v>
      </c>
      <c r="C98" t="s">
        <v>33</v>
      </c>
      <c r="D98" t="s">
        <v>121</v>
      </c>
      <c r="E98">
        <v>1530</v>
      </c>
      <c r="F98" s="48">
        <v>45729</v>
      </c>
    </row>
    <row r="99" spans="1:13" x14ac:dyDescent="0.2">
      <c r="A99" t="s">
        <v>153</v>
      </c>
      <c r="B99">
        <v>1</v>
      </c>
      <c r="C99" t="s">
        <v>33</v>
      </c>
      <c r="D99" t="s">
        <v>85</v>
      </c>
      <c r="E99">
        <v>1320</v>
      </c>
      <c r="F99" s="48">
        <v>45742</v>
      </c>
      <c r="G99" s="48">
        <v>45757</v>
      </c>
      <c r="H99" s="48">
        <v>45786</v>
      </c>
      <c r="I99" s="48">
        <v>45789</v>
      </c>
      <c r="K99" t="s">
        <v>154</v>
      </c>
      <c r="M99" t="s">
        <v>156</v>
      </c>
    </row>
    <row r="100" spans="1:13" x14ac:dyDescent="0.2">
      <c r="A100" t="s">
        <v>153</v>
      </c>
      <c r="B100">
        <v>1</v>
      </c>
      <c r="C100" t="s">
        <v>33</v>
      </c>
      <c r="D100" t="s">
        <v>121</v>
      </c>
      <c r="E100">
        <v>1458</v>
      </c>
      <c r="F100" s="48">
        <v>45742</v>
      </c>
    </row>
    <row r="101" spans="1:13" x14ac:dyDescent="0.2">
      <c r="A101" t="s">
        <v>153</v>
      </c>
      <c r="B101">
        <v>1</v>
      </c>
      <c r="C101" t="s">
        <v>33</v>
      </c>
      <c r="D101" t="s">
        <v>85</v>
      </c>
      <c r="E101">
        <v>150</v>
      </c>
      <c r="F101" s="48">
        <v>45750</v>
      </c>
      <c r="G101" s="48">
        <v>45757</v>
      </c>
      <c r="H101" s="48">
        <v>45792</v>
      </c>
      <c r="I101" s="48">
        <v>45795</v>
      </c>
      <c r="K101" t="s">
        <v>154</v>
      </c>
      <c r="M101" t="s">
        <v>157</v>
      </c>
    </row>
    <row r="102" spans="1:13" x14ac:dyDescent="0.2">
      <c r="A102" t="s">
        <v>153</v>
      </c>
      <c r="B102">
        <v>1</v>
      </c>
      <c r="C102" t="s">
        <v>33</v>
      </c>
      <c r="D102" t="s">
        <v>121</v>
      </c>
      <c r="E102">
        <v>486</v>
      </c>
      <c r="F102" s="48">
        <v>45750</v>
      </c>
    </row>
    <row r="103" spans="1:13" x14ac:dyDescent="0.2">
      <c r="A103" t="s">
        <v>158</v>
      </c>
      <c r="B103">
        <v>1</v>
      </c>
      <c r="C103" t="s">
        <v>33</v>
      </c>
      <c r="D103" t="s">
        <v>85</v>
      </c>
      <c r="E103">
        <v>1020</v>
      </c>
      <c r="F103" s="48">
        <v>45750</v>
      </c>
    </row>
    <row r="104" spans="1:13" x14ac:dyDescent="0.2">
      <c r="A104" t="s">
        <v>158</v>
      </c>
      <c r="B104">
        <v>1</v>
      </c>
      <c r="C104" t="s">
        <v>33</v>
      </c>
      <c r="D104" t="s">
        <v>121</v>
      </c>
      <c r="E104">
        <v>1104</v>
      </c>
      <c r="F104" s="48">
        <v>45750</v>
      </c>
    </row>
    <row r="105" spans="1:13" x14ac:dyDescent="0.2">
      <c r="A105">
        <v>1595</v>
      </c>
      <c r="B105">
        <v>1</v>
      </c>
      <c r="C105" t="s">
        <v>159</v>
      </c>
      <c r="D105" t="s">
        <v>160</v>
      </c>
      <c r="E105">
        <v>594</v>
      </c>
      <c r="F105" s="48">
        <v>45800</v>
      </c>
      <c r="G105" s="48">
        <v>45811</v>
      </c>
      <c r="K105" t="s">
        <v>140</v>
      </c>
      <c r="M105" t="s">
        <v>161</v>
      </c>
    </row>
    <row r="106" spans="1:13" x14ac:dyDescent="0.2">
      <c r="A106" t="s">
        <v>162</v>
      </c>
      <c r="B106">
        <v>1</v>
      </c>
      <c r="C106" t="s">
        <v>33</v>
      </c>
      <c r="D106" t="s">
        <v>85</v>
      </c>
      <c r="E106">
        <v>2376</v>
      </c>
    </row>
    <row r="107" spans="1:13" x14ac:dyDescent="0.2">
      <c r="A107">
        <v>4700621699</v>
      </c>
      <c r="B107">
        <v>1</v>
      </c>
      <c r="C107" t="s">
        <v>163</v>
      </c>
      <c r="D107" t="s">
        <v>164</v>
      </c>
      <c r="E107">
        <v>54</v>
      </c>
      <c r="F107" s="48">
        <v>45807</v>
      </c>
      <c r="M107" t="s">
        <v>165</v>
      </c>
    </row>
    <row r="108" spans="1:13" x14ac:dyDescent="0.2">
      <c r="A108">
        <v>4700621699</v>
      </c>
      <c r="B108">
        <v>1</v>
      </c>
      <c r="C108" t="s">
        <v>163</v>
      </c>
      <c r="D108" t="s">
        <v>164</v>
      </c>
      <c r="E108">
        <v>1953</v>
      </c>
      <c r="F108" s="48">
        <v>45820</v>
      </c>
      <c r="G108" s="48">
        <v>45825</v>
      </c>
      <c r="K108" t="s">
        <v>140</v>
      </c>
      <c r="M108" t="s">
        <v>166</v>
      </c>
    </row>
    <row r="109" spans="1:13" x14ac:dyDescent="0.2">
      <c r="A109" t="s">
        <v>167</v>
      </c>
      <c r="B109">
        <v>1</v>
      </c>
      <c r="C109" t="s">
        <v>33</v>
      </c>
      <c r="D109" t="s">
        <v>47</v>
      </c>
      <c r="E109">
        <v>678</v>
      </c>
      <c r="F109" s="48">
        <v>45820</v>
      </c>
      <c r="M109" t="s">
        <v>166</v>
      </c>
    </row>
    <row r="110" spans="1:13" x14ac:dyDescent="0.2">
      <c r="A110" t="s">
        <v>167</v>
      </c>
      <c r="B110">
        <v>1</v>
      </c>
      <c r="C110" t="s">
        <v>33</v>
      </c>
      <c r="D110" t="s">
        <v>168</v>
      </c>
      <c r="E110">
        <v>360</v>
      </c>
      <c r="F110" s="48">
        <v>45820</v>
      </c>
      <c r="M110" t="s">
        <v>166</v>
      </c>
    </row>
    <row r="111" spans="1:13" ht="64" x14ac:dyDescent="0.2">
      <c r="A111" t="s">
        <v>167</v>
      </c>
      <c r="B111">
        <v>1</v>
      </c>
      <c r="C111" t="s">
        <v>33</v>
      </c>
      <c r="D111" t="s">
        <v>168</v>
      </c>
      <c r="E111">
        <v>2700</v>
      </c>
      <c r="F111" s="48">
        <v>45825</v>
      </c>
      <c r="G111" s="48">
        <v>45832</v>
      </c>
      <c r="K111" t="s">
        <v>140</v>
      </c>
      <c r="M111" s="49" t="s">
        <v>169</v>
      </c>
    </row>
    <row r="112" spans="1:13" x14ac:dyDescent="0.2">
      <c r="A112" t="s">
        <v>167</v>
      </c>
      <c r="B112">
        <v>1</v>
      </c>
      <c r="C112" t="s">
        <v>33</v>
      </c>
      <c r="D112" t="s">
        <v>168</v>
      </c>
      <c r="E112">
        <v>2739</v>
      </c>
      <c r="F112" s="48">
        <v>45840</v>
      </c>
      <c r="G112" s="48">
        <v>45847</v>
      </c>
      <c r="K112" t="s">
        <v>140</v>
      </c>
      <c r="M112" t="s">
        <v>166</v>
      </c>
    </row>
    <row r="113" spans="1:13" x14ac:dyDescent="0.2">
      <c r="A113" t="s">
        <v>170</v>
      </c>
      <c r="B113">
        <v>1</v>
      </c>
      <c r="C113" t="s">
        <v>33</v>
      </c>
      <c r="D113" t="s">
        <v>171</v>
      </c>
      <c r="E113">
        <v>2280</v>
      </c>
      <c r="F113" s="48">
        <v>45850</v>
      </c>
      <c r="G113" s="48">
        <v>45857</v>
      </c>
      <c r="K113" t="s">
        <v>172</v>
      </c>
      <c r="M113" t="s">
        <v>173</v>
      </c>
    </row>
    <row r="114" spans="1:13" x14ac:dyDescent="0.2">
      <c r="A114">
        <v>4500230403</v>
      </c>
      <c r="B114">
        <v>1</v>
      </c>
      <c r="C114" t="s">
        <v>99</v>
      </c>
      <c r="D114" t="s">
        <v>174</v>
      </c>
      <c r="E114">
        <v>1980</v>
      </c>
      <c r="F114" s="48">
        <v>45852</v>
      </c>
      <c r="M114" t="s">
        <v>175</v>
      </c>
    </row>
    <row r="115" spans="1:13" x14ac:dyDescent="0.2">
      <c r="A115" t="s">
        <v>170</v>
      </c>
      <c r="B115">
        <v>1</v>
      </c>
      <c r="C115" t="s">
        <v>33</v>
      </c>
      <c r="D115" t="s">
        <v>171</v>
      </c>
      <c r="E115">
        <v>918</v>
      </c>
      <c r="F115" s="48">
        <v>45857</v>
      </c>
      <c r="G115" s="48">
        <v>45862</v>
      </c>
      <c r="K115" t="s">
        <v>172</v>
      </c>
      <c r="M115" t="s">
        <v>176</v>
      </c>
    </row>
    <row r="116" spans="1:13" x14ac:dyDescent="0.2">
      <c r="A116">
        <v>4500230403</v>
      </c>
      <c r="B116">
        <v>1</v>
      </c>
      <c r="C116" t="s">
        <v>99</v>
      </c>
      <c r="D116" t="s">
        <v>174</v>
      </c>
      <c r="E116">
        <v>786</v>
      </c>
      <c r="F116" s="48">
        <v>45857</v>
      </c>
      <c r="M116" t="s">
        <v>176</v>
      </c>
    </row>
    <row r="117" spans="1:13" x14ac:dyDescent="0.2">
      <c r="A117">
        <v>4500230404</v>
      </c>
      <c r="B117">
        <v>1</v>
      </c>
      <c r="C117" t="s">
        <v>99</v>
      </c>
      <c r="D117" t="s">
        <v>174</v>
      </c>
      <c r="E117">
        <v>720</v>
      </c>
      <c r="F117" s="48">
        <v>45857</v>
      </c>
      <c r="M117" t="s">
        <v>176</v>
      </c>
    </row>
    <row r="118" spans="1:13" x14ac:dyDescent="0.2">
      <c r="A118">
        <v>4500230409</v>
      </c>
      <c r="B118">
        <v>1</v>
      </c>
      <c r="C118" t="s">
        <v>99</v>
      </c>
      <c r="D118" t="s">
        <v>177</v>
      </c>
      <c r="E118">
        <v>1764</v>
      </c>
      <c r="F118" s="48">
        <v>45857</v>
      </c>
      <c r="M118" t="s">
        <v>176</v>
      </c>
    </row>
    <row r="119" spans="1:13" x14ac:dyDescent="0.2">
      <c r="A119">
        <v>4500230404</v>
      </c>
      <c r="B119">
        <v>1</v>
      </c>
      <c r="C119" t="s">
        <v>99</v>
      </c>
      <c r="D119" t="s">
        <v>174</v>
      </c>
      <c r="E119">
        <v>2604</v>
      </c>
      <c r="F119" s="48">
        <v>45869</v>
      </c>
      <c r="G119" s="48">
        <v>45880</v>
      </c>
      <c r="K119" t="s">
        <v>172</v>
      </c>
      <c r="M119" t="s">
        <v>178</v>
      </c>
    </row>
    <row r="120" spans="1:13" x14ac:dyDescent="0.2">
      <c r="A120">
        <v>4500230410</v>
      </c>
      <c r="B120">
        <v>1</v>
      </c>
      <c r="C120" t="s">
        <v>99</v>
      </c>
      <c r="D120" t="s">
        <v>177</v>
      </c>
      <c r="E120">
        <v>1038</v>
      </c>
      <c r="F120" s="48">
        <v>45869</v>
      </c>
    </row>
    <row r="121" spans="1:13" x14ac:dyDescent="0.2">
      <c r="A121">
        <v>4500230410</v>
      </c>
      <c r="B121">
        <v>1</v>
      </c>
      <c r="C121" t="s">
        <v>99</v>
      </c>
      <c r="D121" t="s">
        <v>177</v>
      </c>
      <c r="E121">
        <v>684</v>
      </c>
      <c r="F121" s="48">
        <v>45880</v>
      </c>
      <c r="K121" t="s">
        <v>172</v>
      </c>
      <c r="M121" t="s">
        <v>179</v>
      </c>
    </row>
    <row r="122" spans="1:13" ht="64" x14ac:dyDescent="0.2">
      <c r="A122" s="49" t="s">
        <v>180</v>
      </c>
      <c r="B122">
        <v>1</v>
      </c>
      <c r="C122" t="s">
        <v>99</v>
      </c>
      <c r="D122" t="s">
        <v>181</v>
      </c>
      <c r="E122">
        <v>1440</v>
      </c>
      <c r="F122" s="48">
        <v>45880</v>
      </c>
    </row>
    <row r="123" spans="1:13" x14ac:dyDescent="0.2">
      <c r="A123">
        <v>4500230407</v>
      </c>
      <c r="B123">
        <v>1</v>
      </c>
      <c r="C123" t="s">
        <v>99</v>
      </c>
      <c r="D123" t="s">
        <v>182</v>
      </c>
      <c r="E123">
        <v>786</v>
      </c>
      <c r="F123" s="48">
        <v>45880</v>
      </c>
    </row>
    <row r="124" spans="1:13" x14ac:dyDescent="0.2">
      <c r="A124" t="s">
        <v>183</v>
      </c>
      <c r="B124">
        <v>1</v>
      </c>
      <c r="C124" t="s">
        <v>33</v>
      </c>
      <c r="D124" t="s">
        <v>168</v>
      </c>
      <c r="E124">
        <v>1698</v>
      </c>
      <c r="F124" s="48">
        <v>45880</v>
      </c>
    </row>
    <row r="125" spans="1:13" ht="64" x14ac:dyDescent="0.2">
      <c r="A125" s="49" t="s">
        <v>184</v>
      </c>
      <c r="B125">
        <v>1</v>
      </c>
      <c r="C125" t="s">
        <v>99</v>
      </c>
      <c r="D125" t="s">
        <v>182</v>
      </c>
      <c r="E125">
        <v>810</v>
      </c>
      <c r="F125" s="48">
        <v>45899</v>
      </c>
      <c r="G125" s="48">
        <v>45907</v>
      </c>
      <c r="H125" s="48">
        <v>46305</v>
      </c>
      <c r="I125" s="48">
        <v>46308</v>
      </c>
      <c r="K125" t="s">
        <v>185</v>
      </c>
      <c r="M125" t="s">
        <v>186</v>
      </c>
    </row>
    <row r="126" spans="1:13" x14ac:dyDescent="0.2">
      <c r="A126" t="s">
        <v>187</v>
      </c>
      <c r="B126">
        <v>1</v>
      </c>
      <c r="C126" t="s">
        <v>106</v>
      </c>
      <c r="D126" t="s">
        <v>109</v>
      </c>
      <c r="E126">
        <v>720</v>
      </c>
      <c r="F126" s="48">
        <v>45899</v>
      </c>
    </row>
    <row r="127" spans="1:13" x14ac:dyDescent="0.2">
      <c r="A127">
        <v>4500230410</v>
      </c>
      <c r="B127">
        <v>1</v>
      </c>
      <c r="C127" t="s">
        <v>99</v>
      </c>
      <c r="D127" t="s">
        <v>177</v>
      </c>
      <c r="E127">
        <v>168</v>
      </c>
      <c r="F127" s="48">
        <v>45899</v>
      </c>
    </row>
    <row r="128" spans="1:13" x14ac:dyDescent="0.2">
      <c r="A128" t="s">
        <v>188</v>
      </c>
      <c r="B128">
        <v>1</v>
      </c>
      <c r="C128" t="s">
        <v>33</v>
      </c>
      <c r="D128" t="s">
        <v>83</v>
      </c>
      <c r="E128">
        <v>612</v>
      </c>
      <c r="F128" s="48">
        <v>45945</v>
      </c>
      <c r="G128" s="48">
        <v>46333</v>
      </c>
      <c r="H128" s="48">
        <v>46359</v>
      </c>
      <c r="I128" s="48">
        <v>46362</v>
      </c>
      <c r="K128" t="s">
        <v>115</v>
      </c>
      <c r="M128" t="s">
        <v>189</v>
      </c>
    </row>
    <row r="129" spans="1:13" x14ac:dyDescent="0.2">
      <c r="A129" t="s">
        <v>188</v>
      </c>
      <c r="B129">
        <v>1</v>
      </c>
      <c r="C129" t="s">
        <v>33</v>
      </c>
      <c r="D129" t="s">
        <v>48</v>
      </c>
      <c r="E129">
        <v>1254</v>
      </c>
      <c r="F129" s="48">
        <v>45945</v>
      </c>
    </row>
    <row r="130" spans="1:13" x14ac:dyDescent="0.2">
      <c r="A130" t="s">
        <v>190</v>
      </c>
      <c r="B130">
        <v>1</v>
      </c>
      <c r="C130" t="s">
        <v>33</v>
      </c>
      <c r="D130" t="s">
        <v>47</v>
      </c>
      <c r="E130">
        <v>966</v>
      </c>
      <c r="F130" s="48">
        <v>45945</v>
      </c>
    </row>
    <row r="131" spans="1:13" ht="64" x14ac:dyDescent="0.2">
      <c r="A131" t="s">
        <v>191</v>
      </c>
      <c r="B131">
        <v>1</v>
      </c>
      <c r="C131" t="s">
        <v>67</v>
      </c>
      <c r="D131" t="s">
        <v>68</v>
      </c>
      <c r="E131">
        <v>252</v>
      </c>
      <c r="F131" s="48">
        <v>45952</v>
      </c>
      <c r="G131" s="48">
        <v>46319</v>
      </c>
      <c r="H131" s="48">
        <v>46325</v>
      </c>
      <c r="I131" s="48">
        <v>46328</v>
      </c>
      <c r="M131" s="49" t="s">
        <v>192</v>
      </c>
    </row>
    <row r="132" spans="1:13" x14ac:dyDescent="0.2">
      <c r="A132" t="s">
        <v>190</v>
      </c>
      <c r="B132">
        <v>1</v>
      </c>
      <c r="C132" t="s">
        <v>33</v>
      </c>
      <c r="D132" t="s">
        <v>168</v>
      </c>
      <c r="E132">
        <v>1566</v>
      </c>
      <c r="F132" s="48">
        <v>45953</v>
      </c>
      <c r="G132" s="48">
        <v>46331</v>
      </c>
      <c r="H132" s="48">
        <v>46363</v>
      </c>
      <c r="I132" s="48">
        <v>46366</v>
      </c>
      <c r="K132" t="s">
        <v>154</v>
      </c>
      <c r="M132" t="s">
        <v>193</v>
      </c>
    </row>
    <row r="133" spans="1:13" x14ac:dyDescent="0.2">
      <c r="A133" t="s">
        <v>190</v>
      </c>
      <c r="B133">
        <v>1</v>
      </c>
      <c r="C133" t="s">
        <v>33</v>
      </c>
      <c r="D133" t="s">
        <v>47</v>
      </c>
      <c r="E133">
        <v>1602</v>
      </c>
      <c r="F133" s="48">
        <v>45953</v>
      </c>
    </row>
    <row r="134" spans="1:13" x14ac:dyDescent="0.2">
      <c r="A134" t="s">
        <v>194</v>
      </c>
      <c r="B134">
        <v>1</v>
      </c>
      <c r="C134" t="s">
        <v>106</v>
      </c>
      <c r="D134" t="s">
        <v>195</v>
      </c>
      <c r="E134">
        <v>600</v>
      </c>
      <c r="F134" s="48">
        <v>45961</v>
      </c>
      <c r="G134" s="48">
        <v>46334</v>
      </c>
      <c r="H134" s="48">
        <v>46364</v>
      </c>
      <c r="I134" s="48">
        <v>46367</v>
      </c>
      <c r="K134" t="s">
        <v>185</v>
      </c>
      <c r="M134" t="s">
        <v>196</v>
      </c>
    </row>
    <row r="135" spans="1:13" x14ac:dyDescent="0.2">
      <c r="A135" t="s">
        <v>197</v>
      </c>
      <c r="B135">
        <v>1</v>
      </c>
      <c r="C135" t="s">
        <v>106</v>
      </c>
      <c r="D135" t="s">
        <v>29</v>
      </c>
      <c r="E135">
        <v>600</v>
      </c>
      <c r="F135" s="48">
        <v>45961</v>
      </c>
    </row>
    <row r="136" spans="1:13" x14ac:dyDescent="0.2">
      <c r="A136" t="s">
        <v>198</v>
      </c>
      <c r="B136">
        <v>1</v>
      </c>
      <c r="C136" t="s">
        <v>33</v>
      </c>
      <c r="D136" t="s">
        <v>168</v>
      </c>
      <c r="E136">
        <v>1440</v>
      </c>
      <c r="F136" s="48">
        <v>45961</v>
      </c>
    </row>
    <row r="137" spans="1:13" x14ac:dyDescent="0.2">
      <c r="A137" t="s">
        <v>198</v>
      </c>
      <c r="B137">
        <v>1</v>
      </c>
      <c r="C137" t="s">
        <v>33</v>
      </c>
      <c r="D137" t="s">
        <v>47</v>
      </c>
      <c r="E137">
        <v>864</v>
      </c>
      <c r="F137" s="48">
        <v>45971</v>
      </c>
      <c r="G137" s="48">
        <v>46341</v>
      </c>
      <c r="H137" s="48">
        <v>46370</v>
      </c>
      <c r="I137" s="48">
        <v>46373</v>
      </c>
      <c r="K137" t="s">
        <v>154</v>
      </c>
      <c r="M137" t="s">
        <v>199</v>
      </c>
    </row>
    <row r="138" spans="1:13" x14ac:dyDescent="0.2">
      <c r="A138" t="s">
        <v>200</v>
      </c>
      <c r="B138">
        <v>1</v>
      </c>
      <c r="C138" t="s">
        <v>23</v>
      </c>
      <c r="D138" t="s">
        <v>24</v>
      </c>
      <c r="E138">
        <v>420</v>
      </c>
      <c r="F138" s="48">
        <v>45971</v>
      </c>
    </row>
    <row r="139" spans="1:13" x14ac:dyDescent="0.2">
      <c r="A139" t="s">
        <v>201</v>
      </c>
      <c r="B139">
        <v>1</v>
      </c>
      <c r="C139" t="s">
        <v>106</v>
      </c>
      <c r="D139" t="s">
        <v>202</v>
      </c>
      <c r="E139">
        <v>502</v>
      </c>
      <c r="F139" s="48">
        <v>45971</v>
      </c>
    </row>
    <row r="140" spans="1:13" x14ac:dyDescent="0.2">
      <c r="A140" t="s">
        <v>203</v>
      </c>
      <c r="B140">
        <v>1</v>
      </c>
      <c r="C140" t="s">
        <v>106</v>
      </c>
      <c r="D140" t="s">
        <v>204</v>
      </c>
      <c r="E140">
        <v>469</v>
      </c>
      <c r="F140" s="48">
        <v>45971</v>
      </c>
    </row>
    <row r="141" spans="1:13" x14ac:dyDescent="0.2">
      <c r="A141" t="s">
        <v>201</v>
      </c>
      <c r="B141">
        <v>1</v>
      </c>
      <c r="C141" t="s">
        <v>106</v>
      </c>
      <c r="D141" t="s">
        <v>202</v>
      </c>
      <c r="E141">
        <v>96</v>
      </c>
      <c r="F141" s="48">
        <v>45973</v>
      </c>
      <c r="H141" s="48">
        <v>46347</v>
      </c>
      <c r="I141" s="48">
        <v>46350</v>
      </c>
      <c r="M141" t="s">
        <v>205</v>
      </c>
    </row>
    <row r="142" spans="1:13" x14ac:dyDescent="0.2">
      <c r="A142" t="s">
        <v>203</v>
      </c>
      <c r="B142">
        <v>1</v>
      </c>
      <c r="C142" t="s">
        <v>106</v>
      </c>
      <c r="D142" t="s">
        <v>204</v>
      </c>
      <c r="E142">
        <v>129</v>
      </c>
      <c r="F142" s="48">
        <v>45973</v>
      </c>
    </row>
    <row r="143" spans="1:13" x14ac:dyDescent="0.2">
      <c r="A143" t="s">
        <v>200</v>
      </c>
      <c r="B143">
        <v>1</v>
      </c>
      <c r="C143" t="s">
        <v>23</v>
      </c>
      <c r="D143" t="s">
        <v>24</v>
      </c>
      <c r="E143">
        <v>444</v>
      </c>
      <c r="F143" s="48">
        <v>45976</v>
      </c>
      <c r="H143" s="48">
        <v>46351</v>
      </c>
      <c r="I143" s="48">
        <v>46354</v>
      </c>
      <c r="K143" t="s">
        <v>127</v>
      </c>
      <c r="M143" t="s">
        <v>206</v>
      </c>
    </row>
    <row r="144" spans="1:13" x14ac:dyDescent="0.2">
      <c r="A144" t="s">
        <v>200</v>
      </c>
      <c r="B144">
        <v>1</v>
      </c>
      <c r="C144" t="s">
        <v>23</v>
      </c>
      <c r="D144" t="s">
        <v>24</v>
      </c>
      <c r="E144">
        <v>870</v>
      </c>
      <c r="F144" s="48">
        <v>45979</v>
      </c>
      <c r="H144" s="48">
        <v>46353</v>
      </c>
      <c r="I144" s="48">
        <v>46356</v>
      </c>
      <c r="K144" t="s">
        <v>127</v>
      </c>
      <c r="M144" t="s">
        <v>207</v>
      </c>
    </row>
    <row r="145" spans="1:13" x14ac:dyDescent="0.2">
      <c r="A145" t="s">
        <v>208</v>
      </c>
      <c r="B145">
        <v>1</v>
      </c>
      <c r="C145" t="s">
        <v>23</v>
      </c>
      <c r="D145" t="s">
        <v>24</v>
      </c>
      <c r="E145">
        <v>660</v>
      </c>
      <c r="F145" s="48">
        <v>45982</v>
      </c>
      <c r="H145" s="48">
        <v>46359</v>
      </c>
      <c r="I145" s="48">
        <v>46362</v>
      </c>
      <c r="K145" t="s">
        <v>127</v>
      </c>
      <c r="M145" t="s">
        <v>209</v>
      </c>
    </row>
    <row r="146" spans="1:13" x14ac:dyDescent="0.2">
      <c r="A146" t="s">
        <v>200</v>
      </c>
      <c r="B146">
        <v>1</v>
      </c>
      <c r="C146" t="s">
        <v>23</v>
      </c>
      <c r="D146" t="s">
        <v>24</v>
      </c>
      <c r="E146">
        <v>696</v>
      </c>
      <c r="F146" s="48">
        <v>45987</v>
      </c>
      <c r="G146" s="48">
        <v>46362</v>
      </c>
      <c r="H146" s="48">
        <v>46026</v>
      </c>
      <c r="I146" s="48">
        <v>46029</v>
      </c>
      <c r="K146" t="s">
        <v>210</v>
      </c>
      <c r="M146" t="s">
        <v>211</v>
      </c>
    </row>
    <row r="147" spans="1:13" x14ac:dyDescent="0.2">
      <c r="A147" t="s">
        <v>208</v>
      </c>
      <c r="B147">
        <v>1</v>
      </c>
      <c r="C147" t="s">
        <v>23</v>
      </c>
      <c r="D147" t="s">
        <v>24</v>
      </c>
      <c r="E147">
        <v>624</v>
      </c>
      <c r="F147" s="48">
        <v>45987</v>
      </c>
    </row>
    <row r="148" spans="1:13" x14ac:dyDescent="0.2">
      <c r="A148" t="s">
        <v>212</v>
      </c>
      <c r="B148">
        <v>1</v>
      </c>
      <c r="C148" t="s">
        <v>213</v>
      </c>
      <c r="D148" t="s">
        <v>214</v>
      </c>
      <c r="E148">
        <v>600</v>
      </c>
      <c r="F148" s="48">
        <v>45987</v>
      </c>
    </row>
    <row r="149" spans="1:13" x14ac:dyDescent="0.2">
      <c r="A149" t="s">
        <v>198</v>
      </c>
      <c r="B149">
        <v>1</v>
      </c>
      <c r="C149" t="s">
        <v>33</v>
      </c>
      <c r="D149" t="s">
        <v>168</v>
      </c>
      <c r="E149">
        <v>480</v>
      </c>
      <c r="F149" s="48">
        <v>45987</v>
      </c>
    </row>
    <row r="150" spans="1:13" x14ac:dyDescent="0.2">
      <c r="A150" t="s">
        <v>208</v>
      </c>
      <c r="B150">
        <v>1</v>
      </c>
      <c r="C150" t="s">
        <v>23</v>
      </c>
      <c r="D150" t="s">
        <v>24</v>
      </c>
      <c r="E150">
        <v>1218</v>
      </c>
      <c r="F150" s="48">
        <v>45989</v>
      </c>
      <c r="G150" s="48">
        <v>46365</v>
      </c>
      <c r="H150" s="48">
        <v>46030</v>
      </c>
      <c r="I150" s="48">
        <v>46033</v>
      </c>
      <c r="K150" t="s">
        <v>140</v>
      </c>
      <c r="M150" t="s">
        <v>215</v>
      </c>
    </row>
    <row r="151" spans="1:13" x14ac:dyDescent="0.2">
      <c r="A151" t="s">
        <v>216</v>
      </c>
      <c r="B151">
        <v>1</v>
      </c>
      <c r="C151" t="s">
        <v>106</v>
      </c>
      <c r="D151" t="s">
        <v>30</v>
      </c>
      <c r="E151">
        <v>279</v>
      </c>
      <c r="F151" s="48">
        <v>45989</v>
      </c>
    </row>
    <row r="152" spans="1:13" x14ac:dyDescent="0.2">
      <c r="A152" t="s">
        <v>198</v>
      </c>
      <c r="B152">
        <v>1</v>
      </c>
      <c r="C152" t="s">
        <v>33</v>
      </c>
      <c r="D152" t="s">
        <v>168</v>
      </c>
      <c r="E152">
        <v>2598</v>
      </c>
      <c r="F152" s="48">
        <v>46008</v>
      </c>
      <c r="G152" s="48">
        <v>46377</v>
      </c>
      <c r="H152" s="48">
        <v>46043</v>
      </c>
      <c r="I152" s="48">
        <v>46046</v>
      </c>
      <c r="K152" t="s">
        <v>140</v>
      </c>
      <c r="M152" t="s">
        <v>217</v>
      </c>
    </row>
    <row r="153" spans="1:13" x14ac:dyDescent="0.2">
      <c r="A153" t="s">
        <v>218</v>
      </c>
      <c r="B153">
        <v>1</v>
      </c>
      <c r="C153" t="s">
        <v>106</v>
      </c>
      <c r="D153" t="s">
        <v>107</v>
      </c>
      <c r="E153">
        <v>144</v>
      </c>
      <c r="F153" s="48">
        <v>46008</v>
      </c>
    </row>
    <row r="154" spans="1:13" x14ac:dyDescent="0.2">
      <c r="A154" t="s">
        <v>191</v>
      </c>
      <c r="B154">
        <v>1</v>
      </c>
      <c r="C154" t="s">
        <v>67</v>
      </c>
      <c r="D154" t="s">
        <v>68</v>
      </c>
      <c r="E154">
        <v>240</v>
      </c>
      <c r="F154" s="48">
        <v>46008</v>
      </c>
    </row>
    <row r="155" spans="1:13" x14ac:dyDescent="0.2">
      <c r="A155" t="s">
        <v>191</v>
      </c>
      <c r="B155">
        <v>1</v>
      </c>
      <c r="C155" t="s">
        <v>67</v>
      </c>
      <c r="D155" t="s">
        <v>68</v>
      </c>
      <c r="E155">
        <v>1088</v>
      </c>
      <c r="F155" s="48">
        <v>46009</v>
      </c>
      <c r="G155" s="48">
        <v>46377</v>
      </c>
      <c r="H155" s="48">
        <v>46043</v>
      </c>
      <c r="I155" s="48">
        <v>46046</v>
      </c>
      <c r="K155" t="s">
        <v>125</v>
      </c>
      <c r="M155" t="s">
        <v>219</v>
      </c>
    </row>
    <row r="156" spans="1:13" x14ac:dyDescent="0.2">
      <c r="A156" t="s">
        <v>198</v>
      </c>
      <c r="B156">
        <v>1</v>
      </c>
      <c r="C156" t="s">
        <v>33</v>
      </c>
      <c r="D156" t="s">
        <v>168</v>
      </c>
      <c r="E156">
        <v>1200</v>
      </c>
      <c r="F156" s="48">
        <v>46009</v>
      </c>
    </row>
    <row r="157" spans="1:13" x14ac:dyDescent="0.2">
      <c r="A157" t="s">
        <v>198</v>
      </c>
      <c r="B157">
        <v>1</v>
      </c>
      <c r="C157" t="s">
        <v>33</v>
      </c>
      <c r="D157" t="s">
        <v>168</v>
      </c>
      <c r="E157">
        <v>3000</v>
      </c>
      <c r="F157" s="48">
        <v>46018</v>
      </c>
      <c r="G157" s="48">
        <v>46387</v>
      </c>
      <c r="H157" s="48">
        <v>46050</v>
      </c>
      <c r="I157" s="48">
        <v>46053</v>
      </c>
      <c r="K157" t="s">
        <v>125</v>
      </c>
      <c r="M157" t="s">
        <v>220</v>
      </c>
    </row>
    <row r="158" spans="1:13" x14ac:dyDescent="0.2">
      <c r="A158" t="s">
        <v>218</v>
      </c>
      <c r="B158">
        <v>1</v>
      </c>
      <c r="C158" t="s">
        <v>106</v>
      </c>
      <c r="D158" t="s">
        <v>107</v>
      </c>
      <c r="E158">
        <v>60</v>
      </c>
      <c r="F158" s="48">
        <v>46020</v>
      </c>
      <c r="H158" s="48">
        <v>46030</v>
      </c>
      <c r="I158" s="48">
        <v>46033</v>
      </c>
      <c r="K158" t="s">
        <v>127</v>
      </c>
      <c r="M158" t="s">
        <v>221</v>
      </c>
    </row>
    <row r="159" spans="1:13" x14ac:dyDescent="0.2">
      <c r="A159" t="s">
        <v>222</v>
      </c>
      <c r="B159">
        <v>1</v>
      </c>
      <c r="C159" t="s">
        <v>106</v>
      </c>
      <c r="D159" t="s">
        <v>223</v>
      </c>
      <c r="E159">
        <v>282</v>
      </c>
    </row>
    <row r="160" spans="1:13" x14ac:dyDescent="0.2">
      <c r="A160" t="s">
        <v>198</v>
      </c>
      <c r="B160">
        <v>1</v>
      </c>
      <c r="C160" t="s">
        <v>33</v>
      </c>
      <c r="D160" t="s">
        <v>168</v>
      </c>
      <c r="E160">
        <v>2634</v>
      </c>
      <c r="F160" s="48">
        <v>46022</v>
      </c>
      <c r="G160" s="48">
        <v>46027</v>
      </c>
      <c r="H160" s="48">
        <v>46056</v>
      </c>
      <c r="I160" s="48">
        <v>46059</v>
      </c>
      <c r="K160" t="s">
        <v>125</v>
      </c>
      <c r="M160" t="s">
        <v>224</v>
      </c>
    </row>
    <row r="161" spans="1:13" x14ac:dyDescent="0.2">
      <c r="A161" t="s">
        <v>225</v>
      </c>
      <c r="B161">
        <v>1</v>
      </c>
      <c r="C161" t="s">
        <v>106</v>
      </c>
      <c r="D161" t="s">
        <v>223</v>
      </c>
      <c r="E161">
        <v>318</v>
      </c>
    </row>
    <row r="162" spans="1:13" x14ac:dyDescent="0.2">
      <c r="A162" t="s">
        <v>216</v>
      </c>
      <c r="B162">
        <v>1</v>
      </c>
      <c r="C162" t="s">
        <v>27</v>
      </c>
      <c r="D162" t="s">
        <v>30</v>
      </c>
      <c r="E162">
        <v>318</v>
      </c>
      <c r="F162" s="48">
        <v>46034</v>
      </c>
      <c r="G162" s="48">
        <v>46038</v>
      </c>
      <c r="H162" s="48">
        <v>46058</v>
      </c>
      <c r="I162" s="48">
        <v>46061</v>
      </c>
      <c r="K162" t="s">
        <v>125</v>
      </c>
      <c r="M162" t="s">
        <v>226</v>
      </c>
    </row>
    <row r="163" spans="1:13" x14ac:dyDescent="0.2">
      <c r="A163">
        <v>4700626667</v>
      </c>
      <c r="B163">
        <v>1</v>
      </c>
      <c r="C163" t="s">
        <v>93</v>
      </c>
      <c r="D163" t="s">
        <v>94</v>
      </c>
      <c r="E163">
        <v>600</v>
      </c>
    </row>
    <row r="164" spans="1:13" x14ac:dyDescent="0.2">
      <c r="A164" t="s">
        <v>227</v>
      </c>
      <c r="B164">
        <v>1</v>
      </c>
      <c r="C164" t="s">
        <v>33</v>
      </c>
      <c r="D164" t="s">
        <v>47</v>
      </c>
      <c r="E164">
        <v>540</v>
      </c>
    </row>
    <row r="165" spans="1:13" x14ac:dyDescent="0.2">
      <c r="A165">
        <v>671563</v>
      </c>
      <c r="B165">
        <v>1</v>
      </c>
      <c r="C165" t="s">
        <v>67</v>
      </c>
      <c r="D165" t="s">
        <v>68</v>
      </c>
      <c r="E165">
        <v>44</v>
      </c>
    </row>
    <row r="166" spans="1:13" x14ac:dyDescent="0.2">
      <c r="A166">
        <v>671566</v>
      </c>
      <c r="B166">
        <v>1</v>
      </c>
      <c r="C166" t="s">
        <v>67</v>
      </c>
      <c r="D166" t="s">
        <v>68</v>
      </c>
      <c r="E166">
        <v>120</v>
      </c>
    </row>
    <row r="167" spans="1:13" x14ac:dyDescent="0.2">
      <c r="A167">
        <v>671614</v>
      </c>
      <c r="B167">
        <v>1</v>
      </c>
      <c r="C167" t="s">
        <v>67</v>
      </c>
      <c r="D167" t="s">
        <v>68</v>
      </c>
      <c r="E167">
        <v>488</v>
      </c>
    </row>
    <row r="168" spans="1:13" x14ac:dyDescent="0.2">
      <c r="A168" t="s">
        <v>227</v>
      </c>
      <c r="B168">
        <v>1</v>
      </c>
      <c r="C168" t="s">
        <v>33</v>
      </c>
      <c r="D168" t="s">
        <v>168</v>
      </c>
      <c r="E168">
        <v>2676</v>
      </c>
      <c r="F168" s="48">
        <v>46036</v>
      </c>
      <c r="G168" s="48">
        <v>46039</v>
      </c>
      <c r="H168" s="48">
        <v>46066</v>
      </c>
      <c r="I168" s="48">
        <v>46069</v>
      </c>
      <c r="K168" t="s">
        <v>140</v>
      </c>
      <c r="M168" t="s">
        <v>228</v>
      </c>
    </row>
    <row r="169" spans="1:13" x14ac:dyDescent="0.2">
      <c r="A169" t="s">
        <v>227</v>
      </c>
      <c r="B169">
        <v>1</v>
      </c>
      <c r="C169" t="s">
        <v>33</v>
      </c>
      <c r="D169" t="s">
        <v>47</v>
      </c>
      <c r="E169">
        <v>972</v>
      </c>
      <c r="F169" s="48">
        <v>46048</v>
      </c>
      <c r="G169" s="48">
        <v>46052</v>
      </c>
      <c r="H169" s="48">
        <v>46076</v>
      </c>
      <c r="I169" s="48">
        <v>46079</v>
      </c>
      <c r="K169" t="s">
        <v>229</v>
      </c>
      <c r="M169" t="s">
        <v>230</v>
      </c>
    </row>
    <row r="170" spans="1:13" x14ac:dyDescent="0.2">
      <c r="A170" t="s">
        <v>231</v>
      </c>
      <c r="B170">
        <v>1</v>
      </c>
      <c r="C170" t="s">
        <v>33</v>
      </c>
      <c r="D170" t="s">
        <v>47</v>
      </c>
      <c r="E170">
        <v>606</v>
      </c>
      <c r="F170" s="48">
        <v>46048</v>
      </c>
    </row>
    <row r="171" spans="1:13" x14ac:dyDescent="0.2">
      <c r="A171" t="s">
        <v>231</v>
      </c>
      <c r="B171">
        <v>1</v>
      </c>
      <c r="C171" t="s">
        <v>33</v>
      </c>
      <c r="D171" t="s">
        <v>48</v>
      </c>
      <c r="E171">
        <v>612</v>
      </c>
      <c r="F171" s="48">
        <v>46048</v>
      </c>
    </row>
    <row r="172" spans="1:13" x14ac:dyDescent="0.2">
      <c r="A172" t="s">
        <v>232</v>
      </c>
      <c r="B172">
        <v>1</v>
      </c>
      <c r="C172" t="s">
        <v>33</v>
      </c>
      <c r="D172" t="s">
        <v>50</v>
      </c>
      <c r="E172">
        <v>600</v>
      </c>
      <c r="F172" s="48">
        <v>46048</v>
      </c>
    </row>
    <row r="173" spans="1:13" x14ac:dyDescent="0.2">
      <c r="A173" t="s">
        <v>233</v>
      </c>
      <c r="B173">
        <v>1</v>
      </c>
      <c r="C173" t="s">
        <v>33</v>
      </c>
      <c r="D173" t="s">
        <v>41</v>
      </c>
      <c r="E173">
        <v>930</v>
      </c>
      <c r="F173" s="48">
        <v>46057</v>
      </c>
      <c r="G173" s="48">
        <v>46064</v>
      </c>
      <c r="H173" s="48">
        <v>46081</v>
      </c>
      <c r="I173" s="48">
        <v>46084</v>
      </c>
      <c r="K173" t="s">
        <v>234</v>
      </c>
      <c r="M173" t="s">
        <v>235</v>
      </c>
    </row>
    <row r="174" spans="1:13" x14ac:dyDescent="0.2">
      <c r="A174">
        <v>4700626667</v>
      </c>
      <c r="B174">
        <v>1</v>
      </c>
      <c r="C174" t="s">
        <v>93</v>
      </c>
      <c r="D174" t="s">
        <v>236</v>
      </c>
      <c r="E174">
        <v>480</v>
      </c>
      <c r="F174" s="48">
        <v>46058</v>
      </c>
      <c r="G174" s="48">
        <v>46064</v>
      </c>
      <c r="H174" s="48">
        <v>46081</v>
      </c>
      <c r="I174" s="48">
        <v>46084</v>
      </c>
      <c r="M174" t="s">
        <v>237</v>
      </c>
    </row>
    <row r="175" spans="1:13" x14ac:dyDescent="0.2">
      <c r="A175" t="s">
        <v>238</v>
      </c>
      <c r="B175">
        <v>1</v>
      </c>
      <c r="C175" t="s">
        <v>33</v>
      </c>
      <c r="D175" t="s">
        <v>44</v>
      </c>
      <c r="E175">
        <v>654</v>
      </c>
      <c r="F175" s="48">
        <v>46058</v>
      </c>
    </row>
    <row r="176" spans="1:13" x14ac:dyDescent="0.2">
      <c r="A176" t="s">
        <v>238</v>
      </c>
      <c r="B176">
        <v>1</v>
      </c>
      <c r="C176" t="s">
        <v>33</v>
      </c>
      <c r="D176" t="s">
        <v>45</v>
      </c>
      <c r="E176">
        <v>642</v>
      </c>
      <c r="F176" s="48">
        <v>46058</v>
      </c>
    </row>
    <row r="177" spans="1:13" x14ac:dyDescent="0.2">
      <c r="A177" t="s">
        <v>239</v>
      </c>
      <c r="B177">
        <v>1</v>
      </c>
      <c r="C177" t="s">
        <v>33</v>
      </c>
      <c r="D177" t="s">
        <v>47</v>
      </c>
      <c r="E177">
        <v>624</v>
      </c>
      <c r="F177" s="48">
        <v>46058</v>
      </c>
    </row>
    <row r="178" spans="1:13" x14ac:dyDescent="0.2">
      <c r="A178" t="s">
        <v>239</v>
      </c>
      <c r="B178">
        <v>1</v>
      </c>
      <c r="C178" t="s">
        <v>33</v>
      </c>
      <c r="D178" t="s">
        <v>168</v>
      </c>
      <c r="E178">
        <v>648</v>
      </c>
      <c r="F178" s="48">
        <v>46058</v>
      </c>
    </row>
    <row r="179" spans="1:13" x14ac:dyDescent="0.2">
      <c r="A179" t="s">
        <v>240</v>
      </c>
      <c r="B179">
        <v>1</v>
      </c>
      <c r="C179" t="s">
        <v>33</v>
      </c>
      <c r="D179" t="s">
        <v>241</v>
      </c>
      <c r="E179">
        <v>2508</v>
      </c>
      <c r="F179" s="48">
        <v>46064</v>
      </c>
      <c r="G179" s="48">
        <v>46073</v>
      </c>
      <c r="H179" s="48">
        <v>46101</v>
      </c>
      <c r="I179" s="48">
        <v>46104</v>
      </c>
      <c r="K179" t="s">
        <v>242</v>
      </c>
      <c r="M179" t="s">
        <v>243</v>
      </c>
    </row>
    <row r="180" spans="1:13" x14ac:dyDescent="0.2">
      <c r="A180" s="52" t="s">
        <v>244</v>
      </c>
      <c r="B180" s="52">
        <v>1</v>
      </c>
      <c r="C180" s="52" t="s">
        <v>33</v>
      </c>
      <c r="D180" s="52" t="s">
        <v>47</v>
      </c>
      <c r="E180" s="52">
        <v>210</v>
      </c>
      <c r="F180" s="53">
        <v>46064</v>
      </c>
      <c r="G180" s="52"/>
      <c r="H180" s="52"/>
      <c r="I180" s="52"/>
      <c r="J180" s="52"/>
      <c r="K180" s="52"/>
      <c r="L180" s="52"/>
      <c r="M180" s="52"/>
    </row>
    <row r="181" spans="1:13" x14ac:dyDescent="0.2">
      <c r="A181" s="52" t="s">
        <v>244</v>
      </c>
      <c r="B181" s="52">
        <v>1</v>
      </c>
      <c r="C181" s="52" t="s">
        <v>33</v>
      </c>
      <c r="D181" s="52" t="s">
        <v>47</v>
      </c>
      <c r="E181" s="52">
        <v>474</v>
      </c>
      <c r="F181" s="53">
        <v>46064</v>
      </c>
      <c r="G181" s="53">
        <v>46073</v>
      </c>
      <c r="H181" s="53">
        <v>46101</v>
      </c>
      <c r="I181" s="53">
        <v>46104</v>
      </c>
      <c r="J181" s="52"/>
      <c r="K181" s="52" t="s">
        <v>128</v>
      </c>
      <c r="L181" s="52"/>
      <c r="M181" s="52" t="s">
        <v>243</v>
      </c>
    </row>
    <row r="182" spans="1:13" x14ac:dyDescent="0.2">
      <c r="A182" s="52" t="s">
        <v>244</v>
      </c>
      <c r="B182" s="52">
        <v>1</v>
      </c>
      <c r="C182" s="52" t="s">
        <v>33</v>
      </c>
      <c r="D182" s="52" t="s">
        <v>168</v>
      </c>
      <c r="E182" s="52">
        <v>684</v>
      </c>
      <c r="F182" s="53">
        <v>46064</v>
      </c>
      <c r="G182" s="52"/>
      <c r="H182" s="52"/>
      <c r="I182" s="52"/>
      <c r="J182" s="52"/>
      <c r="K182" s="52"/>
      <c r="L182" s="52"/>
      <c r="M182" s="52"/>
    </row>
    <row r="183" spans="1:13" x14ac:dyDescent="0.2">
      <c r="A183" s="52" t="s">
        <v>245</v>
      </c>
      <c r="B183" s="52">
        <v>1</v>
      </c>
      <c r="C183" s="52" t="s">
        <v>33</v>
      </c>
      <c r="D183" s="52" t="s">
        <v>44</v>
      </c>
      <c r="E183" s="52">
        <v>684</v>
      </c>
      <c r="F183" s="53">
        <v>46093</v>
      </c>
      <c r="G183" s="53">
        <v>46096</v>
      </c>
      <c r="H183" s="52"/>
      <c r="I183" s="52"/>
      <c r="J183" s="52"/>
      <c r="K183" s="52" t="s">
        <v>140</v>
      </c>
      <c r="L183" s="52"/>
      <c r="M183" s="52" t="s">
        <v>246</v>
      </c>
    </row>
    <row r="184" spans="1:13" x14ac:dyDescent="0.2">
      <c r="A184" s="52" t="s">
        <v>245</v>
      </c>
      <c r="B184" s="52">
        <v>1</v>
      </c>
      <c r="C184" s="52" t="s">
        <v>33</v>
      </c>
      <c r="D184" s="52" t="s">
        <v>45</v>
      </c>
      <c r="E184" s="52">
        <v>624</v>
      </c>
      <c r="F184" s="53">
        <v>46093</v>
      </c>
      <c r="G184" s="52"/>
      <c r="H184" s="52"/>
      <c r="I184" s="52"/>
      <c r="J184" s="52"/>
      <c r="K184" s="52"/>
      <c r="L184" s="52"/>
      <c r="M184" s="52"/>
    </row>
    <row r="185" spans="1:13" x14ac:dyDescent="0.2">
      <c r="A185" s="52" t="s">
        <v>247</v>
      </c>
      <c r="B185" s="52">
        <v>1</v>
      </c>
      <c r="C185" s="52" t="s">
        <v>33</v>
      </c>
      <c r="D185" s="52" t="s">
        <v>41</v>
      </c>
      <c r="E185" s="52">
        <v>696</v>
      </c>
      <c r="F185" s="53">
        <v>46093</v>
      </c>
      <c r="G185" s="52"/>
      <c r="H185" s="52"/>
      <c r="I185" s="52"/>
      <c r="J185" s="52"/>
      <c r="K185" s="52"/>
      <c r="L185" s="52"/>
      <c r="M185" s="52"/>
    </row>
    <row r="186" spans="1:13" x14ac:dyDescent="0.2">
      <c r="A186" s="52" t="s">
        <v>248</v>
      </c>
      <c r="B186" s="52">
        <v>1</v>
      </c>
      <c r="C186" s="52" t="s">
        <v>33</v>
      </c>
      <c r="D186" s="52" t="s">
        <v>50</v>
      </c>
      <c r="E186" s="52">
        <v>840</v>
      </c>
      <c r="F186" s="53">
        <v>46093</v>
      </c>
      <c r="G186" s="52"/>
      <c r="H186" s="52"/>
      <c r="I186" s="52"/>
      <c r="J186" s="52"/>
      <c r="K186" s="52"/>
      <c r="L186" s="52"/>
      <c r="M186" s="52"/>
    </row>
    <row r="187" spans="1:13" x14ac:dyDescent="0.2">
      <c r="A187" s="52" t="s">
        <v>248</v>
      </c>
      <c r="B187" s="52">
        <v>1</v>
      </c>
      <c r="C187" s="52" t="s">
        <v>33</v>
      </c>
      <c r="D187" s="52" t="s">
        <v>50</v>
      </c>
      <c r="E187" s="52">
        <v>1788</v>
      </c>
      <c r="F187" s="53">
        <v>46107</v>
      </c>
      <c r="G187" s="52"/>
      <c r="H187" s="53">
        <v>46132</v>
      </c>
      <c r="I187" s="53">
        <v>46135</v>
      </c>
      <c r="J187" s="52"/>
      <c r="K187" s="52" t="s">
        <v>140</v>
      </c>
      <c r="L187" s="52" t="s">
        <v>249</v>
      </c>
      <c r="M187" s="52" t="s">
        <v>250</v>
      </c>
    </row>
    <row r="188" spans="1:13" x14ac:dyDescent="0.2">
      <c r="A188" s="52" t="s">
        <v>22</v>
      </c>
      <c r="B188" s="52">
        <v>1</v>
      </c>
      <c r="C188" s="52" t="s">
        <v>23</v>
      </c>
      <c r="D188" s="52" t="s">
        <v>24</v>
      </c>
      <c r="E188" s="52">
        <v>600</v>
      </c>
      <c r="F188" s="53">
        <v>46107</v>
      </c>
      <c r="G188" s="52"/>
      <c r="H188" s="52"/>
      <c r="I188" s="52"/>
      <c r="J188" s="52"/>
      <c r="K188" s="52"/>
      <c r="L188" s="52"/>
      <c r="M188" s="52"/>
    </row>
    <row r="189" spans="1:13" x14ac:dyDescent="0.2">
      <c r="A189">
        <v>671558</v>
      </c>
      <c r="B189">
        <v>1</v>
      </c>
      <c r="C189" t="s">
        <v>67</v>
      </c>
      <c r="D189" t="s">
        <v>68</v>
      </c>
      <c r="E189">
        <v>1184</v>
      </c>
      <c r="F189" s="48">
        <v>46108</v>
      </c>
      <c r="H189" s="48">
        <v>46132</v>
      </c>
      <c r="I189" s="48">
        <v>46135</v>
      </c>
      <c r="K189" t="s">
        <v>140</v>
      </c>
      <c r="L189" t="s">
        <v>251</v>
      </c>
      <c r="M189" t="s">
        <v>252</v>
      </c>
    </row>
    <row r="190" spans="1:13" x14ac:dyDescent="0.2">
      <c r="A190" t="s">
        <v>22</v>
      </c>
      <c r="B190">
        <v>1</v>
      </c>
      <c r="C190" t="s">
        <v>23</v>
      </c>
      <c r="D190" t="s">
        <v>24</v>
      </c>
      <c r="E190">
        <v>396</v>
      </c>
      <c r="F190" s="48">
        <v>46108</v>
      </c>
    </row>
    <row r="191" spans="1:13" x14ac:dyDescent="0.2">
      <c r="A191" t="s">
        <v>26</v>
      </c>
      <c r="B191">
        <v>1</v>
      </c>
      <c r="C191" t="s">
        <v>27</v>
      </c>
      <c r="D191" t="s">
        <v>28</v>
      </c>
      <c r="E191">
        <v>78</v>
      </c>
      <c r="F191" s="48">
        <v>46111</v>
      </c>
      <c r="K191" t="s">
        <v>127</v>
      </c>
      <c r="M191" t="s">
        <v>253</v>
      </c>
    </row>
    <row r="192" spans="1:13" x14ac:dyDescent="0.2">
      <c r="A192" t="s">
        <v>26</v>
      </c>
      <c r="B192">
        <v>1</v>
      </c>
      <c r="C192" t="s">
        <v>27</v>
      </c>
      <c r="D192" t="s">
        <v>29</v>
      </c>
      <c r="E192">
        <v>48</v>
      </c>
      <c r="F192" s="48">
        <v>46111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B078-EEFD-FC45-B456-F14B573F8ABD}">
  <sheetPr>
    <pageSetUpPr fitToPage="1"/>
  </sheetPr>
  <dimension ref="A1:BJ22"/>
  <sheetViews>
    <sheetView zoomScaleNormal="100" zoomScaleSheetLayoutView="130" workbookViewId="0">
      <pane xSplit="4" topLeftCell="E1" activePane="topRight" state="frozen"/>
      <selection activeCell="A54" sqref="A54"/>
      <selection pane="topRight" activeCell="A2" sqref="A2"/>
    </sheetView>
  </sheetViews>
  <sheetFormatPr baseColWidth="10" defaultColWidth="8.83203125" defaultRowHeight="15" x14ac:dyDescent="0.2"/>
  <cols>
    <col min="1" max="1" width="21.6640625" style="8" customWidth="1"/>
    <col min="2" max="2" width="31.5" style="4" customWidth="1"/>
    <col min="3" max="3" width="33.5" style="4" customWidth="1"/>
    <col min="4" max="4" width="21" style="4" customWidth="1"/>
    <col min="5" max="9" width="12" customWidth="1"/>
    <col min="10" max="10" width="12" style="5" customWidth="1"/>
    <col min="11" max="20" width="12" customWidth="1"/>
    <col min="21" max="21" width="12" style="2" customWidth="1"/>
    <col min="22" max="61" width="12" customWidth="1"/>
  </cols>
  <sheetData>
    <row r="1" spans="1:62" s="12" customFormat="1" ht="16" thickBot="1" x14ac:dyDescent="0.25">
      <c r="A1" s="13" t="s">
        <v>0</v>
      </c>
      <c r="B1" s="14" t="s">
        <v>4</v>
      </c>
      <c r="C1" s="39" t="s">
        <v>5</v>
      </c>
      <c r="D1" s="15" t="s">
        <v>6</v>
      </c>
      <c r="E1" s="32">
        <f>setting!B2</f>
        <v>46024</v>
      </c>
      <c r="F1" s="33">
        <f>E1+7</f>
        <v>46031</v>
      </c>
      <c r="G1" s="33">
        <f t="shared" ref="G1:BI1" si="0">F1+7</f>
        <v>46038</v>
      </c>
      <c r="H1" s="33">
        <f t="shared" si="0"/>
        <v>46045</v>
      </c>
      <c r="I1" s="34">
        <f t="shared" si="0"/>
        <v>46052</v>
      </c>
      <c r="J1" s="32">
        <f t="shared" si="0"/>
        <v>46059</v>
      </c>
      <c r="K1" s="33">
        <f t="shared" si="0"/>
        <v>46066</v>
      </c>
      <c r="L1" s="33">
        <f t="shared" si="0"/>
        <v>46073</v>
      </c>
      <c r="M1" s="34">
        <f t="shared" si="0"/>
        <v>46080</v>
      </c>
      <c r="N1" s="32">
        <f t="shared" si="0"/>
        <v>46087</v>
      </c>
      <c r="O1" s="33">
        <f t="shared" si="0"/>
        <v>46094</v>
      </c>
      <c r="P1" s="33">
        <f t="shared" si="0"/>
        <v>46101</v>
      </c>
      <c r="Q1" s="33">
        <f t="shared" si="0"/>
        <v>46108</v>
      </c>
      <c r="R1" s="32">
        <f t="shared" si="0"/>
        <v>46115</v>
      </c>
      <c r="S1" s="33">
        <f t="shared" si="0"/>
        <v>46122</v>
      </c>
      <c r="T1" s="33">
        <f t="shared" si="0"/>
        <v>46129</v>
      </c>
      <c r="U1" s="33">
        <f t="shared" si="0"/>
        <v>46136</v>
      </c>
      <c r="V1" s="32">
        <f t="shared" si="0"/>
        <v>46143</v>
      </c>
      <c r="W1" s="33">
        <f t="shared" si="0"/>
        <v>46150</v>
      </c>
      <c r="X1" s="33">
        <f t="shared" si="0"/>
        <v>46157</v>
      </c>
      <c r="Y1" s="33">
        <f t="shared" si="0"/>
        <v>46164</v>
      </c>
      <c r="Z1" s="34">
        <f t="shared" si="0"/>
        <v>46171</v>
      </c>
      <c r="AA1" s="32">
        <f t="shared" si="0"/>
        <v>46178</v>
      </c>
      <c r="AB1" s="33">
        <f t="shared" si="0"/>
        <v>46185</v>
      </c>
      <c r="AC1" s="33">
        <f t="shared" si="0"/>
        <v>46192</v>
      </c>
      <c r="AD1" s="35">
        <f t="shared" si="0"/>
        <v>46199</v>
      </c>
      <c r="AE1" s="32">
        <f t="shared" si="0"/>
        <v>46206</v>
      </c>
      <c r="AF1" s="33">
        <f t="shared" si="0"/>
        <v>46213</v>
      </c>
      <c r="AG1" s="33">
        <f t="shared" si="0"/>
        <v>46220</v>
      </c>
      <c r="AH1" s="33">
        <f t="shared" si="0"/>
        <v>46227</v>
      </c>
      <c r="AI1" s="34">
        <f t="shared" si="0"/>
        <v>46234</v>
      </c>
      <c r="AJ1" s="32">
        <f t="shared" si="0"/>
        <v>46241</v>
      </c>
      <c r="AK1" s="33">
        <f t="shared" si="0"/>
        <v>46248</v>
      </c>
      <c r="AL1" s="33">
        <f t="shared" si="0"/>
        <v>46255</v>
      </c>
      <c r="AM1" s="34">
        <f t="shared" si="0"/>
        <v>46262</v>
      </c>
      <c r="AN1" s="32">
        <f t="shared" si="0"/>
        <v>46269</v>
      </c>
      <c r="AO1" s="33">
        <f t="shared" si="0"/>
        <v>46276</v>
      </c>
      <c r="AP1" s="33">
        <f t="shared" si="0"/>
        <v>46283</v>
      </c>
      <c r="AQ1" s="34">
        <f t="shared" si="0"/>
        <v>46290</v>
      </c>
      <c r="AR1" s="32">
        <f t="shared" si="0"/>
        <v>46297</v>
      </c>
      <c r="AS1" s="33">
        <f t="shared" si="0"/>
        <v>46304</v>
      </c>
      <c r="AT1" s="33">
        <f t="shared" si="0"/>
        <v>46311</v>
      </c>
      <c r="AU1" s="33">
        <f t="shared" si="0"/>
        <v>46318</v>
      </c>
      <c r="AV1" s="34">
        <f t="shared" si="0"/>
        <v>46325</v>
      </c>
      <c r="AW1" s="32">
        <f t="shared" si="0"/>
        <v>46332</v>
      </c>
      <c r="AX1" s="33">
        <f t="shared" si="0"/>
        <v>46339</v>
      </c>
      <c r="AY1" s="33">
        <f t="shared" si="0"/>
        <v>46346</v>
      </c>
      <c r="AZ1" s="34">
        <f t="shared" si="0"/>
        <v>46353</v>
      </c>
      <c r="BA1" s="32">
        <f t="shared" si="0"/>
        <v>46360</v>
      </c>
      <c r="BB1" s="33">
        <f t="shared" si="0"/>
        <v>46367</v>
      </c>
      <c r="BC1" s="33">
        <f t="shared" si="0"/>
        <v>46374</v>
      </c>
      <c r="BD1" s="34">
        <f t="shared" si="0"/>
        <v>46381</v>
      </c>
      <c r="BE1" s="32">
        <f t="shared" si="0"/>
        <v>46388</v>
      </c>
      <c r="BF1" s="33">
        <f t="shared" si="0"/>
        <v>46395</v>
      </c>
      <c r="BG1" s="33">
        <f t="shared" si="0"/>
        <v>46402</v>
      </c>
      <c r="BH1" s="33">
        <f t="shared" si="0"/>
        <v>46409</v>
      </c>
      <c r="BI1" s="34">
        <f t="shared" si="0"/>
        <v>46416</v>
      </c>
      <c r="BJ1" s="16"/>
    </row>
    <row r="2" spans="1:62" s="12" customFormat="1" x14ac:dyDescent="0.2">
      <c r="A2" s="17"/>
      <c r="B2" s="9"/>
      <c r="C2" s="40"/>
      <c r="D2" s="18"/>
      <c r="E2" s="29"/>
      <c r="F2" s="30"/>
      <c r="G2" s="30"/>
      <c r="H2" s="30"/>
      <c r="I2" s="31"/>
      <c r="J2" s="45"/>
      <c r="K2" s="30"/>
      <c r="L2" s="30"/>
      <c r="M2" s="31"/>
      <c r="N2" s="29"/>
      <c r="O2" s="30"/>
      <c r="P2" s="30"/>
      <c r="Q2" s="30"/>
      <c r="R2" s="29"/>
      <c r="S2" s="30"/>
      <c r="T2" s="30"/>
      <c r="U2" s="30"/>
      <c r="V2" s="29"/>
      <c r="W2" s="30"/>
      <c r="X2" s="30"/>
      <c r="Y2" s="30"/>
      <c r="Z2" s="31"/>
      <c r="AA2" s="29"/>
      <c r="AB2" s="30"/>
      <c r="AC2" s="30"/>
      <c r="AD2" s="36"/>
      <c r="AE2" s="29"/>
      <c r="AF2" s="30"/>
      <c r="AG2" s="30"/>
      <c r="AH2" s="30"/>
      <c r="AI2" s="31"/>
      <c r="AJ2" s="29"/>
      <c r="AK2" s="30"/>
      <c r="AL2" s="30"/>
      <c r="AM2" s="31"/>
      <c r="AN2" s="29"/>
      <c r="AO2" s="30"/>
      <c r="AP2" s="30"/>
      <c r="AQ2" s="31"/>
      <c r="AR2" s="29"/>
      <c r="AS2" s="30"/>
      <c r="AT2" s="30"/>
      <c r="AU2" s="30"/>
      <c r="AV2" s="31"/>
      <c r="AW2" s="29"/>
      <c r="AX2" s="30"/>
      <c r="AY2" s="30"/>
      <c r="AZ2" s="31"/>
      <c r="BA2" s="29"/>
      <c r="BB2" s="30"/>
      <c r="BC2" s="30"/>
      <c r="BD2" s="31"/>
      <c r="BE2" s="29"/>
      <c r="BF2" s="30"/>
      <c r="BG2" s="30"/>
      <c r="BH2" s="30"/>
      <c r="BI2" s="31"/>
      <c r="BJ2" s="16"/>
    </row>
    <row r="3" spans="1:62" s="12" customFormat="1" x14ac:dyDescent="0.2">
      <c r="A3" s="19"/>
      <c r="B3" s="7"/>
      <c r="C3" s="41"/>
      <c r="D3" s="20"/>
      <c r="E3" s="24"/>
      <c r="I3" s="25"/>
      <c r="J3" s="43"/>
      <c r="M3" s="25"/>
      <c r="N3" s="24"/>
      <c r="R3" s="24"/>
      <c r="V3" s="24"/>
      <c r="Z3" s="25"/>
      <c r="AA3" s="24"/>
      <c r="AD3" s="37"/>
      <c r="AE3" s="24"/>
      <c r="AI3" s="25"/>
      <c r="AJ3" s="24"/>
      <c r="AM3" s="25"/>
      <c r="AN3" s="24"/>
      <c r="AQ3" s="25"/>
      <c r="AR3" s="24"/>
      <c r="AV3" s="25"/>
      <c r="AW3" s="24"/>
      <c r="AZ3" s="25"/>
      <c r="BA3" s="24"/>
      <c r="BD3" s="25"/>
      <c r="BE3" s="24"/>
      <c r="BI3" s="25"/>
      <c r="BJ3" s="16"/>
    </row>
    <row r="4" spans="1:62" s="12" customFormat="1" x14ac:dyDescent="0.2">
      <c r="A4" s="19"/>
      <c r="B4" s="7"/>
      <c r="C4" s="41"/>
      <c r="D4" s="20"/>
      <c r="E4" s="24"/>
      <c r="I4" s="25"/>
      <c r="J4" s="43"/>
      <c r="M4" s="25"/>
      <c r="N4" s="24"/>
      <c r="R4" s="24"/>
      <c r="V4" s="24"/>
      <c r="Z4" s="25"/>
      <c r="AA4" s="24"/>
      <c r="AD4" s="37"/>
      <c r="AE4" s="24"/>
      <c r="AI4" s="25"/>
      <c r="AJ4" s="24"/>
      <c r="AM4" s="25"/>
      <c r="AN4" s="24"/>
      <c r="AQ4" s="25"/>
      <c r="AR4" s="24"/>
      <c r="AV4" s="25"/>
      <c r="AW4" s="24"/>
      <c r="AZ4" s="25"/>
      <c r="BA4" s="24"/>
      <c r="BD4" s="25"/>
      <c r="BE4" s="24"/>
      <c r="BI4" s="25"/>
      <c r="BJ4" s="16"/>
    </row>
    <row r="5" spans="1:62" s="12" customFormat="1" x14ac:dyDescent="0.2">
      <c r="A5" s="19"/>
      <c r="B5" s="7"/>
      <c r="C5" s="41"/>
      <c r="D5" s="20"/>
      <c r="E5" s="24"/>
      <c r="I5" s="25"/>
      <c r="J5" s="43"/>
      <c r="M5" s="25"/>
      <c r="N5" s="24"/>
      <c r="R5" s="24"/>
      <c r="V5" s="24"/>
      <c r="Z5" s="25"/>
      <c r="AA5" s="24"/>
      <c r="AD5" s="37"/>
      <c r="AE5" s="24"/>
      <c r="AI5" s="25"/>
      <c r="AJ5" s="24"/>
      <c r="AM5" s="25"/>
      <c r="AN5" s="24"/>
      <c r="AQ5" s="25"/>
      <c r="AR5" s="24"/>
      <c r="AV5" s="25"/>
      <c r="AW5" s="24"/>
      <c r="AZ5" s="25"/>
      <c r="BA5" s="24"/>
      <c r="BD5" s="25"/>
      <c r="BE5" s="24"/>
      <c r="BI5" s="25"/>
      <c r="BJ5" s="16"/>
    </row>
    <row r="6" spans="1:62" s="12" customFormat="1" x14ac:dyDescent="0.2">
      <c r="A6" s="19"/>
      <c r="B6" s="7"/>
      <c r="C6" s="41"/>
      <c r="D6" s="20"/>
      <c r="E6" s="24"/>
      <c r="I6" s="25"/>
      <c r="J6" s="43"/>
      <c r="M6" s="25"/>
      <c r="N6" s="24"/>
      <c r="R6" s="24"/>
      <c r="V6" s="24"/>
      <c r="Z6" s="25"/>
      <c r="AA6" s="24"/>
      <c r="AD6" s="37"/>
      <c r="AE6" s="24"/>
      <c r="AI6" s="25"/>
      <c r="AJ6" s="24"/>
      <c r="AM6" s="25"/>
      <c r="AN6" s="24"/>
      <c r="AQ6" s="25"/>
      <c r="AR6" s="24"/>
      <c r="AV6" s="25"/>
      <c r="AW6" s="24"/>
      <c r="AZ6" s="25"/>
      <c r="BA6" s="24"/>
      <c r="BD6" s="25"/>
      <c r="BE6" s="24"/>
      <c r="BI6" s="25"/>
      <c r="BJ6" s="16"/>
    </row>
    <row r="7" spans="1:62" s="12" customFormat="1" x14ac:dyDescent="0.2">
      <c r="A7" s="19"/>
      <c r="B7" s="7"/>
      <c r="C7" s="41"/>
      <c r="D7" s="20"/>
      <c r="E7" s="24"/>
      <c r="I7" s="25"/>
      <c r="J7" s="43"/>
      <c r="M7" s="25"/>
      <c r="N7" s="24"/>
      <c r="R7" s="24"/>
      <c r="V7" s="24"/>
      <c r="Z7" s="25"/>
      <c r="AA7" s="24"/>
      <c r="AD7" s="37"/>
      <c r="AE7" s="24"/>
      <c r="AI7" s="25"/>
      <c r="AJ7" s="24"/>
      <c r="AM7" s="25"/>
      <c r="AN7" s="24"/>
      <c r="AQ7" s="25"/>
      <c r="AR7" s="24"/>
      <c r="AV7" s="25"/>
      <c r="AW7" s="24"/>
      <c r="AZ7" s="25"/>
      <c r="BA7" s="24"/>
      <c r="BD7" s="25"/>
      <c r="BE7" s="24"/>
      <c r="BI7" s="25"/>
      <c r="BJ7" s="16"/>
    </row>
    <row r="8" spans="1:62" s="12" customFormat="1" x14ac:dyDescent="0.2">
      <c r="A8" s="19"/>
      <c r="B8" s="7"/>
      <c r="C8" s="41"/>
      <c r="D8" s="20"/>
      <c r="E8" s="24"/>
      <c r="I8" s="25"/>
      <c r="J8" s="43"/>
      <c r="M8" s="25"/>
      <c r="N8" s="24"/>
      <c r="R8" s="24"/>
      <c r="V8" s="24"/>
      <c r="Z8" s="25"/>
      <c r="AA8" s="24"/>
      <c r="AD8" s="37"/>
      <c r="AE8" s="24"/>
      <c r="AI8" s="25"/>
      <c r="AJ8" s="24"/>
      <c r="AM8" s="25"/>
      <c r="AN8" s="24"/>
      <c r="AQ8" s="25"/>
      <c r="AR8" s="24"/>
      <c r="AV8" s="25"/>
      <c r="AW8" s="24"/>
      <c r="AZ8" s="25"/>
      <c r="BA8" s="24"/>
      <c r="BD8" s="25"/>
      <c r="BE8" s="24"/>
      <c r="BI8" s="25"/>
      <c r="BJ8" s="16"/>
    </row>
    <row r="9" spans="1:62" s="12" customFormat="1" x14ac:dyDescent="0.2">
      <c r="A9" s="19"/>
      <c r="B9" s="7"/>
      <c r="C9" s="41"/>
      <c r="D9" s="20"/>
      <c r="E9" s="24"/>
      <c r="I9" s="25"/>
      <c r="J9" s="43"/>
      <c r="M9" s="25"/>
      <c r="N9" s="24"/>
      <c r="R9" s="24"/>
      <c r="V9" s="24"/>
      <c r="Z9" s="25"/>
      <c r="AA9" s="24"/>
      <c r="AD9" s="37"/>
      <c r="AE9" s="24"/>
      <c r="AI9" s="25"/>
      <c r="AJ9" s="24"/>
      <c r="AM9" s="25"/>
      <c r="AN9" s="24"/>
      <c r="AQ9" s="25"/>
      <c r="AR9" s="24"/>
      <c r="AV9" s="25"/>
      <c r="AW9" s="24"/>
      <c r="AZ9" s="25"/>
      <c r="BA9" s="24"/>
      <c r="BD9" s="25"/>
      <c r="BE9" s="24"/>
      <c r="BI9" s="25"/>
      <c r="BJ9" s="16"/>
    </row>
    <row r="10" spans="1:62" s="12" customFormat="1" x14ac:dyDescent="0.2">
      <c r="A10" s="19"/>
      <c r="B10" s="7"/>
      <c r="C10" s="41"/>
      <c r="D10" s="20"/>
      <c r="E10" s="24"/>
      <c r="I10" s="25"/>
      <c r="J10" s="43"/>
      <c r="M10" s="25"/>
      <c r="N10" s="24"/>
      <c r="R10" s="24"/>
      <c r="V10" s="24"/>
      <c r="Z10" s="25"/>
      <c r="AA10" s="24"/>
      <c r="AD10" s="37"/>
      <c r="AE10" s="24"/>
      <c r="AI10" s="25"/>
      <c r="AJ10" s="24"/>
      <c r="AM10" s="25"/>
      <c r="AN10" s="24"/>
      <c r="AQ10" s="25"/>
      <c r="AR10" s="24"/>
      <c r="AV10" s="25"/>
      <c r="AW10" s="24"/>
      <c r="AZ10" s="25"/>
      <c r="BA10" s="24"/>
      <c r="BD10" s="25"/>
      <c r="BE10" s="24"/>
      <c r="BI10" s="25"/>
      <c r="BJ10" s="16"/>
    </row>
    <row r="11" spans="1:62" s="12" customFormat="1" x14ac:dyDescent="0.2">
      <c r="A11" s="19"/>
      <c r="B11" s="7"/>
      <c r="C11" s="41"/>
      <c r="D11" s="20"/>
      <c r="E11" s="24"/>
      <c r="I11" s="25"/>
      <c r="J11" s="43"/>
      <c r="M11" s="25"/>
      <c r="N11" s="24"/>
      <c r="R11" s="24"/>
      <c r="V11" s="24"/>
      <c r="Z11" s="25"/>
      <c r="AA11" s="24"/>
      <c r="AD11" s="37"/>
      <c r="AE11" s="24"/>
      <c r="AI11" s="25"/>
      <c r="AJ11" s="24"/>
      <c r="AM11" s="25"/>
      <c r="AN11" s="24"/>
      <c r="AQ11" s="25"/>
      <c r="AR11" s="24"/>
      <c r="AV11" s="25"/>
      <c r="AW11" s="24"/>
      <c r="AZ11" s="25"/>
      <c r="BA11" s="24"/>
      <c r="BD11" s="25"/>
      <c r="BE11" s="24"/>
      <c r="BI11" s="25"/>
      <c r="BJ11" s="16"/>
    </row>
    <row r="12" spans="1:62" s="12" customFormat="1" x14ac:dyDescent="0.2">
      <c r="A12" s="19"/>
      <c r="B12" s="7"/>
      <c r="C12" s="41"/>
      <c r="D12" s="20"/>
      <c r="E12" s="24"/>
      <c r="I12" s="25"/>
      <c r="J12" s="43"/>
      <c r="M12" s="25"/>
      <c r="N12" s="24"/>
      <c r="R12" s="24"/>
      <c r="V12" s="24"/>
      <c r="Z12" s="25"/>
      <c r="AA12" s="24"/>
      <c r="AD12" s="37"/>
      <c r="AE12" s="24"/>
      <c r="AI12" s="25"/>
      <c r="AJ12" s="24"/>
      <c r="AM12" s="25"/>
      <c r="AN12" s="24"/>
      <c r="AQ12" s="25"/>
      <c r="AR12" s="24"/>
      <c r="AV12" s="25"/>
      <c r="AW12" s="24"/>
      <c r="AZ12" s="25"/>
      <c r="BA12" s="24"/>
      <c r="BD12" s="25"/>
      <c r="BE12" s="24"/>
      <c r="BI12" s="25"/>
      <c r="BJ12" s="16"/>
    </row>
    <row r="13" spans="1:62" s="12" customFormat="1" x14ac:dyDescent="0.2">
      <c r="A13" s="19"/>
      <c r="B13" s="7"/>
      <c r="C13" s="41"/>
      <c r="D13" s="20"/>
      <c r="E13" s="24"/>
      <c r="I13" s="25"/>
      <c r="J13" s="43"/>
      <c r="M13" s="25"/>
      <c r="N13" s="24"/>
      <c r="R13" s="24"/>
      <c r="V13" s="24"/>
      <c r="Z13" s="25"/>
      <c r="AA13" s="24"/>
      <c r="AD13" s="37"/>
      <c r="AE13" s="24"/>
      <c r="AI13" s="25"/>
      <c r="AJ13" s="24"/>
      <c r="AM13" s="25"/>
      <c r="AN13" s="24"/>
      <c r="AQ13" s="25"/>
      <c r="AR13" s="24"/>
      <c r="AV13" s="25"/>
      <c r="AW13" s="24"/>
      <c r="AZ13" s="25"/>
      <c r="BA13" s="24"/>
      <c r="BD13" s="25"/>
      <c r="BE13" s="24"/>
      <c r="BI13" s="25"/>
      <c r="BJ13" s="16"/>
    </row>
    <row r="14" spans="1:62" s="12" customFormat="1" x14ac:dyDescent="0.2">
      <c r="A14" s="19"/>
      <c r="B14" s="7"/>
      <c r="C14" s="41"/>
      <c r="D14" s="20"/>
      <c r="E14" s="24"/>
      <c r="I14" s="25"/>
      <c r="J14" s="43"/>
      <c r="M14" s="25"/>
      <c r="N14" s="24"/>
      <c r="R14" s="24"/>
      <c r="V14" s="24"/>
      <c r="Z14" s="25"/>
      <c r="AA14" s="24"/>
      <c r="AD14" s="37"/>
      <c r="AE14" s="24"/>
      <c r="AI14" s="25"/>
      <c r="AJ14" s="24"/>
      <c r="AM14" s="25"/>
      <c r="AN14" s="24"/>
      <c r="AQ14" s="25"/>
      <c r="AR14" s="24"/>
      <c r="AV14" s="25"/>
      <c r="AW14" s="24"/>
      <c r="AZ14" s="25"/>
      <c r="BA14" s="24"/>
      <c r="BD14" s="25"/>
      <c r="BE14" s="24"/>
      <c r="BI14" s="25"/>
      <c r="BJ14" s="16"/>
    </row>
    <row r="15" spans="1:62" s="12" customFormat="1" x14ac:dyDescent="0.2">
      <c r="A15" s="19"/>
      <c r="B15" s="7"/>
      <c r="C15" s="41"/>
      <c r="D15" s="20"/>
      <c r="E15" s="24"/>
      <c r="I15" s="25"/>
      <c r="J15" s="43"/>
      <c r="M15" s="25"/>
      <c r="N15" s="24"/>
      <c r="R15" s="24"/>
      <c r="V15" s="24"/>
      <c r="Z15" s="25"/>
      <c r="AA15" s="24"/>
      <c r="AD15" s="37"/>
      <c r="AE15" s="24"/>
      <c r="AI15" s="25"/>
      <c r="AJ15" s="24"/>
      <c r="AM15" s="25"/>
      <c r="AN15" s="24"/>
      <c r="AQ15" s="25"/>
      <c r="AR15" s="24"/>
      <c r="AV15" s="25"/>
      <c r="AW15" s="24"/>
      <c r="AZ15" s="25"/>
      <c r="BA15" s="24"/>
      <c r="BD15" s="25"/>
      <c r="BE15" s="24"/>
      <c r="BI15" s="25"/>
      <c r="BJ15" s="16"/>
    </row>
    <row r="16" spans="1:62" s="12" customFormat="1" x14ac:dyDescent="0.2">
      <c r="A16" s="19"/>
      <c r="B16" s="7"/>
      <c r="C16" s="41"/>
      <c r="D16" s="20"/>
      <c r="E16" s="24"/>
      <c r="I16" s="25"/>
      <c r="J16" s="43"/>
      <c r="M16" s="25"/>
      <c r="N16" s="24"/>
      <c r="R16" s="24"/>
      <c r="V16" s="24"/>
      <c r="Z16" s="25"/>
      <c r="AA16" s="24"/>
      <c r="AD16" s="37"/>
      <c r="AE16" s="24"/>
      <c r="AI16" s="25"/>
      <c r="AJ16" s="24"/>
      <c r="AM16" s="25"/>
      <c r="AN16" s="24"/>
      <c r="AQ16" s="25"/>
      <c r="AR16" s="24"/>
      <c r="AV16" s="25"/>
      <c r="AW16" s="24"/>
      <c r="AZ16" s="25"/>
      <c r="BA16" s="24"/>
      <c r="BD16" s="25"/>
      <c r="BE16" s="24"/>
      <c r="BI16" s="25"/>
      <c r="BJ16" s="16"/>
    </row>
    <row r="17" spans="1:62" s="12" customFormat="1" x14ac:dyDescent="0.2">
      <c r="A17" s="19"/>
      <c r="B17" s="7"/>
      <c r="C17" s="41"/>
      <c r="D17" s="20"/>
      <c r="E17" s="24"/>
      <c r="I17" s="25"/>
      <c r="J17" s="43"/>
      <c r="M17" s="25"/>
      <c r="N17" s="24"/>
      <c r="R17" s="24"/>
      <c r="V17" s="24"/>
      <c r="Z17" s="25"/>
      <c r="AA17" s="24"/>
      <c r="AD17" s="37"/>
      <c r="AE17" s="24"/>
      <c r="AI17" s="25"/>
      <c r="AJ17" s="24"/>
      <c r="AM17" s="25"/>
      <c r="AN17" s="24"/>
      <c r="AQ17" s="25"/>
      <c r="AR17" s="24"/>
      <c r="AV17" s="25"/>
      <c r="AW17" s="24"/>
      <c r="AZ17" s="25"/>
      <c r="BA17" s="24"/>
      <c r="BD17" s="25"/>
      <c r="BE17" s="24"/>
      <c r="BI17" s="25"/>
      <c r="BJ17" s="16"/>
    </row>
    <row r="18" spans="1:62" s="12" customFormat="1" ht="16" thickBot="1" x14ac:dyDescent="0.25">
      <c r="A18" s="21"/>
      <c r="B18" s="22"/>
      <c r="C18" s="42"/>
      <c r="D18" s="23"/>
      <c r="E18" s="26"/>
      <c r="F18" s="27"/>
      <c r="G18" s="27"/>
      <c r="H18" s="27"/>
      <c r="I18" s="28"/>
      <c r="J18" s="44"/>
      <c r="K18" s="27"/>
      <c r="L18" s="27"/>
      <c r="M18" s="28"/>
      <c r="N18" s="26"/>
      <c r="O18" s="27"/>
      <c r="P18" s="27"/>
      <c r="Q18" s="27"/>
      <c r="R18" s="26"/>
      <c r="S18" s="27"/>
      <c r="T18" s="27"/>
      <c r="U18" s="27"/>
      <c r="V18" s="26"/>
      <c r="W18" s="27"/>
      <c r="X18" s="27"/>
      <c r="Y18" s="27"/>
      <c r="Z18" s="28"/>
      <c r="AA18" s="26"/>
      <c r="AB18" s="27"/>
      <c r="AC18" s="27"/>
      <c r="AD18" s="38"/>
      <c r="AE18" s="26"/>
      <c r="AF18" s="27"/>
      <c r="AG18" s="27"/>
      <c r="AH18" s="27"/>
      <c r="AI18" s="28"/>
      <c r="AJ18" s="26"/>
      <c r="AK18" s="27"/>
      <c r="AL18" s="27"/>
      <c r="AM18" s="28"/>
      <c r="AN18" s="26"/>
      <c r="AO18" s="27"/>
      <c r="AP18" s="27"/>
      <c r="AQ18" s="28"/>
      <c r="AR18" s="26"/>
      <c r="AS18" s="27"/>
      <c r="AT18" s="27"/>
      <c r="AU18" s="27"/>
      <c r="AV18" s="28"/>
      <c r="AW18" s="26"/>
      <c r="AX18" s="27"/>
      <c r="AY18" s="27"/>
      <c r="AZ18" s="28"/>
      <c r="BA18" s="26"/>
      <c r="BB18" s="27"/>
      <c r="BC18" s="27"/>
      <c r="BD18" s="28"/>
      <c r="BE18" s="26"/>
      <c r="BF18" s="27"/>
      <c r="BG18" s="27"/>
      <c r="BH18" s="27"/>
      <c r="BI18" s="28"/>
      <c r="BJ18" s="16"/>
    </row>
    <row r="20" spans="1:62" x14ac:dyDescent="0.2">
      <c r="A20" s="11" t="s">
        <v>1</v>
      </c>
    </row>
    <row r="21" spans="1:62" x14ac:dyDescent="0.2">
      <c r="A21" s="3" t="s">
        <v>2</v>
      </c>
    </row>
    <row r="22" spans="1:62" x14ac:dyDescent="0.2">
      <c r="A22" s="1" t="s">
        <v>3</v>
      </c>
    </row>
  </sheetData>
  <pageMargins left="0.25" right="0.25" top="0.75" bottom="0.75" header="0.3" footer="0.3"/>
  <pageSetup paperSize="9" scale="1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setting</vt:lpstr>
      <vt:lpstr>data</vt:lpstr>
      <vt:lpstr>Gantt Chart Update </vt:lpstr>
      <vt:lpstr>data_dest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Clyde | American Sole</dc:creator>
  <cp:lastModifiedBy>Clyde | American Sole</cp:lastModifiedBy>
  <dcterms:created xsi:type="dcterms:W3CDTF">2026-04-03T03:46:31Z</dcterms:created>
  <dcterms:modified xsi:type="dcterms:W3CDTF">2026-04-03T22:16:10Z</dcterms:modified>
</cp:coreProperties>
</file>